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2w-my.sharepoint.com/personal/sheshank_suresh_joulestowatts_com/Documents/Desktop/"/>
    </mc:Choice>
  </mc:AlternateContent>
  <xr:revisionPtr revIDLastSave="6" documentId="8_{564972AA-291A-4F29-9552-F9C323A176FC}" xr6:coauthVersionLast="47" xr6:coauthVersionMax="47" xr10:uidLastSave="{AE5ADA35-72ED-4111-8118-E7686B7730EF}"/>
  <bookViews>
    <workbookView xWindow="-110" yWindow="-110" windowWidth="19420" windowHeight="10300" activeTab="2" xr2:uid="{E3953DA5-F8FE-46C0-B9EE-07A7BF8EEDA1}"/>
  </bookViews>
  <sheets>
    <sheet name="Exit Pipeline" sheetId="4" r:id="rId1"/>
    <sheet name="Exit" sheetId="3" r:id="rId2"/>
    <sheet name="Org Mapping" sheetId="5" r:id="rId3"/>
  </sheets>
  <definedNames>
    <definedName name="ExternalData_1" localSheetId="1" hidden="1">Exit!$A$1:$M$1059</definedName>
    <definedName name="ExternalData_1" localSheetId="0" hidden="1">'Exit Pipeline'!$A$1:$L$85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2" i="3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7D5B5D-F11C-42C6-925E-6F9A4F38A8F1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9F035BCC-6C9A-4687-B779-4C1248E873BB}" keepAlive="1" name="Query - Query2" description="Connection to the 'Query2' query in the workbook." type="5" refreshedVersion="8" background="1" saveData="1">
    <dbPr connection="Provider=Microsoft.Mashup.OleDb.1;Data Source=$Workbook$;Location=Query2;Extended Properties=&quot;&quot;" command="SELECT * FROM [Query2]"/>
  </connection>
</connections>
</file>

<file path=xl/sharedStrings.xml><?xml version="1.0" encoding="utf-8"?>
<sst xmlns="http://schemas.openxmlformats.org/spreadsheetml/2006/main" count="10630" uniqueCount="2964">
  <si>
    <t>recruiter_name</t>
  </si>
  <si>
    <t>manager_name</t>
  </si>
  <si>
    <t>full_name</t>
  </si>
  <si>
    <t>employee_type</t>
  </si>
  <si>
    <t>employee_id</t>
  </si>
  <si>
    <t>joining_date</t>
  </si>
  <si>
    <t>p_o_value</t>
  </si>
  <si>
    <t>margin</t>
  </si>
  <si>
    <t>exit_type</t>
  </si>
  <si>
    <t>company_name</t>
  </si>
  <si>
    <t>status</t>
  </si>
  <si>
    <t>last_work_day</t>
  </si>
  <si>
    <t>created_at</t>
  </si>
  <si>
    <t>BH</t>
  </si>
  <si>
    <t>Month</t>
  </si>
  <si>
    <t>Deepshikha Nigam</t>
  </si>
  <si>
    <t>Contract Closure</t>
  </si>
  <si>
    <t>HP</t>
  </si>
  <si>
    <t>Harshavardhan Reddy</t>
  </si>
  <si>
    <t>Manini S</t>
  </si>
  <si>
    <t>HP- drubhajoythi</t>
  </si>
  <si>
    <t>Conversion</t>
  </si>
  <si>
    <t>Capgemini LBS</t>
  </si>
  <si>
    <t>Latha R</t>
  </si>
  <si>
    <t>Prithvi M B</t>
  </si>
  <si>
    <t>C36190133</t>
  </si>
  <si>
    <t>Resignation</t>
  </si>
  <si>
    <t>Harman_Payroll</t>
  </si>
  <si>
    <t>ZTE_payroll</t>
  </si>
  <si>
    <t>Surekha S</t>
  </si>
  <si>
    <t>Sadhna Shukla</t>
  </si>
  <si>
    <t>Flipkart</t>
  </si>
  <si>
    <t>Abhishek B</t>
  </si>
  <si>
    <t>Sushma K</t>
  </si>
  <si>
    <t>C36210643</t>
  </si>
  <si>
    <t>Decathlon</t>
  </si>
  <si>
    <t>NetApp</t>
  </si>
  <si>
    <t>Project Roll Off</t>
  </si>
  <si>
    <t>Capgemini_FC</t>
  </si>
  <si>
    <t>Mehr Hashim</t>
  </si>
  <si>
    <t>FlipkartIT</t>
  </si>
  <si>
    <t>RealPage</t>
  </si>
  <si>
    <t>Maheshwari K S</t>
  </si>
  <si>
    <t>Monisha R</t>
  </si>
  <si>
    <t>Nikitha L</t>
  </si>
  <si>
    <t>C36212030</t>
  </si>
  <si>
    <t>HP-samerndra</t>
  </si>
  <si>
    <t>Deloitte-One Tech</t>
  </si>
  <si>
    <t>Infosys ADM</t>
  </si>
  <si>
    <t>GE Healthcare Global Private Limited.</t>
  </si>
  <si>
    <t>IBM -Mercedes</t>
  </si>
  <si>
    <t>Keerthana S</t>
  </si>
  <si>
    <t>Harish R</t>
  </si>
  <si>
    <t>Sunaina Mehra</t>
  </si>
  <si>
    <t>Mercedes benz</t>
  </si>
  <si>
    <t>Shilpa A</t>
  </si>
  <si>
    <t>Pavithra P</t>
  </si>
  <si>
    <t>C36220182</t>
  </si>
  <si>
    <t>Harini E</t>
  </si>
  <si>
    <t>C36220243</t>
  </si>
  <si>
    <t>Srinivasa V</t>
  </si>
  <si>
    <t>C36220239</t>
  </si>
  <si>
    <t>Sai Vineeth</t>
  </si>
  <si>
    <t>Deloitte_HTD</t>
  </si>
  <si>
    <t>Shell</t>
  </si>
  <si>
    <t>Jawad Ulla Khan</t>
  </si>
  <si>
    <t>Meolaa</t>
  </si>
  <si>
    <t>Rubeena Naz</t>
  </si>
  <si>
    <t>C36220437</t>
  </si>
  <si>
    <t>Srinivas V</t>
  </si>
  <si>
    <t>C36220466</t>
  </si>
  <si>
    <t>Vallinayagi  T R</t>
  </si>
  <si>
    <t>C36220612</t>
  </si>
  <si>
    <t>Accenture_IDB</t>
  </si>
  <si>
    <t>Capgemini-Bangalore</t>
  </si>
  <si>
    <t>Mehraj N</t>
  </si>
  <si>
    <t>Accenture_BPO</t>
  </si>
  <si>
    <t>Vaishakh Vasudev</t>
  </si>
  <si>
    <t>C36220819</t>
  </si>
  <si>
    <t>Mir Murtuza Ali Razvi</t>
  </si>
  <si>
    <t>C36220846</t>
  </si>
  <si>
    <t>S Ajith Kumar</t>
  </si>
  <si>
    <t>C36221043</t>
  </si>
  <si>
    <t>VUDDANDAIAH GARI YASVITHA</t>
  </si>
  <si>
    <t>C36221002</t>
  </si>
  <si>
    <t>Umaifa Siddiq</t>
  </si>
  <si>
    <t>C36221045</t>
  </si>
  <si>
    <t>Airbus</t>
  </si>
  <si>
    <t>Santhosham A</t>
  </si>
  <si>
    <t>Prathyusha Mangalampalli</t>
  </si>
  <si>
    <t>Accenture-voice</t>
  </si>
  <si>
    <t>Termination</t>
  </si>
  <si>
    <t>Absconded</t>
  </si>
  <si>
    <t>Joel P J</t>
  </si>
  <si>
    <t>C36221217</t>
  </si>
  <si>
    <t>ANZ</t>
  </si>
  <si>
    <t>A. Navya Shree</t>
  </si>
  <si>
    <t>C36221204</t>
  </si>
  <si>
    <t>Sachin K</t>
  </si>
  <si>
    <t>SYNITI</t>
  </si>
  <si>
    <t>Navya P</t>
  </si>
  <si>
    <t>C36221604</t>
  </si>
  <si>
    <t>Deloitte_Consulting</t>
  </si>
  <si>
    <t>Javeed Khan</t>
  </si>
  <si>
    <t>Manjunath R</t>
  </si>
  <si>
    <t>RR Donnelley</t>
  </si>
  <si>
    <t>Sungard AS</t>
  </si>
  <si>
    <t>Medline</t>
  </si>
  <si>
    <t>WSP</t>
  </si>
  <si>
    <t>Sowmya P</t>
  </si>
  <si>
    <t>Bindushree R</t>
  </si>
  <si>
    <t>Aarushi lall</t>
  </si>
  <si>
    <t>C36222274</t>
  </si>
  <si>
    <t>PricewaterhouseCoopers</t>
  </si>
  <si>
    <t>Menaka Prasad</t>
  </si>
  <si>
    <t>Societe Generale</t>
  </si>
  <si>
    <t>SONY Software Development Centre</t>
  </si>
  <si>
    <t>Tamil C</t>
  </si>
  <si>
    <t>DXC</t>
  </si>
  <si>
    <t>Socgen</t>
  </si>
  <si>
    <t>Soc gen Ops</t>
  </si>
  <si>
    <t>Kennametal shared services</t>
  </si>
  <si>
    <t>Pooja K</t>
  </si>
  <si>
    <t>Poorvi Kundur</t>
  </si>
  <si>
    <t>Khaleeq Ahmed</t>
  </si>
  <si>
    <t>C36222583</t>
  </si>
  <si>
    <t>Priyakanta Choudhary</t>
  </si>
  <si>
    <t>Shubham Dinesh Kadam</t>
  </si>
  <si>
    <t>C36230006</t>
  </si>
  <si>
    <t xml:space="preserve">Gayatri Sunil Chaudhari </t>
  </si>
  <si>
    <t>C36230035</t>
  </si>
  <si>
    <t>Aditi  Tanaji Mestry</t>
  </si>
  <si>
    <t>C36230059</t>
  </si>
  <si>
    <t>Rutika Gajanan Pawar</t>
  </si>
  <si>
    <t>C36230060</t>
  </si>
  <si>
    <t>CenturyLink Technologies India Pvt.Ltd</t>
  </si>
  <si>
    <t>Genpact</t>
  </si>
  <si>
    <t>Pooja Prakash Barkale</t>
  </si>
  <si>
    <t>C36230123</t>
  </si>
  <si>
    <t>Schneider Electric</t>
  </si>
  <si>
    <t>Pradeep Singh Arvind Singh Solanki</t>
  </si>
  <si>
    <t>C36230180</t>
  </si>
  <si>
    <t>Pariki Pradeep</t>
  </si>
  <si>
    <t xml:space="preserve">Revathi </t>
  </si>
  <si>
    <t>C36230218</t>
  </si>
  <si>
    <t>Justin Dsilva</t>
  </si>
  <si>
    <t>Sathya Narayan G</t>
  </si>
  <si>
    <t>C36230256</t>
  </si>
  <si>
    <t>Alfia Nadeem</t>
  </si>
  <si>
    <t>C36230378</t>
  </si>
  <si>
    <t>Gaurav Kumar</t>
  </si>
  <si>
    <t>Priya b</t>
  </si>
  <si>
    <t>Mouli Roy</t>
  </si>
  <si>
    <t>Pratik Kinge</t>
  </si>
  <si>
    <t>C36230308</t>
  </si>
  <si>
    <t>Madhan  Kumar R</t>
  </si>
  <si>
    <t>C36230295</t>
  </si>
  <si>
    <t>Shoaib Yusuf Badhe</t>
  </si>
  <si>
    <t>C36230400</t>
  </si>
  <si>
    <t>Raghukul Sai Kadiri Rajendra Kumar</t>
  </si>
  <si>
    <t>C36230402</t>
  </si>
  <si>
    <t>OTIS</t>
  </si>
  <si>
    <t>Gaurav Sashikumar</t>
  </si>
  <si>
    <t>C36230489</t>
  </si>
  <si>
    <t>Rahul C</t>
  </si>
  <si>
    <t>C36230564</t>
  </si>
  <si>
    <t>Lowes</t>
  </si>
  <si>
    <t>Pooja Bt</t>
  </si>
  <si>
    <t>Kavya  R B</t>
  </si>
  <si>
    <t>C36230743</t>
  </si>
  <si>
    <t>Sireesha K</t>
  </si>
  <si>
    <t>Brindha Gopalakrishnan</t>
  </si>
  <si>
    <t>C36230853</t>
  </si>
  <si>
    <t xml:space="preserve">Abhishek Ramakant Rane </t>
  </si>
  <si>
    <t>C36230923</t>
  </si>
  <si>
    <t>Monika Vakati</t>
  </si>
  <si>
    <t>Pradeep S</t>
  </si>
  <si>
    <t>Toyota</t>
  </si>
  <si>
    <t>Sharad Kiran</t>
  </si>
  <si>
    <t xml:space="preserve"> Vinay Rajesh Kahar</t>
  </si>
  <si>
    <t>C36231157</t>
  </si>
  <si>
    <t>Sana Babu Shaikh</t>
  </si>
  <si>
    <t>C36230945</t>
  </si>
  <si>
    <t>Preetham M</t>
  </si>
  <si>
    <t xml:space="preserve">Sherlin </t>
  </si>
  <si>
    <t>C36231206</t>
  </si>
  <si>
    <t>Suman N</t>
  </si>
  <si>
    <t>Gopika P R  Nair</t>
  </si>
  <si>
    <t>C36231721</t>
  </si>
  <si>
    <t>Kalpit  Pravin Marchande</t>
  </si>
  <si>
    <t>C36231237</t>
  </si>
  <si>
    <t xml:space="preserve">Vaishnavi  Shekar </t>
  </si>
  <si>
    <t>Aqeeb Khan</t>
  </si>
  <si>
    <t>C36231248</t>
  </si>
  <si>
    <t>Gifty Sunny</t>
  </si>
  <si>
    <t>Shakthi M</t>
  </si>
  <si>
    <t>C36231329</t>
  </si>
  <si>
    <t>Swathi N S</t>
  </si>
  <si>
    <t>C36231356</t>
  </si>
  <si>
    <t>Zensar Technologies</t>
  </si>
  <si>
    <t>Shruthi Ms</t>
  </si>
  <si>
    <t>C36231510</t>
  </si>
  <si>
    <t>Ankit Satish  Singh</t>
  </si>
  <si>
    <t>C36231530</t>
  </si>
  <si>
    <t>Neha Ramchayan Chaurasiya</t>
  </si>
  <si>
    <t>C36231521</t>
  </si>
  <si>
    <t>Raja Shekhar</t>
  </si>
  <si>
    <t>Pure Storage</t>
  </si>
  <si>
    <t>Varsha Kanayo Tikmani</t>
  </si>
  <si>
    <t>C36231778</t>
  </si>
  <si>
    <t>Chetana Prakash Rane</t>
  </si>
  <si>
    <t>C36231977</t>
  </si>
  <si>
    <t xml:space="preserve">Akshay Kumar Raja Yadav </t>
  </si>
  <si>
    <t>C36232022</t>
  </si>
  <si>
    <t>Rinita Pravin Parmar</t>
  </si>
  <si>
    <t>C36231988</t>
  </si>
  <si>
    <t xml:space="preserve">Roshani Dinesh Rane </t>
  </si>
  <si>
    <t>C36232047</t>
  </si>
  <si>
    <t>Naganikitha Ila</t>
  </si>
  <si>
    <t>C36232036</t>
  </si>
  <si>
    <t>Bhargavi T R</t>
  </si>
  <si>
    <t>Ichha  Manohar Shirke</t>
  </si>
  <si>
    <t>C36232071</t>
  </si>
  <si>
    <t>Swaroop Abhishek J</t>
  </si>
  <si>
    <t>C36232107</t>
  </si>
  <si>
    <t>Kokila S</t>
  </si>
  <si>
    <t>C36232117</t>
  </si>
  <si>
    <t xml:space="preserve">K S Arul Kumar </t>
  </si>
  <si>
    <t>C36232118</t>
  </si>
  <si>
    <t>Poornima Kotteswaran</t>
  </si>
  <si>
    <t>C36232138</t>
  </si>
  <si>
    <t>Suman Rajendra Yadav</t>
  </si>
  <si>
    <t>C36232223</t>
  </si>
  <si>
    <t>JLL</t>
  </si>
  <si>
    <t>Chandana K</t>
  </si>
  <si>
    <t>Adarsh C V</t>
  </si>
  <si>
    <t>C36232235</t>
  </si>
  <si>
    <t xml:space="preserve">Rayidi Prathima </t>
  </si>
  <si>
    <t>C36232274</t>
  </si>
  <si>
    <t xml:space="preserve">Mohmmed Sultan </t>
  </si>
  <si>
    <t>C36232280</t>
  </si>
  <si>
    <t>Maddipatla Sushanth</t>
  </si>
  <si>
    <t>C36232275</t>
  </si>
  <si>
    <t>Harshitha N</t>
  </si>
  <si>
    <t>C36232297</t>
  </si>
  <si>
    <t>Poornima M</t>
  </si>
  <si>
    <t>C36240063</t>
  </si>
  <si>
    <t>DBS bank</t>
  </si>
  <si>
    <t>Veritas</t>
  </si>
  <si>
    <t>Deloitte - Advisory</t>
  </si>
  <si>
    <t>Laxmi M</t>
  </si>
  <si>
    <t>Rahul Shivprasad Gupta</t>
  </si>
  <si>
    <t>C36240128</t>
  </si>
  <si>
    <t>Rutuja Shamrao Gaikwad</t>
  </si>
  <si>
    <t>C36240145</t>
  </si>
  <si>
    <t>Valmik Deepak Devare</t>
  </si>
  <si>
    <t>C36240141</t>
  </si>
  <si>
    <t>Koch Industries</t>
  </si>
  <si>
    <t>Vedant Prakash Mali</t>
  </si>
  <si>
    <t>C36240221</t>
  </si>
  <si>
    <t xml:space="preserve">T K Harshitha </t>
  </si>
  <si>
    <t>C36240252</t>
  </si>
  <si>
    <t xml:space="preserve">Vibinraj Stephen </t>
  </si>
  <si>
    <t>C36240231</t>
  </si>
  <si>
    <t>Kunal Machhindra Gaikwad</t>
  </si>
  <si>
    <t>C36240259</t>
  </si>
  <si>
    <t>Deloitte_Support</t>
  </si>
  <si>
    <t>FLUENCE ENERGY - PAYROLL</t>
  </si>
  <si>
    <t xml:space="preserve">Amarjeet Singh Surender Singh Jabal </t>
  </si>
  <si>
    <t>C36240269</t>
  </si>
  <si>
    <t>Pavana M</t>
  </si>
  <si>
    <t>Harman</t>
  </si>
  <si>
    <t>Deepa Munna Gupta</t>
  </si>
  <si>
    <t>C36240362</t>
  </si>
  <si>
    <t>Sindhu S R</t>
  </si>
  <si>
    <t>Suruchi Ravindra Chavan</t>
  </si>
  <si>
    <t>C36240393</t>
  </si>
  <si>
    <t xml:space="preserve">Shivani Rajeshkumar Tiwari </t>
  </si>
  <si>
    <t>C36240468</t>
  </si>
  <si>
    <t>Bina Christina</t>
  </si>
  <si>
    <t>Vijay Laxmi Jaiswal</t>
  </si>
  <si>
    <t>C36240516</t>
  </si>
  <si>
    <t>Disha Kumari  Doshi</t>
  </si>
  <si>
    <t>C36240451</t>
  </si>
  <si>
    <t>Chavala Rajkumar</t>
  </si>
  <si>
    <t>C36240427</t>
  </si>
  <si>
    <t>Ashwaq Khan S</t>
  </si>
  <si>
    <t>C36240434</t>
  </si>
  <si>
    <t xml:space="preserve">Yash Sandeep kamble </t>
  </si>
  <si>
    <t>C36240484</t>
  </si>
  <si>
    <t>Vaishnavi Prabhakar Manjarekar</t>
  </si>
  <si>
    <t>C36240453</t>
  </si>
  <si>
    <t>Santhosh G</t>
  </si>
  <si>
    <t>Saravanan P</t>
  </si>
  <si>
    <t xml:space="preserve">Vaishanavi Mohan Dhanawade </t>
  </si>
  <si>
    <t>C36240492</t>
  </si>
  <si>
    <t xml:space="preserve">Adarsh Ambadas Rachcha </t>
  </si>
  <si>
    <t>C36240503</t>
  </si>
  <si>
    <t xml:space="preserve">Srimathi </t>
  </si>
  <si>
    <t>C36240520</t>
  </si>
  <si>
    <t>Sakshi Ramdas Bavale</t>
  </si>
  <si>
    <t>C36240546</t>
  </si>
  <si>
    <t xml:space="preserve"> Harshitha  Yadav J</t>
  </si>
  <si>
    <t>C36240596</t>
  </si>
  <si>
    <t xml:space="preserve">Abhishek Ashok Harale </t>
  </si>
  <si>
    <t>C36240656</t>
  </si>
  <si>
    <t>Kennametal IT</t>
  </si>
  <si>
    <t>Deepak Dilip Gupta</t>
  </si>
  <si>
    <t>C36240647</t>
  </si>
  <si>
    <t>Deepika D</t>
  </si>
  <si>
    <t xml:space="preserve">Lavanya N		 </t>
  </si>
  <si>
    <t>C36240670</t>
  </si>
  <si>
    <t xml:space="preserve">Anurag Awadh Singh </t>
  </si>
  <si>
    <t>C36240687</t>
  </si>
  <si>
    <t>Priya Dattatray  Yadav</t>
  </si>
  <si>
    <t>C36240694</t>
  </si>
  <si>
    <t>Abhishek Sadashiv Sambhal</t>
  </si>
  <si>
    <t>C36240678</t>
  </si>
  <si>
    <t xml:space="preserve"> Fauzia Khan</t>
  </si>
  <si>
    <t>C36240712</t>
  </si>
  <si>
    <t>Infosys-Microsoft</t>
  </si>
  <si>
    <t>Shalini  R</t>
  </si>
  <si>
    <t>C36240721</t>
  </si>
  <si>
    <t>Analog Devices</t>
  </si>
  <si>
    <t>N Sivasree Sindhu</t>
  </si>
  <si>
    <t>C36240743</t>
  </si>
  <si>
    <t>DTICI</t>
  </si>
  <si>
    <t>Vaishnavi N J</t>
  </si>
  <si>
    <t>Aditya Santlal Gupta</t>
  </si>
  <si>
    <t>C36240864</t>
  </si>
  <si>
    <t>Ranjitha V Pai</t>
  </si>
  <si>
    <t>Gowsicka S</t>
  </si>
  <si>
    <t>C36240776</t>
  </si>
  <si>
    <t>Ranjana Hariram Sharma</t>
  </si>
  <si>
    <t>C36240746</t>
  </si>
  <si>
    <t xml:space="preserve">Pinky Khemraj Yadav  </t>
  </si>
  <si>
    <t>C36240753</t>
  </si>
  <si>
    <t xml:space="preserve">Nisha Sampath </t>
  </si>
  <si>
    <t>C36240752</t>
  </si>
  <si>
    <t>Yarroju Rama Naga Satya Kumari</t>
  </si>
  <si>
    <t>Lumen routing</t>
  </si>
  <si>
    <t>Arpita Biswal</t>
  </si>
  <si>
    <t>Northern Trust</t>
  </si>
  <si>
    <t>Pawan SL</t>
  </si>
  <si>
    <t xml:space="preserve"> Anuj Ravindra Pathak</t>
  </si>
  <si>
    <t>C36240921</t>
  </si>
  <si>
    <t>Tejaswini Prashant Kambli</t>
  </si>
  <si>
    <t>C36240931</t>
  </si>
  <si>
    <t>Mariam Zohra</t>
  </si>
  <si>
    <t>C36240873</t>
  </si>
  <si>
    <t xml:space="preserve">Samrat Bandopadhyay </t>
  </si>
  <si>
    <t>C36240880</t>
  </si>
  <si>
    <t>Afreen Shariff</t>
  </si>
  <si>
    <t>C36240885</t>
  </si>
  <si>
    <t>Bharathi</t>
  </si>
  <si>
    <t>C36240944</t>
  </si>
  <si>
    <t xml:space="preserve">Shubham Shyamsunder Samant </t>
  </si>
  <si>
    <t>C36240924</t>
  </si>
  <si>
    <t>Sangeetham Jyothirmai</t>
  </si>
  <si>
    <t>Pacha Vyshnavi</t>
  </si>
  <si>
    <t>Mahalakshmi S</t>
  </si>
  <si>
    <t>Accenture_IDB_1</t>
  </si>
  <si>
    <t>Samarth  Nitin Kalokhe</t>
  </si>
  <si>
    <t>C36240927</t>
  </si>
  <si>
    <t>Vaishnavi Mangesh Kambli</t>
  </si>
  <si>
    <t>C36240958</t>
  </si>
  <si>
    <t>Anil Kumar M</t>
  </si>
  <si>
    <t>Arnab Banerjee</t>
  </si>
  <si>
    <t>C36240989</t>
  </si>
  <si>
    <t>Rushabh  Prakash Katekar</t>
  </si>
  <si>
    <t>C36241024</t>
  </si>
  <si>
    <t>Ravi Berwal</t>
  </si>
  <si>
    <t>Vishal Pruthviraj Chavan</t>
  </si>
  <si>
    <t>C36241041</t>
  </si>
  <si>
    <t>Syeda Sadiya</t>
  </si>
  <si>
    <t>C36241040</t>
  </si>
  <si>
    <t>Monisha Srinivasan</t>
  </si>
  <si>
    <t>Sumit  Sharad Polke</t>
  </si>
  <si>
    <t>C36241063</t>
  </si>
  <si>
    <t>Sakshi Ramashish  Yadav</t>
  </si>
  <si>
    <t>C36241061</t>
  </si>
  <si>
    <t>Jamuna Chogalal Jalwaniya</t>
  </si>
  <si>
    <t>C36241058</t>
  </si>
  <si>
    <t>BSH</t>
  </si>
  <si>
    <t>Boston Scientific</t>
  </si>
  <si>
    <t>Durvesh  Anil Chavan</t>
  </si>
  <si>
    <t>C36241102</t>
  </si>
  <si>
    <t>Infosys 3</t>
  </si>
  <si>
    <t>Vikas Jageshwar  Divakar</t>
  </si>
  <si>
    <t>C36241189</t>
  </si>
  <si>
    <t>Ashwini Jekinakatti</t>
  </si>
  <si>
    <t>Saif Ali Ansari</t>
  </si>
  <si>
    <t>C36241184</t>
  </si>
  <si>
    <t xml:space="preserve">Chorghe Sairaj Dnyaneshwar </t>
  </si>
  <si>
    <t>C36241239</t>
  </si>
  <si>
    <t xml:space="preserve">Younus Ahmed Shariff </t>
  </si>
  <si>
    <t>C36241229</t>
  </si>
  <si>
    <t>Jithin P</t>
  </si>
  <si>
    <t>C36241224</t>
  </si>
  <si>
    <t>Vivek Arvind Kumar Jain</t>
  </si>
  <si>
    <t>C36241368</t>
  </si>
  <si>
    <t>NEHA KUMARI</t>
  </si>
  <si>
    <t>Hinge Health</t>
  </si>
  <si>
    <t xml:space="preserve">Harsh Sanjay Bhosle </t>
  </si>
  <si>
    <t>C36241351</t>
  </si>
  <si>
    <t>ANZ OPS</t>
  </si>
  <si>
    <t>Wipro</t>
  </si>
  <si>
    <t>Pallavi Mahadev Chavan</t>
  </si>
  <si>
    <t>C36241332</t>
  </si>
  <si>
    <t xml:space="preserve"> Sachin Ramlal  Shahu</t>
  </si>
  <si>
    <t>C36241343</t>
  </si>
  <si>
    <t>Akshay Deepak Chavan</t>
  </si>
  <si>
    <t>C36241454</t>
  </si>
  <si>
    <t>Rakshitha Chennaveerappa</t>
  </si>
  <si>
    <t>C36241653</t>
  </si>
  <si>
    <t xml:space="preserve">Chetan Shekar Shetty </t>
  </si>
  <si>
    <t>C36241626</t>
  </si>
  <si>
    <t>Dhanesh Ravi Taddu</t>
  </si>
  <si>
    <t>C36241655</t>
  </si>
  <si>
    <t>Vishakha Kishore Parmar</t>
  </si>
  <si>
    <t>C36241621</t>
  </si>
  <si>
    <t xml:space="preserve">Shivam Anantrao Thummala </t>
  </si>
  <si>
    <t>C36241748</t>
  </si>
  <si>
    <t>M Chungsanglen Kom</t>
  </si>
  <si>
    <t>C36241744</t>
  </si>
  <si>
    <t>Isha Sunil Palande</t>
  </si>
  <si>
    <t>C36241818</t>
  </si>
  <si>
    <t>P Varsha</t>
  </si>
  <si>
    <t>C36241789</t>
  </si>
  <si>
    <t>Divya Np</t>
  </si>
  <si>
    <t>Vaishnavi Shambi</t>
  </si>
  <si>
    <t>Payal Priya</t>
  </si>
  <si>
    <t>C36241982</t>
  </si>
  <si>
    <t>RATNAKAR PANDEY</t>
  </si>
  <si>
    <t>C36241895</t>
  </si>
  <si>
    <t>Riddhi Kishor Kakrecha</t>
  </si>
  <si>
    <t>C36241896</t>
  </si>
  <si>
    <t xml:space="preserve">Jaydeep Arjun Gadugale </t>
  </si>
  <si>
    <t>C36242104</t>
  </si>
  <si>
    <t>Omkar Vijay Gaikwad</t>
  </si>
  <si>
    <t>C36241954</t>
  </si>
  <si>
    <t>Xylem INC</t>
  </si>
  <si>
    <t>Shetty Shrinidhi Udayakumar</t>
  </si>
  <si>
    <t>Dhiren Rajesh Zambre</t>
  </si>
  <si>
    <t>C36242103</t>
  </si>
  <si>
    <t>Google</t>
  </si>
  <si>
    <t>Rajat Tyagi</t>
  </si>
  <si>
    <t>Varshini H</t>
  </si>
  <si>
    <t>C36242098</t>
  </si>
  <si>
    <t xml:space="preserve">Anitson George Kappil </t>
  </si>
  <si>
    <t>C36242100</t>
  </si>
  <si>
    <t>Lumen C2H</t>
  </si>
  <si>
    <t>Preety Biswas</t>
  </si>
  <si>
    <t>C36242179</t>
  </si>
  <si>
    <t>Ritesh Kumar Singh</t>
  </si>
  <si>
    <t>C36242178</t>
  </si>
  <si>
    <t>Bhavesh Ajay Shelar</t>
  </si>
  <si>
    <t>C36242190</t>
  </si>
  <si>
    <t>Snehal Mohan Raut</t>
  </si>
  <si>
    <t>C36242197</t>
  </si>
  <si>
    <t xml:space="preserve">Omkar Vijay Sakharkar </t>
  </si>
  <si>
    <t>C36242198</t>
  </si>
  <si>
    <t>Gurmeet Satish Bagga</t>
  </si>
  <si>
    <t>C36242289</t>
  </si>
  <si>
    <t>Bharat Forge</t>
  </si>
  <si>
    <t xml:space="preserve">Siddharth Vinod Vakkat </t>
  </si>
  <si>
    <t>C36242416</t>
  </si>
  <si>
    <t>Amazon</t>
  </si>
  <si>
    <t>Shravika K A</t>
  </si>
  <si>
    <t>Pratik Shankar Chavhan</t>
  </si>
  <si>
    <t>C36242357</t>
  </si>
  <si>
    <t>Jamadhagni Geethanjali</t>
  </si>
  <si>
    <t>A Chanchal</t>
  </si>
  <si>
    <t>C36242515</t>
  </si>
  <si>
    <t>Subhash Kumar</t>
  </si>
  <si>
    <t>Nida Khan</t>
  </si>
  <si>
    <t>C36242423</t>
  </si>
  <si>
    <t>Rewati Umesh Jadhav</t>
  </si>
  <si>
    <t>C36242427</t>
  </si>
  <si>
    <t>Abhishek Dinesh Jadhav</t>
  </si>
  <si>
    <t>C36242512</t>
  </si>
  <si>
    <t>Basavaraj B</t>
  </si>
  <si>
    <t>Abrar Sangoli</t>
  </si>
  <si>
    <t>C36242514</t>
  </si>
  <si>
    <t>Archana B. K</t>
  </si>
  <si>
    <t>Johnson Electric</t>
  </si>
  <si>
    <t xml:space="preserve">Tushar Rajendra Jangam </t>
  </si>
  <si>
    <t>C36242622</t>
  </si>
  <si>
    <t>Tasneem A</t>
  </si>
  <si>
    <t>C36242529</t>
  </si>
  <si>
    <t>Elakkiya S</t>
  </si>
  <si>
    <t>C36250005</t>
  </si>
  <si>
    <t>Manish Shirish Divekar</t>
  </si>
  <si>
    <t>C36250003</t>
  </si>
  <si>
    <t>Cognizant</t>
  </si>
  <si>
    <t>Coupang</t>
  </si>
  <si>
    <t>Tejashwini J</t>
  </si>
  <si>
    <t>C36250098</t>
  </si>
  <si>
    <t xml:space="preserve">Akash Dubey </t>
  </si>
  <si>
    <t>C36250130</t>
  </si>
  <si>
    <t>Suganya D</t>
  </si>
  <si>
    <t>C36250155</t>
  </si>
  <si>
    <t>Arun Jyothi M</t>
  </si>
  <si>
    <t>Dipika Saha</t>
  </si>
  <si>
    <t xml:space="preserve">Harini Shree </t>
  </si>
  <si>
    <t>C36250206</t>
  </si>
  <si>
    <t>Niyati Ravindra Patil</t>
  </si>
  <si>
    <t>C36250287</t>
  </si>
  <si>
    <t>Omkar Ganesh Salvi</t>
  </si>
  <si>
    <t>C36250231</t>
  </si>
  <si>
    <t>Vikrant Singh Tomar</t>
  </si>
  <si>
    <t>C36250244</t>
  </si>
  <si>
    <t>Prafull Ramesh Upale</t>
  </si>
  <si>
    <t>C36250249</t>
  </si>
  <si>
    <t xml:space="preserve">Avinash Baban Singh      </t>
  </si>
  <si>
    <t>C36250280</t>
  </si>
  <si>
    <t xml:space="preserve">K Thoshith Vignesh </t>
  </si>
  <si>
    <t>C36250329</t>
  </si>
  <si>
    <t>Shivani Kamlesh Tiwari</t>
  </si>
  <si>
    <t>C36250322</t>
  </si>
  <si>
    <t>Infosys_DNA</t>
  </si>
  <si>
    <t>Waseem Sharieff</t>
  </si>
  <si>
    <t>C36250433</t>
  </si>
  <si>
    <t>Death in Service</t>
  </si>
  <si>
    <t>Bread Financials_Support</t>
  </si>
  <si>
    <t>Mallepula Thulasi</t>
  </si>
  <si>
    <t>C36250376</t>
  </si>
  <si>
    <t>Goutham Raj</t>
  </si>
  <si>
    <t>Aditya Girja Pasi</t>
  </si>
  <si>
    <t>C36250438</t>
  </si>
  <si>
    <t>Ayush Vijay Shukla</t>
  </si>
  <si>
    <t>C36250404</t>
  </si>
  <si>
    <t>Infosys IVS</t>
  </si>
  <si>
    <t xml:space="preserve">Snehal Gajanan Deshmukh	 </t>
  </si>
  <si>
    <t>C36250694</t>
  </si>
  <si>
    <t xml:space="preserve">Harshith V	 </t>
  </si>
  <si>
    <t>C36250412</t>
  </si>
  <si>
    <t>Lenovo</t>
  </si>
  <si>
    <t>Shrutika Sunil Thorat</t>
  </si>
  <si>
    <t>C36250471</t>
  </si>
  <si>
    <t>Swiss Re</t>
  </si>
  <si>
    <t>Lam Research</t>
  </si>
  <si>
    <t>Priyanka Barik</t>
  </si>
  <si>
    <t>CME</t>
  </si>
  <si>
    <t>UHG-Non IT</t>
  </si>
  <si>
    <t>Bgv Failure</t>
  </si>
  <si>
    <t>Sahil Choudhary</t>
  </si>
  <si>
    <t>Abhishek Kumar</t>
  </si>
  <si>
    <t>Sumit Raj Amit Singh</t>
  </si>
  <si>
    <t>C36250736</t>
  </si>
  <si>
    <t>Akash Jena</t>
  </si>
  <si>
    <t>Syed Ayub Uddin</t>
  </si>
  <si>
    <t>Medline Industries, LP</t>
  </si>
  <si>
    <t>Ningappa M Donni</t>
  </si>
  <si>
    <t>Harman_Bangalore</t>
  </si>
  <si>
    <t>Laxmitha  D</t>
  </si>
  <si>
    <t>Priya Agrawal</t>
  </si>
  <si>
    <t>Muskan S</t>
  </si>
  <si>
    <t>Lakshmi Priya A</t>
  </si>
  <si>
    <t>No Show</t>
  </si>
  <si>
    <t>Infosys Consulting</t>
  </si>
  <si>
    <t>Fluence Energy</t>
  </si>
  <si>
    <t>Dhanush P</t>
  </si>
  <si>
    <t>C36251073</t>
  </si>
  <si>
    <t>Rishi Lachhman Bhatia</t>
  </si>
  <si>
    <t>C36250967</t>
  </si>
  <si>
    <t>Lenovo 2</t>
  </si>
  <si>
    <t>Arbaz Khan</t>
  </si>
  <si>
    <t>CME_C2H</t>
  </si>
  <si>
    <t>TCS</t>
  </si>
  <si>
    <t>Sarah Mecci</t>
  </si>
  <si>
    <t>C36251181</t>
  </si>
  <si>
    <t>Soham Santosh Nalawade</t>
  </si>
  <si>
    <t>C36251263</t>
  </si>
  <si>
    <t>Sumit Subhash Yadav</t>
  </si>
  <si>
    <t>C36251143</t>
  </si>
  <si>
    <t>OSBI_Payroll</t>
  </si>
  <si>
    <t>Dhaval Patel</t>
  </si>
  <si>
    <t>Piyush Rajesh Khaniwale</t>
  </si>
  <si>
    <t>C36251270</t>
  </si>
  <si>
    <t>Ayushree Ajay Kadam</t>
  </si>
  <si>
    <t>C36251236</t>
  </si>
  <si>
    <t xml:space="preserve">Mrunal Sanjay Borse </t>
  </si>
  <si>
    <t>C36251268</t>
  </si>
  <si>
    <t>Siddhant Ashok Mokal</t>
  </si>
  <si>
    <t>C36251266</t>
  </si>
  <si>
    <t>Raj Ramesh Jaiswar</t>
  </si>
  <si>
    <t>C36251359</t>
  </si>
  <si>
    <t>Vaishnavi Shailendra Rao</t>
  </si>
  <si>
    <t>C36251340</t>
  </si>
  <si>
    <t>Mahesh Yadav</t>
  </si>
  <si>
    <t>S Vimal</t>
  </si>
  <si>
    <t>C36251333</t>
  </si>
  <si>
    <t>Deepika R</t>
  </si>
  <si>
    <t>Aryan  Prashant Toraskar</t>
  </si>
  <si>
    <t>C36251375</t>
  </si>
  <si>
    <t>Avishka Vishnu Patil</t>
  </si>
  <si>
    <t>C36251354</t>
  </si>
  <si>
    <t>Sahil Umashankar Sharma</t>
  </si>
  <si>
    <t>C36251365</t>
  </si>
  <si>
    <t>Prachita Shrikant Naik</t>
  </si>
  <si>
    <t>C36251408</t>
  </si>
  <si>
    <t>Purushothaman Arunagiri</t>
  </si>
  <si>
    <t>C36251454</t>
  </si>
  <si>
    <t>Rajalakshmi S</t>
  </si>
  <si>
    <t>C36251406</t>
  </si>
  <si>
    <t>C36251422</t>
  </si>
  <si>
    <t>Ujala Anil Singh</t>
  </si>
  <si>
    <t>C36251471</t>
  </si>
  <si>
    <t>DXC Technologies – SGP</t>
  </si>
  <si>
    <t xml:space="preserve">Soham Santosh Palkar </t>
  </si>
  <si>
    <t>C36251460</t>
  </si>
  <si>
    <t>Akshat Sameer Nadkarni</t>
  </si>
  <si>
    <t>C36251456</t>
  </si>
  <si>
    <t>Rishabh Saxena</t>
  </si>
  <si>
    <t>Devesh Ganesh Chaudhari</t>
  </si>
  <si>
    <t>C36251469</t>
  </si>
  <si>
    <t>Dipika  Rajesh Khade</t>
  </si>
  <si>
    <t>C36251462</t>
  </si>
  <si>
    <t>Tasmiya Shaikh</t>
  </si>
  <si>
    <t>C36251515</t>
  </si>
  <si>
    <t>Rahul Ramesh Gupta</t>
  </si>
  <si>
    <t>C36251468</t>
  </si>
  <si>
    <t>Tarrannum  Abbas Khatri</t>
  </si>
  <si>
    <t>C36251491</t>
  </si>
  <si>
    <t>Mohammad Rashid  Kasim Khan.</t>
  </si>
  <si>
    <t>C36251501</t>
  </si>
  <si>
    <t>Abhishek Haribansh Prasad</t>
  </si>
  <si>
    <t>C36251486</t>
  </si>
  <si>
    <t>Silpa P</t>
  </si>
  <si>
    <t>Thangapushpam S</t>
  </si>
  <si>
    <t>C36251535</t>
  </si>
  <si>
    <t>Kiruthika S</t>
  </si>
  <si>
    <t>C36251593</t>
  </si>
  <si>
    <t>Nirav Santosh Soni</t>
  </si>
  <si>
    <t>C36251547</t>
  </si>
  <si>
    <t>Chandan Satpalsingh Khosla</t>
  </si>
  <si>
    <t>C36251684</t>
  </si>
  <si>
    <t>Reshma</t>
  </si>
  <si>
    <t>C36251549</t>
  </si>
  <si>
    <t>C36251584</t>
  </si>
  <si>
    <t>Sandhya N T</t>
  </si>
  <si>
    <t>C36251567</t>
  </si>
  <si>
    <t>Mubeen Naaz Shaik</t>
  </si>
  <si>
    <t>Mona R</t>
  </si>
  <si>
    <t>C36251537</t>
  </si>
  <si>
    <t>Vivek Ramanand Tiwari</t>
  </si>
  <si>
    <t>C36251562</t>
  </si>
  <si>
    <t>Pratiksha Balu Jadhav</t>
  </si>
  <si>
    <t>C36251605</t>
  </si>
  <si>
    <t xml:space="preserve">Ishita Dattu Gangurde </t>
  </si>
  <si>
    <t>C36251608</t>
  </si>
  <si>
    <t xml:space="preserve">Abhijeet Pratap Tripathy </t>
  </si>
  <si>
    <t>C36251603</t>
  </si>
  <si>
    <t>Arman Jabbar Ansari</t>
  </si>
  <si>
    <t>C36251604</t>
  </si>
  <si>
    <t>Cred</t>
  </si>
  <si>
    <t>Harishchandra Dnyaneshwar Kurle</t>
  </si>
  <si>
    <t>C36251623</t>
  </si>
  <si>
    <t xml:space="preserve">Muhammad Samrooth </t>
  </si>
  <si>
    <t>C36251695</t>
  </si>
  <si>
    <t>Kothavale Nashrah Mohammed Gaus</t>
  </si>
  <si>
    <t>C36251713</t>
  </si>
  <si>
    <t xml:space="preserve">Navya Radhakrishnan </t>
  </si>
  <si>
    <t>C36251718</t>
  </si>
  <si>
    <t xml:space="preserve"> Balaji Bajrang Godbole</t>
  </si>
  <si>
    <t>C36251743</t>
  </si>
  <si>
    <t>Amrithesh Sairam</t>
  </si>
  <si>
    <t>Dhanisha D</t>
  </si>
  <si>
    <t xml:space="preserve">Devashri Sukesh Amin </t>
  </si>
  <si>
    <t>C36251735</t>
  </si>
  <si>
    <t>G Pavithra</t>
  </si>
  <si>
    <t>C36251818</t>
  </si>
  <si>
    <t>Flora Rosalina Karra</t>
  </si>
  <si>
    <t>C36251794</t>
  </si>
  <si>
    <t>Pawan Vinod Giri</t>
  </si>
  <si>
    <t>C36251784</t>
  </si>
  <si>
    <t xml:space="preserve"> Penumatsa Lavanya</t>
  </si>
  <si>
    <t>C36251874</t>
  </si>
  <si>
    <t>Sarah Mazhar</t>
  </si>
  <si>
    <t>C36251876</t>
  </si>
  <si>
    <t>Nikhil Kumar</t>
  </si>
  <si>
    <t>C36251836</t>
  </si>
  <si>
    <t>Kavya S</t>
  </si>
  <si>
    <t>C36251868</t>
  </si>
  <si>
    <t xml:space="preserve">Renuga Palanisamy </t>
  </si>
  <si>
    <t>C36251886</t>
  </si>
  <si>
    <t xml:space="preserve">Manish Yadav </t>
  </si>
  <si>
    <t>C36251881</t>
  </si>
  <si>
    <t>Barsha  Sarker</t>
  </si>
  <si>
    <t>C36251943</t>
  </si>
  <si>
    <t>S Lohith</t>
  </si>
  <si>
    <t>C36251895</t>
  </si>
  <si>
    <t>Neeraj Rathnam</t>
  </si>
  <si>
    <t>C36251909</t>
  </si>
  <si>
    <t xml:space="preserve">Prince Patnaik </t>
  </si>
  <si>
    <t>C36251993</t>
  </si>
  <si>
    <t xml:space="preserve"> Sangeetha  M</t>
  </si>
  <si>
    <t>C36251932</t>
  </si>
  <si>
    <t>Prajwal K</t>
  </si>
  <si>
    <t>C36251930</t>
  </si>
  <si>
    <t>Keerthan D</t>
  </si>
  <si>
    <t>C36251974</t>
  </si>
  <si>
    <t>Dhanya Muraleekrishnan</t>
  </si>
  <si>
    <t>C36251971</t>
  </si>
  <si>
    <t>VISA</t>
  </si>
  <si>
    <t>Sahil Akbar Shaikh</t>
  </si>
  <si>
    <t>C36252009</t>
  </si>
  <si>
    <t>Sneha A</t>
  </si>
  <si>
    <t>C36252023</t>
  </si>
  <si>
    <t xml:space="preserve">G Hemanth </t>
  </si>
  <si>
    <t>C36251999</t>
  </si>
  <si>
    <t>Sufiyana I</t>
  </si>
  <si>
    <t>C36252018</t>
  </si>
  <si>
    <t>Chiranjeev Desai</t>
  </si>
  <si>
    <t>EdgeVerve</t>
  </si>
  <si>
    <t>Surbhi</t>
  </si>
  <si>
    <t>C36252053</t>
  </si>
  <si>
    <t>Infosys-India Pvt Ltd</t>
  </si>
  <si>
    <t xml:space="preserve">Dineshkumar Jeyakumar </t>
  </si>
  <si>
    <t>C36252048</t>
  </si>
  <si>
    <t>Kumari Annu</t>
  </si>
  <si>
    <t>C36252119</t>
  </si>
  <si>
    <t>Lakshmi Bholay Ram</t>
  </si>
  <si>
    <t>C36252045</t>
  </si>
  <si>
    <t>Muskaan Begum K</t>
  </si>
  <si>
    <t>C36252124</t>
  </si>
  <si>
    <t>Prisha  Syndrella John</t>
  </si>
  <si>
    <t>C36252097</t>
  </si>
  <si>
    <t>Akash K</t>
  </si>
  <si>
    <t>C36252149</t>
  </si>
  <si>
    <t>Yuktha Y S</t>
  </si>
  <si>
    <t>C36252105</t>
  </si>
  <si>
    <t>Ajay Madhav Kumbharkar</t>
  </si>
  <si>
    <t>C36252170</t>
  </si>
  <si>
    <t xml:space="preserve">Saniya Vivek Tare </t>
  </si>
  <si>
    <t>C36252132</t>
  </si>
  <si>
    <t xml:space="preserve">Abdul Rab Faizan </t>
  </si>
  <si>
    <t>C36252102</t>
  </si>
  <si>
    <t>Roopa.C</t>
  </si>
  <si>
    <t>C36252176</t>
  </si>
  <si>
    <t>Chandana N</t>
  </si>
  <si>
    <t>C36252104</t>
  </si>
  <si>
    <t xml:space="preserve">Mohammed Suhail Pasha </t>
  </si>
  <si>
    <t>C36252140</t>
  </si>
  <si>
    <t xml:space="preserve">Peruru Tailor Shabreen </t>
  </si>
  <si>
    <t>C36252131</t>
  </si>
  <si>
    <t>Ananya V</t>
  </si>
  <si>
    <t>C36252130</t>
  </si>
  <si>
    <t>Naga sankeerthana</t>
  </si>
  <si>
    <t xml:space="preserve">B Harsha </t>
  </si>
  <si>
    <t>C36252174</t>
  </si>
  <si>
    <t>Vinodhini E</t>
  </si>
  <si>
    <t>Meenaz  Abdul Gani Shaikh</t>
  </si>
  <si>
    <t>C36252181</t>
  </si>
  <si>
    <t>S Mohammad Athahar</t>
  </si>
  <si>
    <t>C36252266</t>
  </si>
  <si>
    <t>Preet Sanjay Burman</t>
  </si>
  <si>
    <t>C36252172</t>
  </si>
  <si>
    <t>Swetha Sudhakaran</t>
  </si>
  <si>
    <t>C36252227</t>
  </si>
  <si>
    <t>Shruthi G</t>
  </si>
  <si>
    <t>C36252251</t>
  </si>
  <si>
    <t>Verifone</t>
  </si>
  <si>
    <t>Bishnuprasad Sasankasekhar Sabat</t>
  </si>
  <si>
    <t>C36252312</t>
  </si>
  <si>
    <t>Archana  Sahu</t>
  </si>
  <si>
    <t>C36252325</t>
  </si>
  <si>
    <t xml:space="preserve">Gadala Venkata Naga Soumya </t>
  </si>
  <si>
    <t>C36252358</t>
  </si>
  <si>
    <t>Ponnada Anjuna</t>
  </si>
  <si>
    <t>C36252347</t>
  </si>
  <si>
    <t>Bindu H N</t>
  </si>
  <si>
    <t>C36252315</t>
  </si>
  <si>
    <t>Mansi R</t>
  </si>
  <si>
    <t>J Spoorthi</t>
  </si>
  <si>
    <t>C36252346</t>
  </si>
  <si>
    <t>Shaikh Mahaboob Mastan</t>
  </si>
  <si>
    <t>C36252345</t>
  </si>
  <si>
    <t>Lakshmi Shree S Rao</t>
  </si>
  <si>
    <t>C36252340</t>
  </si>
  <si>
    <t>Jency Jayan</t>
  </si>
  <si>
    <t>C36252362</t>
  </si>
  <si>
    <t>Gayatrree Manouj Marathe</t>
  </si>
  <si>
    <t>C36252350</t>
  </si>
  <si>
    <t xml:space="preserve"> B S Namratha</t>
  </si>
  <si>
    <t>C36252349</t>
  </si>
  <si>
    <t>C36252360</t>
  </si>
  <si>
    <t>Aditya Dyaneswar hotkar</t>
  </si>
  <si>
    <t>C36252371</t>
  </si>
  <si>
    <t>Amar Prakash Sinha</t>
  </si>
  <si>
    <t>C36252348</t>
  </si>
  <si>
    <t>Ayesha Iram  C R</t>
  </si>
  <si>
    <t>C36252379</t>
  </si>
  <si>
    <t>Rahul Vijay Manve</t>
  </si>
  <si>
    <t>C36252382</t>
  </si>
  <si>
    <t>Trupti  S Balikai</t>
  </si>
  <si>
    <t>C36252388</t>
  </si>
  <si>
    <t>LOKESH RAMESH BABU</t>
  </si>
  <si>
    <t>Shreemayee Sinha</t>
  </si>
  <si>
    <t>C36252440</t>
  </si>
  <si>
    <t>Pawan Shivnath Yadav</t>
  </si>
  <si>
    <t>C36252438</t>
  </si>
  <si>
    <t>Neha Jitendra Thath era</t>
  </si>
  <si>
    <t>C36252463</t>
  </si>
  <si>
    <t>Anjali Lahu Dale</t>
  </si>
  <si>
    <t>C36252474</t>
  </si>
  <si>
    <t>Vyshakh Purushothaman</t>
  </si>
  <si>
    <t>C36252472</t>
  </si>
  <si>
    <t>Harshitha V</t>
  </si>
  <si>
    <t>Adnan Naseer</t>
  </si>
  <si>
    <t>C36252516</t>
  </si>
  <si>
    <t>Jawad u</t>
  </si>
  <si>
    <t xml:space="preserve">Shabrish Krishnaswamy </t>
  </si>
  <si>
    <t>C36252510</t>
  </si>
  <si>
    <t>Pooja Arun Panda</t>
  </si>
  <si>
    <t>C36252505</t>
  </si>
  <si>
    <t>Shahid Afridi</t>
  </si>
  <si>
    <t>Ananda Shubra Bhowmick</t>
  </si>
  <si>
    <t>C36252513</t>
  </si>
  <si>
    <t xml:space="preserve">Manju </t>
  </si>
  <si>
    <t>C36252515</t>
  </si>
  <si>
    <t>Onkar Padhi</t>
  </si>
  <si>
    <t>C36252545</t>
  </si>
  <si>
    <t>Vinayak Y Bajantri</t>
  </si>
  <si>
    <t>C36252551</t>
  </si>
  <si>
    <t>Kiruthika Arumugam</t>
  </si>
  <si>
    <t>C36260013</t>
  </si>
  <si>
    <t>Aarya Dilip  Ghosalkar</t>
  </si>
  <si>
    <t>C36260018</t>
  </si>
  <si>
    <t>Rohit  Vinod Sonawale</t>
  </si>
  <si>
    <t>C36260038</t>
  </si>
  <si>
    <t xml:space="preserve">Annagiri Kavitha </t>
  </si>
  <si>
    <t>C36260103</t>
  </si>
  <si>
    <t>Anish Albert Mendonca</t>
  </si>
  <si>
    <t>C36260096</t>
  </si>
  <si>
    <t>Sonali Arun Panigrahi</t>
  </si>
  <si>
    <t>C36260118</t>
  </si>
  <si>
    <t>Leon Dennis Dsilva</t>
  </si>
  <si>
    <t>C36260277</t>
  </si>
  <si>
    <t>Dimple Dinesh More</t>
  </si>
  <si>
    <t>C36260191</t>
  </si>
  <si>
    <t xml:space="preserve">Yukta Mangesh Goday </t>
  </si>
  <si>
    <t>C36260287</t>
  </si>
  <si>
    <t>Arcelor Mittal</t>
  </si>
  <si>
    <t>MOHD ALI</t>
  </si>
  <si>
    <t>C36260434</t>
  </si>
  <si>
    <t>Komal Singh</t>
  </si>
  <si>
    <t>C36260415</t>
  </si>
  <si>
    <t>Nehanaz Zeeshan Attar</t>
  </si>
  <si>
    <t>C36260414</t>
  </si>
  <si>
    <t>Sandesh Rajendra Mohite</t>
  </si>
  <si>
    <t>C36260410</t>
  </si>
  <si>
    <t>Baswa Yuvasree</t>
  </si>
  <si>
    <t>C36260475</t>
  </si>
  <si>
    <t>Deloitte Mercedes Benz</t>
  </si>
  <si>
    <t>Dheeraj G J</t>
  </si>
  <si>
    <t>C36260558</t>
  </si>
  <si>
    <t>Rithu C M</t>
  </si>
  <si>
    <t>C36260564</t>
  </si>
  <si>
    <t>Shailesh Gangwar</t>
  </si>
  <si>
    <t>HP 70</t>
  </si>
  <si>
    <t>Pinnadhari Thasleem</t>
  </si>
  <si>
    <t>C36260743</t>
  </si>
  <si>
    <t>tentative_exit_date</t>
  </si>
  <si>
    <t>UHG</t>
  </si>
  <si>
    <t>CM Siddiq</t>
  </si>
  <si>
    <t>C36221448</t>
  </si>
  <si>
    <t>Deepa  Kumari</t>
  </si>
  <si>
    <t>C36230946</t>
  </si>
  <si>
    <t>Sowmiya  Vijayan</t>
  </si>
  <si>
    <t>C36230940</t>
  </si>
  <si>
    <t>Akhilesh Dilip domb</t>
  </si>
  <si>
    <t>C36230932</t>
  </si>
  <si>
    <t xml:space="preserve">Shivam Anant Pawar  </t>
  </si>
  <si>
    <t>C36230953</t>
  </si>
  <si>
    <t>Angelica Pereira</t>
  </si>
  <si>
    <t>C36231170</t>
  </si>
  <si>
    <t xml:space="preserve">T Gireesha </t>
  </si>
  <si>
    <t>C36231155</t>
  </si>
  <si>
    <t>Magimailishi  D</t>
  </si>
  <si>
    <t>C36231227</t>
  </si>
  <si>
    <t xml:space="preserve">Thambadi Sunil Kumar </t>
  </si>
  <si>
    <t>C36231217</t>
  </si>
  <si>
    <t>Aanchal</t>
  </si>
  <si>
    <t>C36231402</t>
  </si>
  <si>
    <t>Lakshmi Sri P</t>
  </si>
  <si>
    <t>C36231386</t>
  </si>
  <si>
    <t>Krithika R Das</t>
  </si>
  <si>
    <t>C36240140</t>
  </si>
  <si>
    <t>Sahil Ashok More</t>
  </si>
  <si>
    <t>C36240136</t>
  </si>
  <si>
    <t>Gujarathi Pavani</t>
  </si>
  <si>
    <t>C36240227</t>
  </si>
  <si>
    <t>Mandla Sagar</t>
  </si>
  <si>
    <t>C36240391</t>
  </si>
  <si>
    <t>Chaitanya C</t>
  </si>
  <si>
    <t>C36240448</t>
  </si>
  <si>
    <t>Mohammed Moinuddin</t>
  </si>
  <si>
    <t>C36240476</t>
  </si>
  <si>
    <t>Dinesh Kumar Jain</t>
  </si>
  <si>
    <t>C36240496</t>
  </si>
  <si>
    <t>Arpit Asodiya</t>
  </si>
  <si>
    <t>C36240534</t>
  </si>
  <si>
    <t>Naveen Kumar A</t>
  </si>
  <si>
    <t>C36240433</t>
  </si>
  <si>
    <t>Rahul Lahu Gothal</t>
  </si>
  <si>
    <t>C36240897</t>
  </si>
  <si>
    <t>Sakshi Jagtap</t>
  </si>
  <si>
    <t>C36240915</t>
  </si>
  <si>
    <t>Jayalakshmi Jayakumar Kanganullithara</t>
  </si>
  <si>
    <t>C36240938</t>
  </si>
  <si>
    <t>Umadevi K</t>
  </si>
  <si>
    <t>Sahil Vijay  Kadam</t>
  </si>
  <si>
    <t>C36240949</t>
  </si>
  <si>
    <t xml:space="preserve"> Sakshi Hodage  Ajit</t>
  </si>
  <si>
    <t>C36241016</t>
  </si>
  <si>
    <t>Krutika  Ajay Patil</t>
  </si>
  <si>
    <t>C36241069</t>
  </si>
  <si>
    <t xml:space="preserve">Sanika Rajaram Powar </t>
  </si>
  <si>
    <t>C36241091</t>
  </si>
  <si>
    <t>Kimaya Nitin Patil</t>
  </si>
  <si>
    <t>C36241145</t>
  </si>
  <si>
    <t>Damam Umar Farook</t>
  </si>
  <si>
    <t>C36241346</t>
  </si>
  <si>
    <t>M Namratha</t>
  </si>
  <si>
    <t>C36241227</t>
  </si>
  <si>
    <t>Esha Dineshchand Sharma</t>
  </si>
  <si>
    <t>C36241391</t>
  </si>
  <si>
    <t>Rohan Manoj Shinde</t>
  </si>
  <si>
    <t>C36241623</t>
  </si>
  <si>
    <t>Kubera G</t>
  </si>
  <si>
    <t>C36241758</t>
  </si>
  <si>
    <t xml:space="preserve">H G Kushbu </t>
  </si>
  <si>
    <t>C36241819</t>
  </si>
  <si>
    <t>Ghanathe C H</t>
  </si>
  <si>
    <t>C36241981</t>
  </si>
  <si>
    <t>Rhitesh Yeshwant Pardale</t>
  </si>
  <si>
    <t>C36241958</t>
  </si>
  <si>
    <t xml:space="preserve"> Harsh Ganesh  Jindal </t>
  </si>
  <si>
    <t>C36242070</t>
  </si>
  <si>
    <t>Nishant Ramesh Bagwe</t>
  </si>
  <si>
    <t>C36242090</t>
  </si>
  <si>
    <t>Ankit Murlidhar Shirgaonkar</t>
  </si>
  <si>
    <t>C36242370</t>
  </si>
  <si>
    <t>Jigme Palsang Lama</t>
  </si>
  <si>
    <t>C36242395</t>
  </si>
  <si>
    <t>Abinaya N</t>
  </si>
  <si>
    <t>C36250063</t>
  </si>
  <si>
    <t>Vinushalini</t>
  </si>
  <si>
    <t>C36250062</t>
  </si>
  <si>
    <t>Jenitha Mary W</t>
  </si>
  <si>
    <t>C36250126</t>
  </si>
  <si>
    <t>Raj Aryan</t>
  </si>
  <si>
    <t>C36250136</t>
  </si>
  <si>
    <t>Swetha A</t>
  </si>
  <si>
    <t>C36250156</t>
  </si>
  <si>
    <t>Shiddesh Vasant Gund</t>
  </si>
  <si>
    <t>C36250147</t>
  </si>
  <si>
    <t xml:space="preserve">Neha </t>
  </si>
  <si>
    <t>C36250198</t>
  </si>
  <si>
    <t>Mohammed Idrees Khan</t>
  </si>
  <si>
    <t>C36250309</t>
  </si>
  <si>
    <t>Sahil Chandrakant Katare</t>
  </si>
  <si>
    <t>C36250230</t>
  </si>
  <si>
    <t>Swaraj Sanjay Nachare</t>
  </si>
  <si>
    <t>C36250323</t>
  </si>
  <si>
    <t>Divya Ganesan</t>
  </si>
  <si>
    <t>C36250340</t>
  </si>
  <si>
    <t>Mohammed Tauqeer Ali</t>
  </si>
  <si>
    <t>C36250534</t>
  </si>
  <si>
    <t>Daria Angelina S</t>
  </si>
  <si>
    <t>C36251153</t>
  </si>
  <si>
    <t>Namrata Mahendra Bhati</t>
  </si>
  <si>
    <t>C36251155</t>
  </si>
  <si>
    <t>Dimple Sanjay Maurya</t>
  </si>
  <si>
    <t>C36251208</t>
  </si>
  <si>
    <t>Omkar Madan Gomsale</t>
  </si>
  <si>
    <t>C36251235</t>
  </si>
  <si>
    <t>Parshuram Vitthal More</t>
  </si>
  <si>
    <t>C36251585</t>
  </si>
  <si>
    <t xml:space="preserve">Gokani Raj Ketanbhai </t>
  </si>
  <si>
    <t>C36251338</t>
  </si>
  <si>
    <t>Shaik Nadeem</t>
  </si>
  <si>
    <t>C36251371</t>
  </si>
  <si>
    <t xml:space="preserve">Mohammed Subhan		 </t>
  </si>
  <si>
    <t>C36251514</t>
  </si>
  <si>
    <t>Mayur Rajendra Bachhav</t>
  </si>
  <si>
    <t>C36251543</t>
  </si>
  <si>
    <t>Raman Kumar Shivshankar Prasad</t>
  </si>
  <si>
    <t>C36251610</t>
  </si>
  <si>
    <t>Abhishek Bhat</t>
  </si>
  <si>
    <t>C36251729</t>
  </si>
  <si>
    <t xml:space="preserve">Shubham Rajendra Goud </t>
  </si>
  <si>
    <t>C36251777</t>
  </si>
  <si>
    <t>Rahul Narsaiah Kodipelli</t>
  </si>
  <si>
    <t>C36251860</t>
  </si>
  <si>
    <t>Sushant Rajesh Katkar</t>
  </si>
  <si>
    <t>C36251917</t>
  </si>
  <si>
    <t>Gowtham P</t>
  </si>
  <si>
    <t>C36251970</t>
  </si>
  <si>
    <t>C36252113</t>
  </si>
  <si>
    <t>Mohammad Huzaif KA</t>
  </si>
  <si>
    <t>C36252294</t>
  </si>
  <si>
    <t>Nivedita Bharti</t>
  </si>
  <si>
    <t>C36252332</t>
  </si>
  <si>
    <t>Meenakshi</t>
  </si>
  <si>
    <t>C36252342</t>
  </si>
  <si>
    <t xml:space="preserve">Aniket Ganesh Patil </t>
  </si>
  <si>
    <t>C36252420</t>
  </si>
  <si>
    <t>Keshav S</t>
  </si>
  <si>
    <t>C36260035</t>
  </si>
  <si>
    <t>Deepika  B</t>
  </si>
  <si>
    <t>C36260555</t>
  </si>
  <si>
    <t>Medlin  Lakra</t>
  </si>
  <si>
    <t>C36260632</t>
  </si>
  <si>
    <t>Urvashi Juyal</t>
  </si>
  <si>
    <t>C36260597</t>
  </si>
  <si>
    <t>Abhishek  Gupta</t>
  </si>
  <si>
    <t>C36260915</t>
  </si>
  <si>
    <t>Status</t>
  </si>
  <si>
    <t>Client</t>
  </si>
  <si>
    <t>KAM</t>
  </si>
  <si>
    <t>DL</t>
  </si>
  <si>
    <t>Team Name</t>
  </si>
  <si>
    <t>HRBP</t>
  </si>
  <si>
    <t>Domain</t>
  </si>
  <si>
    <t>Business Head</t>
  </si>
  <si>
    <t>SGN Cohort</t>
  </si>
  <si>
    <t>Adobe</t>
  </si>
  <si>
    <t>Voyagers</t>
  </si>
  <si>
    <t>Captive</t>
  </si>
  <si>
    <t>Growth</t>
  </si>
  <si>
    <t>Jeevan Ram</t>
  </si>
  <si>
    <t>Sandipta  P</t>
  </si>
  <si>
    <t>Alliance Data</t>
  </si>
  <si>
    <t>Sushma K M</t>
  </si>
  <si>
    <t>Bollamma PA</t>
  </si>
  <si>
    <t>TBA</t>
  </si>
  <si>
    <t>Champions</t>
  </si>
  <si>
    <t>Atkins</t>
  </si>
  <si>
    <t>Kshama V Bhat</t>
  </si>
  <si>
    <t>Anuradha</t>
  </si>
  <si>
    <t>Backbase</t>
  </si>
  <si>
    <t>Deepak Desai</t>
  </si>
  <si>
    <t>Black and Veatch</t>
  </si>
  <si>
    <t>Aranza Dubey</t>
  </si>
  <si>
    <t>BOSCH_COE</t>
  </si>
  <si>
    <t>Celestica</t>
  </si>
  <si>
    <t>Joyesh Banerjee</t>
  </si>
  <si>
    <t>CH Robinson</t>
  </si>
  <si>
    <t>Anuradha Murty</t>
  </si>
  <si>
    <t>Cleartrip</t>
  </si>
  <si>
    <t>Strategic</t>
  </si>
  <si>
    <t xml:space="preserve">  </t>
  </si>
  <si>
    <t>Danfoss</t>
  </si>
  <si>
    <t>Shilpa P</t>
  </si>
  <si>
    <t>Tara VR</t>
  </si>
  <si>
    <t>Catalyst</t>
  </si>
  <si>
    <t>New</t>
  </si>
  <si>
    <t>Dentsu</t>
  </si>
  <si>
    <t xml:space="preserve">Frederick </t>
  </si>
  <si>
    <t>Nirmit</t>
  </si>
  <si>
    <t>Diebold Nixdorf</t>
  </si>
  <si>
    <t>Sonia Sabnani </t>
  </si>
  <si>
    <t>(Sonia/Dikshitha)</t>
  </si>
  <si>
    <t>Ecolabs</t>
  </si>
  <si>
    <t>Ellucian</t>
  </si>
  <si>
    <t>Surya S</t>
  </si>
  <si>
    <t>Deepashree</t>
  </si>
  <si>
    <t>Fortinet</t>
  </si>
  <si>
    <t>Sujith AK</t>
  </si>
  <si>
    <t>Grant Thornton</t>
  </si>
  <si>
    <t>Incture</t>
  </si>
  <si>
    <t>Infinx_Champ</t>
  </si>
  <si>
    <t>JLL Routing</t>
  </si>
  <si>
    <t>Kimberly Clark</t>
  </si>
  <si>
    <t>Dikshita Sehgal</t>
  </si>
  <si>
    <t>KMART</t>
  </si>
  <si>
    <t>Avengers</t>
  </si>
  <si>
    <t>KOCH_COE</t>
  </si>
  <si>
    <t>Lumen</t>
  </si>
  <si>
    <t>MercedesBenz-DTICI</t>
  </si>
  <si>
    <t>Moder Solutions</t>
  </si>
  <si>
    <t>Prathap Sagar</t>
  </si>
  <si>
    <t>Monsanto</t>
  </si>
  <si>
    <t>News Corp / NTS India</t>
  </si>
  <si>
    <t>Nexteer Automotives</t>
  </si>
  <si>
    <t>Novartis</t>
  </si>
  <si>
    <t>OSBI</t>
  </si>
  <si>
    <t>Rapid7</t>
  </si>
  <si>
    <t>Sandoz</t>
  </si>
  <si>
    <t>captive</t>
  </si>
  <si>
    <t>Target</t>
  </si>
  <si>
    <t>Thomson Reuters</t>
  </si>
  <si>
    <t>Dhaval patel</t>
  </si>
  <si>
    <t>VMware</t>
  </si>
  <si>
    <t>Wartsila</t>
  </si>
  <si>
    <t>Wolters Kluwer</t>
  </si>
  <si>
    <t>Wolters Kluwer-India</t>
  </si>
  <si>
    <t>Wurth IT</t>
  </si>
  <si>
    <t>Xellia Pharma</t>
  </si>
  <si>
    <t>Zebra Technologies Corporation</t>
  </si>
  <si>
    <t>ITES</t>
  </si>
  <si>
    <t>ZebraTechnologies</t>
  </si>
  <si>
    <t>Smithesh</t>
  </si>
  <si>
    <t>L&amp;T Technology services Pvt Ltd</t>
  </si>
  <si>
    <t>Amadeus Software</t>
  </si>
  <si>
    <t>Clean Harbors_ITES</t>
  </si>
  <si>
    <t>Grant Thornton payroll</t>
  </si>
  <si>
    <t>Harman Non IT</t>
  </si>
  <si>
    <t>HP_Subramanya</t>
  </si>
  <si>
    <t>t</t>
  </si>
  <si>
    <t>UHG/Lenovo</t>
  </si>
  <si>
    <t>LTTS China-FTE</t>
  </si>
  <si>
    <t>Pramod P</t>
  </si>
  <si>
    <t xml:space="preserve">Lumen routing </t>
  </si>
  <si>
    <t>Bijoy</t>
  </si>
  <si>
    <t>Monsanto (Bayer) - Payroll</t>
  </si>
  <si>
    <t>Strategic Staffing Solutions</t>
  </si>
  <si>
    <t>Honey Badgers</t>
  </si>
  <si>
    <t>Sulzer</t>
  </si>
  <si>
    <t>Summit Consulting</t>
  </si>
  <si>
    <t>TekisHub Consulting</t>
  </si>
  <si>
    <t>TekWissen</t>
  </si>
  <si>
    <t>TESCO</t>
  </si>
  <si>
    <t>UHG AEP 2024</t>
  </si>
  <si>
    <t>UHG SS&amp;BCI</t>
  </si>
  <si>
    <t>ABB</t>
  </si>
  <si>
    <t>Services</t>
  </si>
  <si>
    <t>ABB Malaysia</t>
  </si>
  <si>
    <t>Accenture IDB2</t>
  </si>
  <si>
    <t>Accenture_ATCI</t>
  </si>
  <si>
    <t>Agility</t>
  </si>
  <si>
    <t>Amadeus Software Labs</t>
  </si>
  <si>
    <t>Axa Business Solutions</t>
  </si>
  <si>
    <t>Capgemini- Permanent</t>
  </si>
  <si>
    <t>Syed Waseem</t>
  </si>
  <si>
    <t>Cognizant-FTE</t>
  </si>
  <si>
    <t>Consilio</t>
  </si>
  <si>
    <t>DAMAC</t>
  </si>
  <si>
    <t>Aishwarya Kolte</t>
  </si>
  <si>
    <t>International</t>
  </si>
  <si>
    <t>Archil Saxena</t>
  </si>
  <si>
    <t>International - D</t>
  </si>
  <si>
    <t>DataFlow Group</t>
  </si>
  <si>
    <t>DE Shaw &amp; Co</t>
  </si>
  <si>
    <t>Naveen Goud/Harika</t>
  </si>
  <si>
    <t>Acers</t>
  </si>
  <si>
    <t>DXC - Philippines</t>
  </si>
  <si>
    <t>DXC _FTE</t>
  </si>
  <si>
    <t>DXC Technologies â€“ SGP</t>
  </si>
  <si>
    <t>sandhya</t>
  </si>
  <si>
    <t>EPAM Systems</t>
  </si>
  <si>
    <t>EverestGroup</t>
  </si>
  <si>
    <t>EY</t>
  </si>
  <si>
    <t>EY payroll</t>
  </si>
  <si>
    <t>EY-GDS</t>
  </si>
  <si>
    <t>EY-IT</t>
  </si>
  <si>
    <t>fintellix</t>
  </si>
  <si>
    <t>H&amp;R Block</t>
  </si>
  <si>
    <t>Infinx Manila</t>
  </si>
  <si>
    <t>Infinx_US</t>
  </si>
  <si>
    <t>Gourav Kumar</t>
  </si>
  <si>
    <t>Infosys CIS</t>
  </si>
  <si>
    <t>Gunupati Reddy</t>
  </si>
  <si>
    <t>Infosys Oracle</t>
  </si>
  <si>
    <t>Infosys SAP</t>
  </si>
  <si>
    <t>Infosys_4</t>
  </si>
  <si>
    <t>Aamir</t>
  </si>
  <si>
    <t>Infosys_DX</t>
  </si>
  <si>
    <t>Infosys_US</t>
  </si>
  <si>
    <t>Infosys-FTE</t>
  </si>
  <si>
    <t>Kent Engineering India Pvt Ltd</t>
  </si>
  <si>
    <t>Naveen Goud</t>
  </si>
  <si>
    <t>kyndryl</t>
  </si>
  <si>
    <t>L&amp;T</t>
  </si>
  <si>
    <t>L&amp;T-Cont</t>
  </si>
  <si>
    <t>L&amp;T-Perm</t>
  </si>
  <si>
    <t>London Stock Exchange Group</t>
  </si>
  <si>
    <t>LTTS China</t>
  </si>
  <si>
    <t>Motherson Group</t>
  </si>
  <si>
    <t>NCSI Technologies</t>
  </si>
  <si>
    <t>Ninja van</t>
  </si>
  <si>
    <t>NorthernTrust- Payroll</t>
  </si>
  <si>
    <t>PWC_COE</t>
  </si>
  <si>
    <t>RImini_Street</t>
  </si>
  <si>
    <t>Sage IT Inc</t>
  </si>
  <si>
    <t>Saint Gobain</t>
  </si>
  <si>
    <t>Saint Gobain_perm</t>
  </si>
  <si>
    <t>Sharp Software Development India</t>
  </si>
  <si>
    <t>Software One</t>
  </si>
  <si>
    <t>Symplr</t>
  </si>
  <si>
    <t>Tata Consultancy Services</t>
  </si>
  <si>
    <t>Tata Elxsi</t>
  </si>
  <si>
    <t>Thoughtworks</t>
  </si>
  <si>
    <t>Wipro (Broadcom Inc)</t>
  </si>
  <si>
    <t>WIpro-Engineering</t>
  </si>
  <si>
    <t>Wipro-Technologies</t>
  </si>
  <si>
    <t>Sayli Ravishankar Atkare</t>
  </si>
  <si>
    <t>Yokogawa</t>
  </si>
  <si>
    <t>Zensar</t>
  </si>
  <si>
    <t>Siemens DISW</t>
  </si>
  <si>
    <t>Kiran Gowda</t>
  </si>
  <si>
    <t>Bridgestone Mobility Solutions</t>
  </si>
  <si>
    <t>Cognizant_Sales</t>
  </si>
  <si>
    <t>Pfizer</t>
  </si>
  <si>
    <t>Deloitee Touche</t>
  </si>
  <si>
    <t>Deloitte</t>
  </si>
  <si>
    <t>Deloitte - MemberFirms</t>
  </si>
  <si>
    <t>Deloitte Contract</t>
  </si>
  <si>
    <t>Deloitte India</t>
  </si>
  <si>
    <t>Deloitte_COE</t>
  </si>
  <si>
    <t>Deloitte_LD</t>
  </si>
  <si>
    <t>Deloitte-Sugandha</t>
  </si>
  <si>
    <t>Atkins Realis</t>
  </si>
  <si>
    <t>Datacomp Technologies</t>
  </si>
  <si>
    <t>Akkodis</t>
  </si>
  <si>
    <t>Aquent Global</t>
  </si>
  <si>
    <t>Clovity</t>
  </si>
  <si>
    <t>Hanker_US</t>
  </si>
  <si>
    <t>Trane Technologies</t>
  </si>
  <si>
    <t>Photon</t>
  </si>
  <si>
    <t>Power Integration</t>
  </si>
  <si>
    <t>Sasken Techologies ltd</t>
  </si>
  <si>
    <t>Scalable Systems</t>
  </si>
  <si>
    <t>Us_temp</t>
  </si>
  <si>
    <t>VSV Wins</t>
  </si>
  <si>
    <t>HP (SH)</t>
  </si>
  <si>
    <t>Dassault Systemes Global Services Private Limited</t>
  </si>
  <si>
    <t>Socgen_GTS</t>
  </si>
  <si>
    <t>Sultana M</t>
  </si>
  <si>
    <t>Socgen-GBIS</t>
  </si>
  <si>
    <t>Socgen-MIBS-RBS-AVYENS</t>
  </si>
  <si>
    <t>Socgen-CFT</t>
  </si>
  <si>
    <t>Socgen-DDS</t>
  </si>
  <si>
    <t>La salle - philippines</t>
  </si>
  <si>
    <t>Philippines</t>
  </si>
  <si>
    <t>International - P</t>
  </si>
  <si>
    <t>Bank of Makati - philippines</t>
  </si>
  <si>
    <t>Pioneer Insurance - philippines</t>
  </si>
  <si>
    <t>CIMB Bank - philippines</t>
  </si>
  <si>
    <t>Metrobank - philippines</t>
  </si>
  <si>
    <t>Tonik Bank - philippines</t>
  </si>
  <si>
    <t>Singlife - philippines</t>
  </si>
  <si>
    <t>LITCO</t>
  </si>
  <si>
    <t>Dubai</t>
  </si>
  <si>
    <t>GEO Global Engineering</t>
  </si>
  <si>
    <t>Mashreq Bank</t>
  </si>
  <si>
    <t>L&amp;T Vyoma</t>
  </si>
  <si>
    <t>Sodexo</t>
  </si>
  <si>
    <t>new</t>
  </si>
  <si>
    <t>Welsend Global Services</t>
  </si>
  <si>
    <t>Bosch Global Software Technologies</t>
  </si>
  <si>
    <t>Deloitte-HSBC</t>
  </si>
  <si>
    <t>Sutherland Global Services</t>
  </si>
  <si>
    <t>Shruthi</t>
  </si>
  <si>
    <t>Deloitte-Shell</t>
  </si>
  <si>
    <t>Deloitte-HP</t>
  </si>
  <si>
    <t>Rohan Hanmandlu Gundeti</t>
  </si>
  <si>
    <t>C36241194</t>
  </si>
  <si>
    <t xml:space="preserve">Anitha Sakthivel </t>
  </si>
  <si>
    <t>C36242106</t>
  </si>
  <si>
    <t>Sapna Vinod Pande</t>
  </si>
  <si>
    <t>C36250112</t>
  </si>
  <si>
    <t>Harsh Nirmal Santani</t>
  </si>
  <si>
    <t>C36251142</t>
  </si>
  <si>
    <t>Sonukumar Murari Jha</t>
  </si>
  <si>
    <t>C36251303</t>
  </si>
  <si>
    <t>Mayur Bajrang Parte</t>
  </si>
  <si>
    <t>C36251312</t>
  </si>
  <si>
    <t>John Varghese</t>
  </si>
  <si>
    <t>C36242377</t>
  </si>
  <si>
    <t>Angelina Shivani Manohar</t>
  </si>
  <si>
    <t>C36252051</t>
  </si>
  <si>
    <t>Nakusha Amoksiddha Sagai</t>
  </si>
  <si>
    <t>C36252327</t>
  </si>
  <si>
    <t>Santhosh S</t>
  </si>
  <si>
    <t>C36260514</t>
  </si>
  <si>
    <t>Exited and Redeployed</t>
  </si>
  <si>
    <t xml:space="preserve">Death in service </t>
  </si>
  <si>
    <t>Meenu AM</t>
  </si>
  <si>
    <t>Neeraj Kachroo</t>
  </si>
  <si>
    <t>C36201494</t>
  </si>
  <si>
    <t>Vikas Kumar</t>
  </si>
  <si>
    <t>C36201493</t>
  </si>
  <si>
    <t>Ishwar Chander</t>
  </si>
  <si>
    <t>C36201573</t>
  </si>
  <si>
    <t>Seema Sindhwani</t>
  </si>
  <si>
    <t>C36201490</t>
  </si>
  <si>
    <t>Neeraj Thakur</t>
  </si>
  <si>
    <t>C36201572</t>
  </si>
  <si>
    <t>Karan Dev</t>
  </si>
  <si>
    <t>C36210360</t>
  </si>
  <si>
    <t>Anil Kumar Chawla</t>
  </si>
  <si>
    <t>C36211233</t>
  </si>
  <si>
    <t>Anusha Reddy</t>
  </si>
  <si>
    <t xml:space="preserve">Chennaboina Chinni Krishna </t>
  </si>
  <si>
    <t>C36211091</t>
  </si>
  <si>
    <t>Nidhi Tingal</t>
  </si>
  <si>
    <t xml:space="preserve"> Malladi Rama Subbaiah</t>
  </si>
  <si>
    <t>C36211451</t>
  </si>
  <si>
    <t>Hima Bindu G</t>
  </si>
  <si>
    <t>Sundeep Kumar Garige</t>
  </si>
  <si>
    <t>MURTHINENI REDDIBABU NAIDU</t>
  </si>
  <si>
    <t>C36212662</t>
  </si>
  <si>
    <t>Amit Singh</t>
  </si>
  <si>
    <t>C36212876</t>
  </si>
  <si>
    <t>Vicky</t>
  </si>
  <si>
    <t>C36212619</t>
  </si>
  <si>
    <t xml:space="preserve">Akkamolla Prasanna </t>
  </si>
  <si>
    <t>C36212717</t>
  </si>
  <si>
    <t>Gayathri Narayana</t>
  </si>
  <si>
    <t xml:space="preserve">Kalamalla Khadar Valli </t>
  </si>
  <si>
    <t>C36212673</t>
  </si>
  <si>
    <t>Siddhartha Kadarla</t>
  </si>
  <si>
    <t xml:space="preserve">Gangolli Akshatha  </t>
  </si>
  <si>
    <t>C36212843</t>
  </si>
  <si>
    <t>Harrish Seenivasan</t>
  </si>
  <si>
    <t>Deepthi David</t>
  </si>
  <si>
    <t>Varun  Kumar</t>
  </si>
  <si>
    <t>C36212917</t>
  </si>
  <si>
    <t>Saad Ahmad</t>
  </si>
  <si>
    <t>Mummadi  Venkatesh</t>
  </si>
  <si>
    <t>C36213331</t>
  </si>
  <si>
    <t>Ramawtar  Yadav</t>
  </si>
  <si>
    <t>C36213402</t>
  </si>
  <si>
    <t>Amit Makkar</t>
  </si>
  <si>
    <t>C36213840</t>
  </si>
  <si>
    <t>Yogender</t>
  </si>
  <si>
    <t>C36220070</t>
  </si>
  <si>
    <t>Ram Praveen B</t>
  </si>
  <si>
    <t>Prathap Sagar BL</t>
  </si>
  <si>
    <t>Velayudhan chettiyar Satheesh Kumar</t>
  </si>
  <si>
    <t>C36220153</t>
  </si>
  <si>
    <t>Rahul  Kumar</t>
  </si>
  <si>
    <t>C36220329</t>
  </si>
  <si>
    <t>Savitha Nagam</t>
  </si>
  <si>
    <t>Shikha Rana</t>
  </si>
  <si>
    <t>Srikanth Kammagani</t>
  </si>
  <si>
    <t>C36220656</t>
  </si>
  <si>
    <t>Ajith Kumar P</t>
  </si>
  <si>
    <t>Ramaji Isaase Jeevan Kumar</t>
  </si>
  <si>
    <t>C36220828</t>
  </si>
  <si>
    <t>Sunny Sanwariya</t>
  </si>
  <si>
    <t>Sandeep Sanweriya</t>
  </si>
  <si>
    <t>Surendra Thanikonda</t>
  </si>
  <si>
    <t>C36221005</t>
  </si>
  <si>
    <t>Mathew PC</t>
  </si>
  <si>
    <t>Divyanshu  Kumar</t>
  </si>
  <si>
    <t>C36221067</t>
  </si>
  <si>
    <t>Mohammed  Akbar Shaikh</t>
  </si>
  <si>
    <t>C36221436</t>
  </si>
  <si>
    <t>Naina N</t>
  </si>
  <si>
    <t>Reshmi Lama</t>
  </si>
  <si>
    <t>Maria Racheal</t>
  </si>
  <si>
    <t>O36220123</t>
  </si>
  <si>
    <t>Gopal V</t>
  </si>
  <si>
    <t>Sai Dhayanand</t>
  </si>
  <si>
    <t xml:space="preserve">Tejaswini Jilla </t>
  </si>
  <si>
    <t>C36221564</t>
  </si>
  <si>
    <t>Akashdeep Samanta</t>
  </si>
  <si>
    <t>C36221655</t>
  </si>
  <si>
    <t>Sirisha R</t>
  </si>
  <si>
    <t>Shinoy EK</t>
  </si>
  <si>
    <t xml:space="preserve">Padmanabhan Mohan </t>
  </si>
  <si>
    <t>C36221862</t>
  </si>
  <si>
    <t>Sagar CM</t>
  </si>
  <si>
    <t>juri das</t>
  </si>
  <si>
    <t xml:space="preserve"> Bharath </t>
  </si>
  <si>
    <t>C36222005</t>
  </si>
  <si>
    <t>rajeev krishna</t>
  </si>
  <si>
    <t>Mayur Nimbaji Hire</t>
  </si>
  <si>
    <t>C36222060</t>
  </si>
  <si>
    <t>K Hari prasad</t>
  </si>
  <si>
    <t>C36222097</t>
  </si>
  <si>
    <t>Sindhu N</t>
  </si>
  <si>
    <t>Fazila Khanum</t>
  </si>
  <si>
    <t xml:space="preserve">Abdul Subhan </t>
  </si>
  <si>
    <t>C36222129</t>
  </si>
  <si>
    <t>Karthik AK</t>
  </si>
  <si>
    <t>Suraj T</t>
  </si>
  <si>
    <t>Shilpashree  H S</t>
  </si>
  <si>
    <t>C36222344</t>
  </si>
  <si>
    <t>Disha Lakhmani</t>
  </si>
  <si>
    <t>Tarannum Salma</t>
  </si>
  <si>
    <t>C36222759</t>
  </si>
  <si>
    <t>Dhanush H</t>
  </si>
  <si>
    <t>Revathi H R</t>
  </si>
  <si>
    <t>C36230066</t>
  </si>
  <si>
    <t xml:space="preserve">Saurabh Pandurang Kshirsagar </t>
  </si>
  <si>
    <t>C36230074</t>
  </si>
  <si>
    <t>Ajith Kumar</t>
  </si>
  <si>
    <t>SONAL SAITAWADEKAR</t>
  </si>
  <si>
    <t>C36230137</t>
  </si>
  <si>
    <t>Chethan K</t>
  </si>
  <si>
    <t>Amandeep Singh</t>
  </si>
  <si>
    <t>C36230248</t>
  </si>
  <si>
    <t>shweta kamathgi</t>
  </si>
  <si>
    <t>C Lokesh</t>
  </si>
  <si>
    <t>C36230199</t>
  </si>
  <si>
    <t>Manish Kalal</t>
  </si>
  <si>
    <t xml:space="preserve">Naveen K  </t>
  </si>
  <si>
    <t>C36230327</t>
  </si>
  <si>
    <t>Tamilarasan S</t>
  </si>
  <si>
    <t>Shreyas S</t>
  </si>
  <si>
    <t>C36230522</t>
  </si>
  <si>
    <t>Dhruthi M</t>
  </si>
  <si>
    <t>Anmol Katoch</t>
  </si>
  <si>
    <t xml:space="preserve">Naseeruddin </t>
  </si>
  <si>
    <t>C36230802</t>
  </si>
  <si>
    <t>Prateek A</t>
  </si>
  <si>
    <t>Sanjana  Kv</t>
  </si>
  <si>
    <t>C36230843</t>
  </si>
  <si>
    <t>Abhilash P</t>
  </si>
  <si>
    <t>Sherin  Robin</t>
  </si>
  <si>
    <t>C36231337</t>
  </si>
  <si>
    <t>Hussain Saheb P</t>
  </si>
  <si>
    <t>Vinay Murthy</t>
  </si>
  <si>
    <t xml:space="preserve">Datla Subbaraju </t>
  </si>
  <si>
    <t>C36231514</t>
  </si>
  <si>
    <t>Sheetal B</t>
  </si>
  <si>
    <t>Vaishnavi S</t>
  </si>
  <si>
    <t>C36231527</t>
  </si>
  <si>
    <t>Mohammed hamza</t>
  </si>
  <si>
    <t>Yarrasani Venkatesh Yadav</t>
  </si>
  <si>
    <t>C36231484</t>
  </si>
  <si>
    <t>Vidya Bharthi</t>
  </si>
  <si>
    <t>Lakhpati Prasad Tiwari</t>
  </si>
  <si>
    <t>C36231656</t>
  </si>
  <si>
    <t>Chaitra BR</t>
  </si>
  <si>
    <t xml:space="preserve">Sujitha </t>
  </si>
  <si>
    <t>C36232044</t>
  </si>
  <si>
    <t>Chethana R N</t>
  </si>
  <si>
    <t>C36231871</t>
  </si>
  <si>
    <t>Debdutta  M</t>
  </si>
  <si>
    <t>Sridhar</t>
  </si>
  <si>
    <t>C36231855</t>
  </si>
  <si>
    <t>Siba Prasad</t>
  </si>
  <si>
    <t>Harika Pula</t>
  </si>
  <si>
    <t>C36231992</t>
  </si>
  <si>
    <t xml:space="preserve">Shaik Mansoor  Ali </t>
  </si>
  <si>
    <t>C36232032</t>
  </si>
  <si>
    <t>Muhammed faizal</t>
  </si>
  <si>
    <t>Sabreena Jabeen</t>
  </si>
  <si>
    <t>Pagala Ramalakshumma</t>
  </si>
  <si>
    <t>C36232088</t>
  </si>
  <si>
    <t>Meenal Shrivas</t>
  </si>
  <si>
    <t>K N Sharat</t>
  </si>
  <si>
    <t>C36232020</t>
  </si>
  <si>
    <t>Mamtha V</t>
  </si>
  <si>
    <t xml:space="preserve">Devendra Pal Rajput </t>
  </si>
  <si>
    <t>C36232086</t>
  </si>
  <si>
    <t>Surabhi K</t>
  </si>
  <si>
    <t>Kattekola Srikanth</t>
  </si>
  <si>
    <t>C36232323</t>
  </si>
  <si>
    <t>Sneha G</t>
  </si>
  <si>
    <t>Shriram Maheshrao Shende</t>
  </si>
  <si>
    <t>C36232337</t>
  </si>
  <si>
    <t>Lavani Yasheer</t>
  </si>
  <si>
    <t>Priyadharshini  S</t>
  </si>
  <si>
    <t>C36240186</t>
  </si>
  <si>
    <t>G Harinath  Reddy</t>
  </si>
  <si>
    <t>C36240052</t>
  </si>
  <si>
    <t>Gopinath S N</t>
  </si>
  <si>
    <t>Sudarsan Ghosh</t>
  </si>
  <si>
    <t>C36240061</t>
  </si>
  <si>
    <t>Bhola Shanker Katariya</t>
  </si>
  <si>
    <t>C36240236</t>
  </si>
  <si>
    <t>Lokesh Reddy</t>
  </si>
  <si>
    <t>Pooja Rani</t>
  </si>
  <si>
    <t>C36240254</t>
  </si>
  <si>
    <t>Anusha RK</t>
  </si>
  <si>
    <t>Chauhan Mayurbhai Narendrabhai</t>
  </si>
  <si>
    <t>C36240282</t>
  </si>
  <si>
    <t>Anuvisht Singh</t>
  </si>
  <si>
    <t>Sunitha Vinod</t>
  </si>
  <si>
    <t xml:space="preserve"> S Lokesh Gowda </t>
  </si>
  <si>
    <t>C36240383</t>
  </si>
  <si>
    <t>Karthik V</t>
  </si>
  <si>
    <t xml:space="preserve">Devendra Saini </t>
  </si>
  <si>
    <t>C36240392</t>
  </si>
  <si>
    <t>Krishna Priya</t>
  </si>
  <si>
    <t>Babu  Gopal</t>
  </si>
  <si>
    <t>C36240324</t>
  </si>
  <si>
    <t>P Ramanjaneyulu</t>
  </si>
  <si>
    <t>C36240341</t>
  </si>
  <si>
    <t>Shubha K</t>
  </si>
  <si>
    <t>Damayanti Nayak</t>
  </si>
  <si>
    <t>C36240463</t>
  </si>
  <si>
    <t>Karthik C</t>
  </si>
  <si>
    <t xml:space="preserve">Hina Uday Vishwaroop </t>
  </si>
  <si>
    <t>C36240658</t>
  </si>
  <si>
    <t>Sharath CM</t>
  </si>
  <si>
    <t>Karan Lalchandani</t>
  </si>
  <si>
    <t xml:space="preserve">Kilari Dilip Kumar </t>
  </si>
  <si>
    <t>C36240594</t>
  </si>
  <si>
    <t>Sandipta Panigrahi</t>
  </si>
  <si>
    <t>Naveen Kumar N</t>
  </si>
  <si>
    <t>C36240575</t>
  </si>
  <si>
    <t>Sharanabasava Saalunke</t>
  </si>
  <si>
    <t xml:space="preserve">L Vijaygurusimha	 </t>
  </si>
  <si>
    <t>C36240572</t>
  </si>
  <si>
    <t>Vedesh Soundhara Raj</t>
  </si>
  <si>
    <t>Astik Kishore Bandekar</t>
  </si>
  <si>
    <t>C36240585</t>
  </si>
  <si>
    <t>Nayna N</t>
  </si>
  <si>
    <t>GEO JOY</t>
  </si>
  <si>
    <t>C36240604</t>
  </si>
  <si>
    <t>Uday Manakare</t>
  </si>
  <si>
    <t>Poornachandra V</t>
  </si>
  <si>
    <t xml:space="preserve"> Movva Naveen</t>
  </si>
  <si>
    <t>C36240626</t>
  </si>
  <si>
    <t>Sangeetha Sakthi</t>
  </si>
  <si>
    <t>Pramod  P</t>
  </si>
  <si>
    <t>C36240608</t>
  </si>
  <si>
    <t>Guruprasad R</t>
  </si>
  <si>
    <t>C36240654</t>
  </si>
  <si>
    <t>Chakali Mallikarjuna</t>
  </si>
  <si>
    <t>Nikita Prakash Kalal</t>
  </si>
  <si>
    <t>C36240676</t>
  </si>
  <si>
    <t xml:space="preserve">Nivya </t>
  </si>
  <si>
    <t>C36240665</t>
  </si>
  <si>
    <t>Madhuri Ps</t>
  </si>
  <si>
    <t xml:space="preserve"> Shashank Manoj Shirode </t>
  </si>
  <si>
    <t>C36240837</t>
  </si>
  <si>
    <t>Madhushree R M</t>
  </si>
  <si>
    <t xml:space="preserve"> Sandhya Rani Parimi</t>
  </si>
  <si>
    <t>C36240722</t>
  </si>
  <si>
    <t>P Surabhi Jain</t>
  </si>
  <si>
    <t>C36240742</t>
  </si>
  <si>
    <t>Aniskeh Manick S N</t>
  </si>
  <si>
    <t>Lia  Kariappa</t>
  </si>
  <si>
    <t>C36240843</t>
  </si>
  <si>
    <t>Saurabh Bhargava</t>
  </si>
  <si>
    <t>Vamsi Sankaran</t>
  </si>
  <si>
    <t>Alkesh Dnyaneshwar Mohdure</t>
  </si>
  <si>
    <t>C36241336</t>
  </si>
  <si>
    <t xml:space="preserve">Tejasvi </t>
  </si>
  <si>
    <t>C36240943</t>
  </si>
  <si>
    <t>Medha nag</t>
  </si>
  <si>
    <t>Shivanand S Telsang</t>
  </si>
  <si>
    <t>C36241045</t>
  </si>
  <si>
    <t>U Rama Tulasi</t>
  </si>
  <si>
    <t>Sushma Hegde</t>
  </si>
  <si>
    <t>Yashvendra Dhar Dwivedi</t>
  </si>
  <si>
    <t>C36241048</t>
  </si>
  <si>
    <t>Anusha K Gowda</t>
  </si>
  <si>
    <t>P Akash Reddy</t>
  </si>
  <si>
    <t>C36241088</t>
  </si>
  <si>
    <t>Tejaswini I N</t>
  </si>
  <si>
    <t>Beryl babu</t>
  </si>
  <si>
    <t>Surabattula Adityavardhan</t>
  </si>
  <si>
    <t>C36241087</t>
  </si>
  <si>
    <t>Sai Ganesh R</t>
  </si>
  <si>
    <t>G Harshavardhan</t>
  </si>
  <si>
    <t>C36241092</t>
  </si>
  <si>
    <t>Kalyani Shavalli Khan</t>
  </si>
  <si>
    <t>Aryan Mishra</t>
  </si>
  <si>
    <t>C36241082</t>
  </si>
  <si>
    <t xml:space="preserve">Hiranmaye S </t>
  </si>
  <si>
    <t>C36241103</t>
  </si>
  <si>
    <t>Afzal Mohammed</t>
  </si>
  <si>
    <t>Dinesh Ashok Patil</t>
  </si>
  <si>
    <t>C36241244</t>
  </si>
  <si>
    <t>Jackson Mathew S</t>
  </si>
  <si>
    <t>Swetha P</t>
  </si>
  <si>
    <t>C36241218</t>
  </si>
  <si>
    <t>yashaswini C</t>
  </si>
  <si>
    <t>Sunil Kumar HN</t>
  </si>
  <si>
    <t xml:space="preserve">K Purushothama Reddy </t>
  </si>
  <si>
    <t>C36241340</t>
  </si>
  <si>
    <t>Manyam Rohith</t>
  </si>
  <si>
    <t>Deepshree Baruah</t>
  </si>
  <si>
    <t>C36241354</t>
  </si>
  <si>
    <t>Don Bosco</t>
  </si>
  <si>
    <t xml:space="preserve"> Aditya Malhotra</t>
  </si>
  <si>
    <t>C36241487</t>
  </si>
  <si>
    <t>Gorantla Triveni</t>
  </si>
  <si>
    <t>Shoeb Ahmed</t>
  </si>
  <si>
    <t xml:space="preserve">Raipalli Tharun Kumar </t>
  </si>
  <si>
    <t>C36241549</t>
  </si>
  <si>
    <t>Sancharee Deb</t>
  </si>
  <si>
    <t>C36241725</t>
  </si>
  <si>
    <t>Jeeva Jayakumar</t>
  </si>
  <si>
    <t>C36241754</t>
  </si>
  <si>
    <t xml:space="preserve">Somesula Prathap Chaithanya </t>
  </si>
  <si>
    <t>C36241765</t>
  </si>
  <si>
    <t>Madhu Mitha R</t>
  </si>
  <si>
    <t>Pooja Chandrashekhar Misurkar</t>
  </si>
  <si>
    <t>C36242015</t>
  </si>
  <si>
    <t>G Baby Swetha</t>
  </si>
  <si>
    <t>C36241916</t>
  </si>
  <si>
    <t xml:space="preserve"> P Sowjanya </t>
  </si>
  <si>
    <t>C36241915</t>
  </si>
  <si>
    <t>Vinith M</t>
  </si>
  <si>
    <t>Bebhari Technologies(Prabhat Gouda)</t>
  </si>
  <si>
    <t>O36240119</t>
  </si>
  <si>
    <t>Alamelu R</t>
  </si>
  <si>
    <t>C36241930</t>
  </si>
  <si>
    <t>Lavya S K</t>
  </si>
  <si>
    <t>Shraddha Pandurang Pawar</t>
  </si>
  <si>
    <t>C36242143</t>
  </si>
  <si>
    <t>Thakur Anand Naik</t>
  </si>
  <si>
    <t>C36242168</t>
  </si>
  <si>
    <t>Shruthi R</t>
  </si>
  <si>
    <t>Sakhtivel Ravichandran</t>
  </si>
  <si>
    <t>C36242115</t>
  </si>
  <si>
    <t>Shubham Shantaram Kapdule</t>
  </si>
  <si>
    <t>C36242166</t>
  </si>
  <si>
    <t>Dadi Bhavana</t>
  </si>
  <si>
    <t>Chelikam Yaswitha Reddy</t>
  </si>
  <si>
    <t>C36242278</t>
  </si>
  <si>
    <t>Siva Darsana</t>
  </si>
  <si>
    <t>Anshu Singh</t>
  </si>
  <si>
    <t>C36242362</t>
  </si>
  <si>
    <t>Vinayak S Kallimath</t>
  </si>
  <si>
    <t>C36242158</t>
  </si>
  <si>
    <t>B M Deekshitha</t>
  </si>
  <si>
    <t>C36242133</t>
  </si>
  <si>
    <t>Vennapusa Varaprasad Reddy</t>
  </si>
  <si>
    <t>C36242218</t>
  </si>
  <si>
    <t>Sandhya Kumari Sahani</t>
  </si>
  <si>
    <t>Thota Heswara Naga Durga Venkata Sairam</t>
  </si>
  <si>
    <t>C36242214</t>
  </si>
  <si>
    <t>Santhosh Raja</t>
  </si>
  <si>
    <t>C36242205</t>
  </si>
  <si>
    <t>Arpith T</t>
  </si>
  <si>
    <t>Shivam Prasad</t>
  </si>
  <si>
    <t>Kshitija Atul Parik</t>
  </si>
  <si>
    <t>C36242217</t>
  </si>
  <si>
    <t>Lalbee Kuppaganti</t>
  </si>
  <si>
    <t xml:space="preserve">Doddi Mallesh </t>
  </si>
  <si>
    <t>C36242276</t>
  </si>
  <si>
    <t>Harshitha S</t>
  </si>
  <si>
    <t>Srinivas Katta</t>
  </si>
  <si>
    <t>O36240157</t>
  </si>
  <si>
    <t>Sebastian Edward Jelki</t>
  </si>
  <si>
    <t>C36242280</t>
  </si>
  <si>
    <t>Prachi Pragya</t>
  </si>
  <si>
    <t>C36242317</t>
  </si>
  <si>
    <t>Juhi Kothari</t>
  </si>
  <si>
    <t>C36242543</t>
  </si>
  <si>
    <t>Amit Sudagade</t>
  </si>
  <si>
    <t>C36251162</t>
  </si>
  <si>
    <t xml:space="preserve">Sonam Agarwal </t>
  </si>
  <si>
    <t>C36242439</t>
  </si>
  <si>
    <t>P Ashok Kumar Reddy</t>
  </si>
  <si>
    <t>Sateesh Kumar Gupta</t>
  </si>
  <si>
    <t>C36242490</t>
  </si>
  <si>
    <t>Athulya Anilkumar</t>
  </si>
  <si>
    <t>C36242445</t>
  </si>
  <si>
    <t>Mathan Kumar K</t>
  </si>
  <si>
    <t>C36242432</t>
  </si>
  <si>
    <t>Amardeep</t>
  </si>
  <si>
    <t>C36242531</t>
  </si>
  <si>
    <t>Rashmi Kulkarni</t>
  </si>
  <si>
    <t>Linu P Mathew</t>
  </si>
  <si>
    <t>Bhavana Borkar</t>
  </si>
  <si>
    <t>C36242566</t>
  </si>
  <si>
    <t>Stallone Austin Menezes</t>
  </si>
  <si>
    <t>Abdul Rub</t>
  </si>
  <si>
    <t>C36242544</t>
  </si>
  <si>
    <t>Cxexperts Consultancy Services Private Limited</t>
  </si>
  <si>
    <t>O36250010</t>
  </si>
  <si>
    <t>Boorla Sreeja</t>
  </si>
  <si>
    <t>O36250005</t>
  </si>
  <si>
    <t>Girinath Senthilsubramaniam</t>
  </si>
  <si>
    <t>C36242557</t>
  </si>
  <si>
    <t>Pavan S</t>
  </si>
  <si>
    <t>Pavankumar Guggali</t>
  </si>
  <si>
    <t>C36242573</t>
  </si>
  <si>
    <t>Soujanya K K</t>
  </si>
  <si>
    <t>C36242575</t>
  </si>
  <si>
    <t>Vishal Bansal</t>
  </si>
  <si>
    <t>C36242579</t>
  </si>
  <si>
    <t xml:space="preserve">Laxmi Hulagutte	</t>
  </si>
  <si>
    <t>C36242584</t>
  </si>
  <si>
    <t xml:space="preserve">Obulreddy Praveenreddy </t>
  </si>
  <si>
    <t>C36242608</t>
  </si>
  <si>
    <t>Veronic Kavya</t>
  </si>
  <si>
    <t xml:space="preserve">Kowtharapu Srinivasa Karthik </t>
  </si>
  <si>
    <t>C36250077</t>
  </si>
  <si>
    <t>Barri Lavanya</t>
  </si>
  <si>
    <t>Ajit Sahu</t>
  </si>
  <si>
    <t>C36242631</t>
  </si>
  <si>
    <t>Shifa M</t>
  </si>
  <si>
    <t>Narkimelli Suma</t>
  </si>
  <si>
    <t>C36250118</t>
  </si>
  <si>
    <t>Rachana</t>
  </si>
  <si>
    <t>C36250096</t>
  </si>
  <si>
    <t xml:space="preserve">Malli Vinay	</t>
  </si>
  <si>
    <t>C36250093</t>
  </si>
  <si>
    <t>Deepak Kumar Singh</t>
  </si>
  <si>
    <t>O36250028</t>
  </si>
  <si>
    <t>Raj Kumar Mandal</t>
  </si>
  <si>
    <t>C36250110</t>
  </si>
  <si>
    <t xml:space="preserve">Tulika </t>
  </si>
  <si>
    <t>C36250129</t>
  </si>
  <si>
    <t xml:space="preserve">Nishant Kumar </t>
  </si>
  <si>
    <t>C36250117</t>
  </si>
  <si>
    <t>Mihir Alkeshbah Khandhar</t>
  </si>
  <si>
    <t>O36250032</t>
  </si>
  <si>
    <t xml:space="preserve">Bvpmy Software Consulting Services Llp(Kalyan Kumar Katakam) </t>
  </si>
  <si>
    <t>O36250040</t>
  </si>
  <si>
    <t xml:space="preserve">K R SureshKumar	</t>
  </si>
  <si>
    <t>C36250161</t>
  </si>
  <si>
    <t>Kashifa Tasleem</t>
  </si>
  <si>
    <t>Anoop Kumar Singh</t>
  </si>
  <si>
    <t>C36250183</t>
  </si>
  <si>
    <t xml:space="preserve">Mahammadsharif Halemani	</t>
  </si>
  <si>
    <t>C36250201</t>
  </si>
  <si>
    <t>Vinay Kumar</t>
  </si>
  <si>
    <t>C36250330</t>
  </si>
  <si>
    <t xml:space="preserve">Ayushi Bharat Bakrania </t>
  </si>
  <si>
    <t>C36250194</t>
  </si>
  <si>
    <t>Neelam Raj</t>
  </si>
  <si>
    <t>C36250185</t>
  </si>
  <si>
    <t>Ashish Rajmal Surana</t>
  </si>
  <si>
    <t>C36250225</t>
  </si>
  <si>
    <t>Mohammed Shahed Ali</t>
  </si>
  <si>
    <t>C36250298</t>
  </si>
  <si>
    <t xml:space="preserve">Akshata Vippaheli </t>
  </si>
  <si>
    <t>C36250226</t>
  </si>
  <si>
    <t>Vaishali Anand</t>
  </si>
  <si>
    <t>C36250387</t>
  </si>
  <si>
    <t>Ebi Thambu</t>
  </si>
  <si>
    <t>Shalini S</t>
  </si>
  <si>
    <t>C36250386</t>
  </si>
  <si>
    <t>Ashirbad Subhadarshee Nayak</t>
  </si>
  <si>
    <t>C36250252</t>
  </si>
  <si>
    <t>Ilakiya A</t>
  </si>
  <si>
    <t>Rahool Vasant Ramgounda</t>
  </si>
  <si>
    <t>C36250350</t>
  </si>
  <si>
    <t>Mugelan M</t>
  </si>
  <si>
    <t xml:space="preserve">A S Alamelumangai </t>
  </si>
  <si>
    <t>C36250283</t>
  </si>
  <si>
    <t>Tuppadha Sudhakar</t>
  </si>
  <si>
    <t>Bharathi Kurapati</t>
  </si>
  <si>
    <t>C36250353</t>
  </si>
  <si>
    <t xml:space="preserve">Nallam Mahesh  </t>
  </si>
  <si>
    <t>C36250570</t>
  </si>
  <si>
    <t xml:space="preserve">Dinabandhu Sahu  </t>
  </si>
  <si>
    <t>O36250049</t>
  </si>
  <si>
    <t xml:space="preserve">Kurapati Ramadevi(Ram Chandra) </t>
  </si>
  <si>
    <t>O36250050</t>
  </si>
  <si>
    <t>Kavya M S</t>
  </si>
  <si>
    <t>C36250347</t>
  </si>
  <si>
    <t>Ananthakrishnan G</t>
  </si>
  <si>
    <t>C36250396</t>
  </si>
  <si>
    <t>Arindam Samanta</t>
  </si>
  <si>
    <t>C36250342</t>
  </si>
  <si>
    <t>Yashaswini</t>
  </si>
  <si>
    <t>C36250339</t>
  </si>
  <si>
    <t>Sethu Parvathy T S</t>
  </si>
  <si>
    <t>C36250356</t>
  </si>
  <si>
    <t>Sheetal AT</t>
  </si>
  <si>
    <t>Noor Mahiya</t>
  </si>
  <si>
    <t>C36250384</t>
  </si>
  <si>
    <t>Akshatha Annappa Mogaveera</t>
  </si>
  <si>
    <t>C36250678</t>
  </si>
  <si>
    <t xml:space="preserve"> Sathyanarayanan D</t>
  </si>
  <si>
    <t>C36250397</t>
  </si>
  <si>
    <t xml:space="preserve">Mohammed Affan </t>
  </si>
  <si>
    <t>C36250414</t>
  </si>
  <si>
    <t xml:space="preserve">Vidya S Honnalli (Prasad S Ganji) </t>
  </si>
  <si>
    <t>O36250062</t>
  </si>
  <si>
    <t>Dinesh Babu A</t>
  </si>
  <si>
    <t>C36250475</t>
  </si>
  <si>
    <t xml:space="preserve">Anjusree Kovoor	</t>
  </si>
  <si>
    <t>C36250476</t>
  </si>
  <si>
    <t>Srinivasa Rao Yepuri</t>
  </si>
  <si>
    <t>O36250063</t>
  </si>
  <si>
    <t xml:space="preserve"> Akash Das</t>
  </si>
  <si>
    <t>C36250439</t>
  </si>
  <si>
    <t>Vinod Kumara G S</t>
  </si>
  <si>
    <t xml:space="preserve">Anshul Tripathi  </t>
  </si>
  <si>
    <t>C36250634</t>
  </si>
  <si>
    <t xml:space="preserve">Siddhartha Sankar Paul </t>
  </si>
  <si>
    <t>C36250437</t>
  </si>
  <si>
    <t>Adib Mohammed Hagalwadi</t>
  </si>
  <si>
    <t>C36250447</t>
  </si>
  <si>
    <t xml:space="preserve">Kiran Kumar R  </t>
  </si>
  <si>
    <t>C36250453</t>
  </si>
  <si>
    <t>S Noor Ali</t>
  </si>
  <si>
    <t>C36250457</t>
  </si>
  <si>
    <t xml:space="preserve">Bharat K A </t>
  </si>
  <si>
    <t>C36250445</t>
  </si>
  <si>
    <t>Jothipriya R</t>
  </si>
  <si>
    <t>M Jagadish Kumar</t>
  </si>
  <si>
    <t xml:space="preserve">Pasumarthi Venkata Naga Abhishek </t>
  </si>
  <si>
    <t>C36250585</t>
  </si>
  <si>
    <t xml:space="preserve">Kiran Mali	</t>
  </si>
  <si>
    <t>C36250495</t>
  </si>
  <si>
    <t>Aditya Kumar</t>
  </si>
  <si>
    <t>C36250497</t>
  </si>
  <si>
    <t xml:space="preserve">Vishal </t>
  </si>
  <si>
    <t>C36250499</t>
  </si>
  <si>
    <t xml:space="preserve">A Hari Krishna </t>
  </si>
  <si>
    <t>O36250067</t>
  </si>
  <si>
    <t>Sneha Kale</t>
  </si>
  <si>
    <t>Matta Gopichand</t>
  </si>
  <si>
    <t>C36250599</t>
  </si>
  <si>
    <t>Kumari Ritika</t>
  </si>
  <si>
    <t>Neeraja Suresh</t>
  </si>
  <si>
    <t>C36250562</t>
  </si>
  <si>
    <t>Vikaskumar sunil singh</t>
  </si>
  <si>
    <t>C36250549</t>
  </si>
  <si>
    <t>Koppisetti Sourav Naidu</t>
  </si>
  <si>
    <t>C36250548</t>
  </si>
  <si>
    <t>Nerusu Siva</t>
  </si>
  <si>
    <t>Shiv Charan Swain</t>
  </si>
  <si>
    <t>C36250513</t>
  </si>
  <si>
    <t xml:space="preserve">Shrishaila	</t>
  </si>
  <si>
    <t>C36250590</t>
  </si>
  <si>
    <t>Shreyashi Kundu</t>
  </si>
  <si>
    <t>Sneha SanjeevKumar</t>
  </si>
  <si>
    <t>C36250580</t>
  </si>
  <si>
    <t>Manisha Sh</t>
  </si>
  <si>
    <t>S Bhuvanesh</t>
  </si>
  <si>
    <t>C36250692</t>
  </si>
  <si>
    <t>Kumar Aditya</t>
  </si>
  <si>
    <t>C36250612</t>
  </si>
  <si>
    <t>Kothiya Parth Rameshbhai</t>
  </si>
  <si>
    <t>C36250596</t>
  </si>
  <si>
    <t xml:space="preserve">Padarthi Saiteja </t>
  </si>
  <si>
    <t>O36250070</t>
  </si>
  <si>
    <t>Nishambika S</t>
  </si>
  <si>
    <t>Sachin  Katoch </t>
  </si>
  <si>
    <t>C36250671</t>
  </si>
  <si>
    <t>Prasana Kumar Bisoi</t>
  </si>
  <si>
    <t>O36250074</t>
  </si>
  <si>
    <t>Vijay Bhutani</t>
  </si>
  <si>
    <t>O36250075</t>
  </si>
  <si>
    <t>Rama Devi Gannavarapu</t>
  </si>
  <si>
    <t>C36250633</t>
  </si>
  <si>
    <t xml:space="preserve">Kavya Janjeer </t>
  </si>
  <si>
    <t>C36250685</t>
  </si>
  <si>
    <t xml:space="preserve">Sanyam Sharma	 </t>
  </si>
  <si>
    <t>C36250655</t>
  </si>
  <si>
    <t xml:space="preserve">Vishal Kumar </t>
  </si>
  <si>
    <t>C36250673</t>
  </si>
  <si>
    <t>Ravikumar</t>
  </si>
  <si>
    <t>C36250670</t>
  </si>
  <si>
    <t>Manjunath Sahadev Kumbar</t>
  </si>
  <si>
    <t>C36250672</t>
  </si>
  <si>
    <t>Prashant More</t>
  </si>
  <si>
    <t>O36250079</t>
  </si>
  <si>
    <t>B M Eshwar Theja</t>
  </si>
  <si>
    <t>C36250701</t>
  </si>
  <si>
    <t>Sushma H R</t>
  </si>
  <si>
    <t>C36250723</t>
  </si>
  <si>
    <t>Kishore Abhinandan</t>
  </si>
  <si>
    <t>C36250753</t>
  </si>
  <si>
    <t>Sayyad Mohasin</t>
  </si>
  <si>
    <t>C36250697</t>
  </si>
  <si>
    <t xml:space="preserve">Sangamesh </t>
  </si>
  <si>
    <t>C36250703</t>
  </si>
  <si>
    <t>Shubham B Patil</t>
  </si>
  <si>
    <t>C36250759</t>
  </si>
  <si>
    <t>Veeresh Nayaka</t>
  </si>
  <si>
    <t>C36250741</t>
  </si>
  <si>
    <t>Supriya B</t>
  </si>
  <si>
    <t>C36250748</t>
  </si>
  <si>
    <t xml:space="preserve">V Silpa </t>
  </si>
  <si>
    <t>C36250756</t>
  </si>
  <si>
    <t>Anuja</t>
  </si>
  <si>
    <t>C36250801</t>
  </si>
  <si>
    <t>Nikhitha S P</t>
  </si>
  <si>
    <t>Himanshu Maulekhi</t>
  </si>
  <si>
    <t>C36251164</t>
  </si>
  <si>
    <t xml:space="preserve">Subhashree Simran Mishra </t>
  </si>
  <si>
    <t>C36250809</t>
  </si>
  <si>
    <t>Ankit Raj</t>
  </si>
  <si>
    <t>C36250784</t>
  </si>
  <si>
    <t>Tanya Bhandari</t>
  </si>
  <si>
    <t>C36251074</t>
  </si>
  <si>
    <t>Aditya Gajanan Patil</t>
  </si>
  <si>
    <t>C36250782</t>
  </si>
  <si>
    <t>Sheik Tanzeem</t>
  </si>
  <si>
    <t>C36250825</t>
  </si>
  <si>
    <t>Vaishali Shatvaji Madar</t>
  </si>
  <si>
    <t>C36250799</t>
  </si>
  <si>
    <t>Sanjana Nirala</t>
  </si>
  <si>
    <t>C36250841</t>
  </si>
  <si>
    <t>Suma D</t>
  </si>
  <si>
    <t>C36250792</t>
  </si>
  <si>
    <t>Suraj S Yallurkar</t>
  </si>
  <si>
    <t>C36250818</t>
  </si>
  <si>
    <t>Syed Maheen</t>
  </si>
  <si>
    <t>C36250819</t>
  </si>
  <si>
    <t>Raunak Kumari</t>
  </si>
  <si>
    <t>Anish Kumar D Jain</t>
  </si>
  <si>
    <t>C36250805</t>
  </si>
  <si>
    <t>Arpitha D R</t>
  </si>
  <si>
    <t>Vinay S</t>
  </si>
  <si>
    <t>C36250833</t>
  </si>
  <si>
    <t>M S Bhoomika</t>
  </si>
  <si>
    <t>C36250854</t>
  </si>
  <si>
    <t>Fouz Ulla Shariff</t>
  </si>
  <si>
    <t>C36250850</t>
  </si>
  <si>
    <t>Ashwini V</t>
  </si>
  <si>
    <t>C36250949</t>
  </si>
  <si>
    <t>Aanchal Raj</t>
  </si>
  <si>
    <t>C36250848</t>
  </si>
  <si>
    <t xml:space="preserve">Rohit Deep Hegde </t>
  </si>
  <si>
    <t>C36250862</t>
  </si>
  <si>
    <t>Suraj Damodar</t>
  </si>
  <si>
    <t>C36250996</t>
  </si>
  <si>
    <t>Puja Kumari</t>
  </si>
  <si>
    <t>C36250879</t>
  </si>
  <si>
    <t xml:space="preserve">Rakshitha BR </t>
  </si>
  <si>
    <t>Shivendra Mishra</t>
  </si>
  <si>
    <t>C36251067</t>
  </si>
  <si>
    <t>Rudra Sarkar</t>
  </si>
  <si>
    <t>C36251044</t>
  </si>
  <si>
    <t>Akriti Singh</t>
  </si>
  <si>
    <t>C36251043</t>
  </si>
  <si>
    <t>N Bharti Rao</t>
  </si>
  <si>
    <t>C36250933</t>
  </si>
  <si>
    <t xml:space="preserve">Janam Mohanty </t>
  </si>
  <si>
    <t>C36250927</t>
  </si>
  <si>
    <t xml:space="preserve">Khushi Mishra  </t>
  </si>
  <si>
    <t>C36250990</t>
  </si>
  <si>
    <t>Lizum Bala</t>
  </si>
  <si>
    <t>C36251041</t>
  </si>
  <si>
    <t>Rabia Basree</t>
  </si>
  <si>
    <t>C36251053</t>
  </si>
  <si>
    <t>Lopamudra Nanda</t>
  </si>
  <si>
    <t>C36251037</t>
  </si>
  <si>
    <t>Mohammed Waseem</t>
  </si>
  <si>
    <t>CR3625199</t>
  </si>
  <si>
    <t>Akash Venkataraman Kundapur</t>
  </si>
  <si>
    <t>CR3625091</t>
  </si>
  <si>
    <t>Sachin Suresh Shinde</t>
  </si>
  <si>
    <t>CR3625090</t>
  </si>
  <si>
    <t>Bhavana Narayan Desurkar</t>
  </si>
  <si>
    <t>CR3625224</t>
  </si>
  <si>
    <t>Partha Ghosh</t>
  </si>
  <si>
    <t>CR3625550</t>
  </si>
  <si>
    <t>Gajendar Rathore</t>
  </si>
  <si>
    <t>CR3625406</t>
  </si>
  <si>
    <t xml:space="preserve">Preeti Anthony </t>
  </si>
  <si>
    <t>CR3625089</t>
  </si>
  <si>
    <t>Madiha Konain B</t>
  </si>
  <si>
    <t>CR3625269</t>
  </si>
  <si>
    <t>Rahul Kumar</t>
  </si>
  <si>
    <t>CR3625598</t>
  </si>
  <si>
    <t>Harish Nalavadi</t>
  </si>
  <si>
    <t>CR3625617</t>
  </si>
  <si>
    <t>Kamal Kishore Godsora</t>
  </si>
  <si>
    <t>CR3625342</t>
  </si>
  <si>
    <t>Shuvam Prusty</t>
  </si>
  <si>
    <t>CR3625370</t>
  </si>
  <si>
    <t>Roja Sandimani</t>
  </si>
  <si>
    <t>CR3625138</t>
  </si>
  <si>
    <t xml:space="preserve">Nirbhayee  Karankote </t>
  </si>
  <si>
    <t>CR3625683</t>
  </si>
  <si>
    <t>Adnan Shabir Sheikh</t>
  </si>
  <si>
    <t>CR3625137</t>
  </si>
  <si>
    <t>Pawan Kumar Yadav</t>
  </si>
  <si>
    <t>C36250947</t>
  </si>
  <si>
    <t>Hidayath Pasha</t>
  </si>
  <si>
    <t>CR3625631</t>
  </si>
  <si>
    <t>Bikash Chandra Samal</t>
  </si>
  <si>
    <t>CR3625553</t>
  </si>
  <si>
    <t>Apoorva J R</t>
  </si>
  <si>
    <t>CR3625556</t>
  </si>
  <si>
    <t>Atul Kumar Singh</t>
  </si>
  <si>
    <t>CR3625653</t>
  </si>
  <si>
    <t>Suchana  Mondal</t>
  </si>
  <si>
    <t>CR3625086</t>
  </si>
  <si>
    <t>Jyoti Singh</t>
  </si>
  <si>
    <t>CR3625362</t>
  </si>
  <si>
    <t>Shradha Patil</t>
  </si>
  <si>
    <t>CR3625738</t>
  </si>
  <si>
    <t>CR3625545</t>
  </si>
  <si>
    <t>Harshanand Devadas Raykar</t>
  </si>
  <si>
    <t>CR3625084</t>
  </si>
  <si>
    <t>Guha Priya N</t>
  </si>
  <si>
    <t>CR3625600</t>
  </si>
  <si>
    <t xml:space="preserve">Kumar Ankit </t>
  </si>
  <si>
    <t>CR3625081</t>
  </si>
  <si>
    <t>Jyoti Nandini</t>
  </si>
  <si>
    <t>CR3625649</t>
  </si>
  <si>
    <t>Osama Umar</t>
  </si>
  <si>
    <t>CR3625333</t>
  </si>
  <si>
    <t>Mahesh</t>
  </si>
  <si>
    <t>CR3625002</t>
  </si>
  <si>
    <t>Anand Divatai</t>
  </si>
  <si>
    <t>CR3625708</t>
  </si>
  <si>
    <t>Vinay Kumar Joshi</t>
  </si>
  <si>
    <t>CR3625704</t>
  </si>
  <si>
    <t>Vishal Muragod</t>
  </si>
  <si>
    <t>CR3625270</t>
  </si>
  <si>
    <t>Rohini Bahubali Munnoli</t>
  </si>
  <si>
    <t>CR3625534</t>
  </si>
  <si>
    <t>Manisha Satapathy</t>
  </si>
  <si>
    <t>CR3625073</t>
  </si>
  <si>
    <t>Tanmayee Sahoo</t>
  </si>
  <si>
    <t>CR3625072</t>
  </si>
  <si>
    <t>Shrayosee  Roy</t>
  </si>
  <si>
    <t>CR3625589</t>
  </si>
  <si>
    <t>Mohan Kumar M</t>
  </si>
  <si>
    <t>CR3625447</t>
  </si>
  <si>
    <t>G P Varun</t>
  </si>
  <si>
    <t>CR3625615</t>
  </si>
  <si>
    <t>Mohammed Sadiq Mulla</t>
  </si>
  <si>
    <t>CR3625661</t>
  </si>
  <si>
    <t>Mohanapriya Mahadevan</t>
  </si>
  <si>
    <t>Abirami Thamaraiselvan</t>
  </si>
  <si>
    <t>C36250950</t>
  </si>
  <si>
    <t>Mamta Prajapati</t>
  </si>
  <si>
    <t>Chintu Kumar</t>
  </si>
  <si>
    <t>CR3625066</t>
  </si>
  <si>
    <t>Patan Musharraf Khan</t>
  </si>
  <si>
    <t>CR3625006</t>
  </si>
  <si>
    <t xml:space="preserve"> Swami Arpita Vishwanth</t>
  </si>
  <si>
    <t>CR3625347</t>
  </si>
  <si>
    <t>Muhammed Hasan Khan</t>
  </si>
  <si>
    <t>CR3625696</t>
  </si>
  <si>
    <t xml:space="preserve">Samridhi </t>
  </si>
  <si>
    <t>CR3625235</t>
  </si>
  <si>
    <t>Aman</t>
  </si>
  <si>
    <t>CR3625241</t>
  </si>
  <si>
    <t>Kh Aadil Iqbal Wani</t>
  </si>
  <si>
    <t>CR3625382</t>
  </si>
  <si>
    <t xml:space="preserve">Veeresh </t>
  </si>
  <si>
    <t>CR3625715</t>
  </si>
  <si>
    <t>Mohammed Zaid M Mulla</t>
  </si>
  <si>
    <t>CR3625498</t>
  </si>
  <si>
    <t>Aasif Jaffer</t>
  </si>
  <si>
    <t>CR3625059</t>
  </si>
  <si>
    <t>Sourav Saha</t>
  </si>
  <si>
    <t>CR3625058</t>
  </si>
  <si>
    <t>Aishwarya H Kounte</t>
  </si>
  <si>
    <t>CR3625056</t>
  </si>
  <si>
    <t>J Mohammed Saad</t>
  </si>
  <si>
    <t>CR3625055</t>
  </si>
  <si>
    <t>Priyanka S Salimani</t>
  </si>
  <si>
    <t>CR3625757</t>
  </si>
  <si>
    <t>Pankaj Chavan</t>
  </si>
  <si>
    <t>CR3625713</t>
  </si>
  <si>
    <t>Rajesh Satpute</t>
  </si>
  <si>
    <t>CR3625149</t>
  </si>
  <si>
    <t>Raju Mondal</t>
  </si>
  <si>
    <t>CR3625528</t>
  </si>
  <si>
    <t>Ashok K</t>
  </si>
  <si>
    <t>CR3625594</t>
  </si>
  <si>
    <t>Subhajyoti Achar</t>
  </si>
  <si>
    <t>CR3625302</t>
  </si>
  <si>
    <t>Janmejaya Behera</t>
  </si>
  <si>
    <t>CR3625351</t>
  </si>
  <si>
    <t>K Abdul Raheem</t>
  </si>
  <si>
    <t>CR3625107</t>
  </si>
  <si>
    <t>Ajaj Alam</t>
  </si>
  <si>
    <t>CR3625258</t>
  </si>
  <si>
    <t>Supriya</t>
  </si>
  <si>
    <t>CR3625014</t>
  </si>
  <si>
    <t>Ankur Arvind Srivastava</t>
  </si>
  <si>
    <t>CR3625218</t>
  </si>
  <si>
    <t>Shabaz Pasha</t>
  </si>
  <si>
    <t>CR3625259</t>
  </si>
  <si>
    <t>Monika Kumari</t>
  </si>
  <si>
    <t>CR3625217</t>
  </si>
  <si>
    <t>Saniya Kousar</t>
  </si>
  <si>
    <t>CR3625367</t>
  </si>
  <si>
    <t xml:space="preserve">Rajat Singh </t>
  </si>
  <si>
    <t>CR3625604</t>
  </si>
  <si>
    <t>Velisetty Pavan Kumar</t>
  </si>
  <si>
    <t>CR3625602</t>
  </si>
  <si>
    <t xml:space="preserve">Sricharan Jadhav </t>
  </si>
  <si>
    <t>CR3625425</t>
  </si>
  <si>
    <t xml:space="preserve">Charbhuja Javerilal Puniya </t>
  </si>
  <si>
    <t>CR3625261</t>
  </si>
  <si>
    <t>Bijeesh A B</t>
  </si>
  <si>
    <t>CR3625499</t>
  </si>
  <si>
    <t>Shabaz Khan</t>
  </si>
  <si>
    <t>CR3625624</t>
  </si>
  <si>
    <t>Deepika V</t>
  </si>
  <si>
    <t>CR3625677</t>
  </si>
  <si>
    <t>Anupama N K</t>
  </si>
  <si>
    <t>CR3625532</t>
  </si>
  <si>
    <t xml:space="preserve">Abhilasha S </t>
  </si>
  <si>
    <t>Mohammed  Ali</t>
  </si>
  <si>
    <t>CR3625103</t>
  </si>
  <si>
    <t>Sainath P Patil</t>
  </si>
  <si>
    <t>CR3625265</t>
  </si>
  <si>
    <t>Vadla Rajesh</t>
  </si>
  <si>
    <t>CR3625472</t>
  </si>
  <si>
    <t>Arpita Prabhakar Bhat</t>
  </si>
  <si>
    <t>CR3625414</t>
  </si>
  <si>
    <t>Zakiya Banu R A</t>
  </si>
  <si>
    <t>CR3625179</t>
  </si>
  <si>
    <t>Sajid Bagwan</t>
  </si>
  <si>
    <t>CR3625727</t>
  </si>
  <si>
    <t>Malay Singh</t>
  </si>
  <si>
    <t>CR3625101</t>
  </si>
  <si>
    <t>Aman Kumar</t>
  </si>
  <si>
    <t>CR3625688</t>
  </si>
  <si>
    <t>Mohammed Azeez Minhaaj</t>
  </si>
  <si>
    <t>CR3625673</t>
  </si>
  <si>
    <t>Vinayak  M R</t>
  </si>
  <si>
    <t>CR3625100</t>
  </si>
  <si>
    <t>Mohammed Omer</t>
  </si>
  <si>
    <t>CR3625205</t>
  </si>
  <si>
    <t>Samima Akhtar</t>
  </si>
  <si>
    <t>CR3625396</t>
  </si>
  <si>
    <t xml:space="preserve">Poornima N Potadar </t>
  </si>
  <si>
    <t>CR3625408</t>
  </si>
  <si>
    <t>Mokshithraj M</t>
  </si>
  <si>
    <t>Harish P</t>
  </si>
  <si>
    <t>C36250992</t>
  </si>
  <si>
    <t>Puneeth Nayak R</t>
  </si>
  <si>
    <t>CR3625505</t>
  </si>
  <si>
    <t>Pavan Singh</t>
  </si>
  <si>
    <t>Vangalolu Yella Reddy</t>
  </si>
  <si>
    <t>C36251097</t>
  </si>
  <si>
    <t>Jitendra Kumar Sahu</t>
  </si>
  <si>
    <t>C36251077</t>
  </si>
  <si>
    <t>Tapaswini Majhi</t>
  </si>
  <si>
    <t>CR3625407</t>
  </si>
  <si>
    <t xml:space="preserve">Sapna Yadav </t>
  </si>
  <si>
    <t>C36251093</t>
  </si>
  <si>
    <t xml:space="preserve"> Parag Sharma</t>
  </si>
  <si>
    <t>C36251084</t>
  </si>
  <si>
    <t>Dara Kiran</t>
  </si>
  <si>
    <t>C36251064</t>
  </si>
  <si>
    <t>G Mary Pushpa</t>
  </si>
  <si>
    <t>C36251118</t>
  </si>
  <si>
    <t>Manju B</t>
  </si>
  <si>
    <t xml:space="preserve">Baldeo  Yadav </t>
  </si>
  <si>
    <t>C36251076</t>
  </si>
  <si>
    <t>Arun Rajendran</t>
  </si>
  <si>
    <t>C36251157</t>
  </si>
  <si>
    <t>Tovvuru Chaithanya Deepthi</t>
  </si>
  <si>
    <t>Sagar Thapliyal</t>
  </si>
  <si>
    <t>C36251438</t>
  </si>
  <si>
    <t>Rujuta Arde</t>
  </si>
  <si>
    <t>Golla Haritha</t>
  </si>
  <si>
    <t>C36251176</t>
  </si>
  <si>
    <t>Jagdish Kumawat</t>
  </si>
  <si>
    <t>C36251256</t>
  </si>
  <si>
    <t>Apoorva Jha</t>
  </si>
  <si>
    <t>Rajesh Gupta</t>
  </si>
  <si>
    <t>C36251185</t>
  </si>
  <si>
    <t>Md Amir Sohail</t>
  </si>
  <si>
    <t>C36251393</t>
  </si>
  <si>
    <t>Mohammed Moin</t>
  </si>
  <si>
    <t>C36251388</t>
  </si>
  <si>
    <t xml:space="preserve">Patnam Anjali  </t>
  </si>
  <si>
    <t>C36251158</t>
  </si>
  <si>
    <t xml:space="preserve">Shiva kumar V </t>
  </si>
  <si>
    <t>C36251168</t>
  </si>
  <si>
    <t xml:space="preserve">Varun K Das </t>
  </si>
  <si>
    <t>O36250110</t>
  </si>
  <si>
    <t>Madhu N</t>
  </si>
  <si>
    <t>Boinipally Nikhil</t>
  </si>
  <si>
    <t>C36251195</t>
  </si>
  <si>
    <t>Lavanya H M</t>
  </si>
  <si>
    <t>C36251366</t>
  </si>
  <si>
    <t>Prem Kumar M</t>
  </si>
  <si>
    <t>C36251255</t>
  </si>
  <si>
    <t xml:space="preserve">Amogh Mahadev Gokar	 </t>
  </si>
  <si>
    <t>C36251211</t>
  </si>
  <si>
    <t>Vaishnavi Jaiswal</t>
  </si>
  <si>
    <t>C36251214</t>
  </si>
  <si>
    <t>Ankit Kumar</t>
  </si>
  <si>
    <t>C36251216</t>
  </si>
  <si>
    <t>Tara V R</t>
  </si>
  <si>
    <t>Nitesh Shankar Shelar</t>
  </si>
  <si>
    <t>C36251299</t>
  </si>
  <si>
    <t>Tikesh Sahu</t>
  </si>
  <si>
    <t>C36251253</t>
  </si>
  <si>
    <t>Yash Pingle</t>
  </si>
  <si>
    <t>C36251244</t>
  </si>
  <si>
    <t>Roobarani Veeran</t>
  </si>
  <si>
    <t>C36251245</t>
  </si>
  <si>
    <t>Bhabani Sankar Panigrahi</t>
  </si>
  <si>
    <t>C36251346</t>
  </si>
  <si>
    <t>Gaurav Kumar Mishra</t>
  </si>
  <si>
    <t>O36250119</t>
  </si>
  <si>
    <t>Payal Mathane</t>
  </si>
  <si>
    <t>Vaibbhav Mulee</t>
  </si>
  <si>
    <t>Madhav Banshi Jha</t>
  </si>
  <si>
    <t>C36251289</t>
  </si>
  <si>
    <t>Radhika Shringi</t>
  </si>
  <si>
    <t>Pallavi N V</t>
  </si>
  <si>
    <t>C36251313</t>
  </si>
  <si>
    <t>Kalpana</t>
  </si>
  <si>
    <t>C36251276</t>
  </si>
  <si>
    <t>Ragavendra  P</t>
  </si>
  <si>
    <t>C36251310</t>
  </si>
  <si>
    <t>Shilpa Shaw</t>
  </si>
  <si>
    <t>Sarath K S</t>
  </si>
  <si>
    <t>C36251293</t>
  </si>
  <si>
    <t>Durgasi Ayyappa Shanmukha</t>
  </si>
  <si>
    <t>Avinash Manoharial Tahilyani</t>
  </si>
  <si>
    <t>C36251292</t>
  </si>
  <si>
    <t>Ritisha Agrawal</t>
  </si>
  <si>
    <t>C36251308</t>
  </si>
  <si>
    <t xml:space="preserve">Vaishnavi	 </t>
  </si>
  <si>
    <t>C36251650</t>
  </si>
  <si>
    <t xml:space="preserve">Adonda Shiva Shankara Vara Prasad </t>
  </si>
  <si>
    <t>C36251859</t>
  </si>
  <si>
    <t>Elligaram Samhitha</t>
  </si>
  <si>
    <t>C36251512</t>
  </si>
  <si>
    <t>Grandhi S V M N Sowmith Gupta</t>
  </si>
  <si>
    <t>C36251614</t>
  </si>
  <si>
    <t>Syed Tasleem</t>
  </si>
  <si>
    <t>C36251483</t>
  </si>
  <si>
    <t>Kota Swapna</t>
  </si>
  <si>
    <t>C36251901</t>
  </si>
  <si>
    <t>Imtiyaz Ahmed Kamran</t>
  </si>
  <si>
    <t>C36251530</t>
  </si>
  <si>
    <t xml:space="preserve"> Sunkari Varun Goud</t>
  </si>
  <si>
    <t>C36251692</t>
  </si>
  <si>
    <t>Chatte Saipriya</t>
  </si>
  <si>
    <t>C36251691</t>
  </si>
  <si>
    <t>Parapathi venkataramana</t>
  </si>
  <si>
    <t>C36251523</t>
  </si>
  <si>
    <t>Bunga Veena</t>
  </si>
  <si>
    <t>C36251835</t>
  </si>
  <si>
    <t xml:space="preserve">Kondapuram Yamini </t>
  </si>
  <si>
    <t>C36251651</t>
  </si>
  <si>
    <t xml:space="preserve">Vanam Shilpa </t>
  </si>
  <si>
    <t>C36251652</t>
  </si>
  <si>
    <t>Doddi Purna Dhaneswari Devi</t>
  </si>
  <si>
    <t>C36251667</t>
  </si>
  <si>
    <t>Soma Hemanth</t>
  </si>
  <si>
    <t>C36251654</t>
  </si>
  <si>
    <t>Boya Bhagya Laxmi</t>
  </si>
  <si>
    <t>C36251776</t>
  </si>
  <si>
    <t>Bandi Swarnalatha</t>
  </si>
  <si>
    <t>C36251554</t>
  </si>
  <si>
    <t>Nalwade Sriya</t>
  </si>
  <si>
    <t>C36251775</t>
  </si>
  <si>
    <t xml:space="preserve">Pudhari Bhargavi </t>
  </si>
  <si>
    <t>C36251688</t>
  </si>
  <si>
    <t>Faiza Begum</t>
  </si>
  <si>
    <t>C36251553</t>
  </si>
  <si>
    <t>Jamboji Karthik</t>
  </si>
  <si>
    <t>C36251774</t>
  </si>
  <si>
    <t>Gudlanarva Sirisha</t>
  </si>
  <si>
    <t>C36251812</t>
  </si>
  <si>
    <t>R Swetha</t>
  </si>
  <si>
    <t>C36251789</t>
  </si>
  <si>
    <t>Gudla Sharath chandra Goud</t>
  </si>
  <si>
    <t>C36251509</t>
  </si>
  <si>
    <t>Mohammed Abdul Haji</t>
  </si>
  <si>
    <t>C36251760</t>
  </si>
  <si>
    <t xml:space="preserve">Patnayak Kranthi </t>
  </si>
  <si>
    <t>C36251529</t>
  </si>
  <si>
    <t xml:space="preserve">Choudam Bhaskar </t>
  </si>
  <si>
    <t>C36251773</t>
  </si>
  <si>
    <t>Khusbhu Tiwari</t>
  </si>
  <si>
    <t>C36251528</t>
  </si>
  <si>
    <t>Madasu Prathyusha</t>
  </si>
  <si>
    <t>C36251577</t>
  </si>
  <si>
    <t>Pulligilla Sharan Raj</t>
  </si>
  <si>
    <t>C36251576</t>
  </si>
  <si>
    <t>Kode Uttej Chowdary</t>
  </si>
  <si>
    <t>C36251643</t>
  </si>
  <si>
    <t>M. Tejaswini Rao</t>
  </si>
  <si>
    <t>C36251575</t>
  </si>
  <si>
    <t>Pullagalla Jyothirmai</t>
  </si>
  <si>
    <t>C36251772</t>
  </si>
  <si>
    <t>Jogu Shiva Sai</t>
  </si>
  <si>
    <t>C36251526</t>
  </si>
  <si>
    <t>Burri Mallesh</t>
  </si>
  <si>
    <t>C36251653</t>
  </si>
  <si>
    <t xml:space="preserve"> Narayandas Supriya</t>
  </si>
  <si>
    <t>C36251508</t>
  </si>
  <si>
    <t>Myathari Srihari</t>
  </si>
  <si>
    <t>C36251759</t>
  </si>
  <si>
    <t>A Latha sree</t>
  </si>
  <si>
    <t>C36251765</t>
  </si>
  <si>
    <t>Abhishek M</t>
  </si>
  <si>
    <t>C36251349</t>
  </si>
  <si>
    <t>Dabbeta  Naresh</t>
  </si>
  <si>
    <t>C36251645</t>
  </si>
  <si>
    <t>Jampala Rakesh</t>
  </si>
  <si>
    <t>C36251674</t>
  </si>
  <si>
    <t xml:space="preserve">Soumya Ranjan  Sha </t>
  </si>
  <si>
    <t>C36251788</t>
  </si>
  <si>
    <t xml:space="preserve">Syed  Mouzam Ali </t>
  </si>
  <si>
    <t>C36251571</t>
  </si>
  <si>
    <t>Avalla Dinesh Kumar</t>
  </si>
  <si>
    <t>C36251656</t>
  </si>
  <si>
    <t>Garlapati Niharika</t>
  </si>
  <si>
    <t>C36251658</t>
  </si>
  <si>
    <t>Miryala Vinay</t>
  </si>
  <si>
    <t>C36251550</t>
  </si>
  <si>
    <t>Shaik Mohammad Shabbir Hussain</t>
  </si>
  <si>
    <t>C36251507</t>
  </si>
  <si>
    <t>Kadi Shiva</t>
  </si>
  <si>
    <t>C36251795</t>
  </si>
  <si>
    <t xml:space="preserve">SYED NAZEER </t>
  </si>
  <si>
    <t>C36251758</t>
  </si>
  <si>
    <t>Imran Ahmed</t>
  </si>
  <si>
    <t>C36251632</t>
  </si>
  <si>
    <t>Vadla Abhilash</t>
  </si>
  <si>
    <t>C36251673</t>
  </si>
  <si>
    <t>Minal Makwana</t>
  </si>
  <si>
    <t>Aarthi V S</t>
  </si>
  <si>
    <t>C36251414</t>
  </si>
  <si>
    <t>Agasanur Hafsa Bhanu</t>
  </si>
  <si>
    <t>C36251659</t>
  </si>
  <si>
    <t xml:space="preserve"> Sandeep Embadi</t>
  </si>
  <si>
    <t>C36251787</t>
  </si>
  <si>
    <t>Jangapelli Karunakar</t>
  </si>
  <si>
    <t>C36251769</t>
  </si>
  <si>
    <t>Tanya Angeline S</t>
  </si>
  <si>
    <t>Kumar Srinivasulu</t>
  </si>
  <si>
    <t>C36251373</t>
  </si>
  <si>
    <t xml:space="preserve">Praveen V </t>
  </si>
  <si>
    <t>C36251517</t>
  </si>
  <si>
    <t>Sidharth  S</t>
  </si>
  <si>
    <t>C36251504</t>
  </si>
  <si>
    <t>Vempati Uma</t>
  </si>
  <si>
    <t>C36251663</t>
  </si>
  <si>
    <t>Sheetal V</t>
  </si>
  <si>
    <t xml:space="preserve">Perumalla Satya Sri  </t>
  </si>
  <si>
    <t>C36251404</t>
  </si>
  <si>
    <t>Preeti</t>
  </si>
  <si>
    <t>C36251396</t>
  </si>
  <si>
    <t>N Nithin Raj</t>
  </si>
  <si>
    <t>C36251395</t>
  </si>
  <si>
    <t>Gulshan Kumar</t>
  </si>
  <si>
    <t>C36251363</t>
  </si>
  <si>
    <t>Mayank  Mishra</t>
  </si>
  <si>
    <t>O36250126</t>
  </si>
  <si>
    <t>Sivasankar Subramaniyan</t>
  </si>
  <si>
    <t>C36251398</t>
  </si>
  <si>
    <t>Yasa Shivarajasheker</t>
  </si>
  <si>
    <t>O36250130</t>
  </si>
  <si>
    <t xml:space="preserve">Abdullah Khan </t>
  </si>
  <si>
    <t>O36250127</t>
  </si>
  <si>
    <t>Mamatha M</t>
  </si>
  <si>
    <t>C36251457</t>
  </si>
  <si>
    <t>Vikas Yadav</t>
  </si>
  <si>
    <t>Vidya K</t>
  </si>
  <si>
    <t>C36251464</t>
  </si>
  <si>
    <t>Nithish Kumar K</t>
  </si>
  <si>
    <t>Gobi</t>
  </si>
  <si>
    <t>C36251730</t>
  </si>
  <si>
    <t>Priyanka Sain</t>
  </si>
  <si>
    <t>Shivanand S A</t>
  </si>
  <si>
    <t>C36251433</t>
  </si>
  <si>
    <t>Chinthala Sharath</t>
  </si>
  <si>
    <t>C36251770</t>
  </si>
  <si>
    <t>Purri Leela Manikanth</t>
  </si>
  <si>
    <t>C36251779</t>
  </si>
  <si>
    <t xml:space="preserve">Vinay Srinivasan </t>
  </si>
  <si>
    <t>C36251619</t>
  </si>
  <si>
    <t>Kamishetty Aravind</t>
  </si>
  <si>
    <t>C36251583</t>
  </si>
  <si>
    <t>Mothepalli Mary Ratnam</t>
  </si>
  <si>
    <t>C36251638</t>
  </si>
  <si>
    <t>Chinthala Praveenkumar</t>
  </si>
  <si>
    <t>C36251582</t>
  </si>
  <si>
    <t>Easam Kavya</t>
  </si>
  <si>
    <t>C36251791</t>
  </si>
  <si>
    <t>Aamir Ahamad</t>
  </si>
  <si>
    <t xml:space="preserve">Sambathini Rajesh  </t>
  </si>
  <si>
    <t>C36251505</t>
  </si>
  <si>
    <t xml:space="preserve">Molugu Mounika </t>
  </si>
  <si>
    <t>C36251763</t>
  </si>
  <si>
    <t xml:space="preserve">Rajesh Kumar Biswal </t>
  </si>
  <si>
    <t>C36251639</t>
  </si>
  <si>
    <t>Vasanth Kumar K</t>
  </si>
  <si>
    <t>C36251487</t>
  </si>
  <si>
    <t>Ibrahim K</t>
  </si>
  <si>
    <t>C36251522</t>
  </si>
  <si>
    <t>Vindya K S</t>
  </si>
  <si>
    <t>C36251635</t>
  </si>
  <si>
    <t>MD Shakib</t>
  </si>
  <si>
    <t>C36251741</t>
  </si>
  <si>
    <t>Parvatham Sahithi</t>
  </si>
  <si>
    <t>C36251778</t>
  </si>
  <si>
    <t>Babu H</t>
  </si>
  <si>
    <t>Ravi Prasad R</t>
  </si>
  <si>
    <t>C36251558</t>
  </si>
  <si>
    <t>Bikash S Prakash</t>
  </si>
  <si>
    <t>Nimisha Sunny</t>
  </si>
  <si>
    <t>C36251802</t>
  </si>
  <si>
    <t>Akula Swathi</t>
  </si>
  <si>
    <t>Kancharla Vivek Sri Sai Narasimha Gupta</t>
  </si>
  <si>
    <t>C36251597</t>
  </si>
  <si>
    <t xml:space="preserve">Nayana H M </t>
  </si>
  <si>
    <t>C36251714</t>
  </si>
  <si>
    <t>Sherene Alice J</t>
  </si>
  <si>
    <t>C36251724</t>
  </si>
  <si>
    <t>Harika J</t>
  </si>
  <si>
    <t xml:space="preserve">Mohammadkumail Aslam Mulla </t>
  </si>
  <si>
    <t>C36251706</t>
  </si>
  <si>
    <t>Vaishnavie G</t>
  </si>
  <si>
    <t>Karuna</t>
  </si>
  <si>
    <t>C36251621</t>
  </si>
  <si>
    <t>Sompa Saini</t>
  </si>
  <si>
    <t>Sabha Hukkeri</t>
  </si>
  <si>
    <t>C36251737</t>
  </si>
  <si>
    <t>Priyanka Yadav</t>
  </si>
  <si>
    <t xml:space="preserve">Samyo Karmakar </t>
  </si>
  <si>
    <t>C36251819</t>
  </si>
  <si>
    <t>Niraj Kumar Singh</t>
  </si>
  <si>
    <t>C36251698</t>
  </si>
  <si>
    <t xml:space="preserve"> Mohit Digambar Mahajan</t>
  </si>
  <si>
    <t>C36251785</t>
  </si>
  <si>
    <t>Padamati Bhavya</t>
  </si>
  <si>
    <t>C36251762</t>
  </si>
  <si>
    <t>Janani SS</t>
  </si>
  <si>
    <t>Amresh Chandra </t>
  </si>
  <si>
    <t>C36251709</t>
  </si>
  <si>
    <t>Ambika A</t>
  </si>
  <si>
    <t>Ritesh Khatri</t>
  </si>
  <si>
    <t>C36251746</t>
  </si>
  <si>
    <t>Deval Contractor</t>
  </si>
  <si>
    <t xml:space="preserve"> Sanat Kumar Sahoo</t>
  </si>
  <si>
    <t>C36251755</t>
  </si>
  <si>
    <t>Jeyashree Kousalya Saravanan</t>
  </si>
  <si>
    <t>C36251796</t>
  </si>
  <si>
    <t>Shiny Sood</t>
  </si>
  <si>
    <t>C36251771</t>
  </si>
  <si>
    <t>Manish Kumar</t>
  </si>
  <si>
    <t>C36251790</t>
  </si>
  <si>
    <t>Riya Mittal</t>
  </si>
  <si>
    <t>C36251808</t>
  </si>
  <si>
    <t>Pooja Bhanja</t>
  </si>
  <si>
    <t>C36251830</t>
  </si>
  <si>
    <t>Achuth Yadav MS</t>
  </si>
  <si>
    <t xml:space="preserve"> Yedhu Krishna</t>
  </si>
  <si>
    <t>C36251833</t>
  </si>
  <si>
    <t>Vaishnavi Shukla</t>
  </si>
  <si>
    <t>C36251889</t>
  </si>
  <si>
    <t>Amarendar  Kumar</t>
  </si>
  <si>
    <t>C36251962</t>
  </si>
  <si>
    <t>Divya S</t>
  </si>
  <si>
    <t>Gogula  Nani</t>
  </si>
  <si>
    <t>C36251845</t>
  </si>
  <si>
    <t>Chandana Magati</t>
  </si>
  <si>
    <t>Sasidharssan Anburajan</t>
  </si>
  <si>
    <t>C36251844</t>
  </si>
  <si>
    <t>Sarfaraz N</t>
  </si>
  <si>
    <t>C36251934</t>
  </si>
  <si>
    <t>Kariappa K C</t>
  </si>
  <si>
    <t>C36251958</t>
  </si>
  <si>
    <t>Kunisetty Sudarsan</t>
  </si>
  <si>
    <t>C36252117</t>
  </si>
  <si>
    <t>Rajkumar Bhavsar</t>
  </si>
  <si>
    <t>Soniya Sabnani</t>
  </si>
  <si>
    <t>Vidushi Rastogi</t>
  </si>
  <si>
    <t>C36252020</t>
  </si>
  <si>
    <t>Ravi  Badshyami </t>
  </si>
  <si>
    <t>C36252002</t>
  </si>
  <si>
    <t>Prajakta Bharat Gaikwad</t>
  </si>
  <si>
    <t>C36252022</t>
  </si>
  <si>
    <t>Mohammed Ajaj</t>
  </si>
  <si>
    <t>Varad Vilas Prabhudesai</t>
  </si>
  <si>
    <t>C36252019</t>
  </si>
  <si>
    <t>Deblina Chatterjee</t>
  </si>
  <si>
    <t>C36252013</t>
  </si>
  <si>
    <t>Adarsh Sharma</t>
  </si>
  <si>
    <t>C36252000</t>
  </si>
  <si>
    <t>Kotla Mounika</t>
  </si>
  <si>
    <t>C36252072</t>
  </si>
  <si>
    <t>Sandhya Sonti</t>
  </si>
  <si>
    <t>C36252071</t>
  </si>
  <si>
    <t>Shreya Singh</t>
  </si>
  <si>
    <t>C36252091</t>
  </si>
  <si>
    <t>Nimmathi Sravani</t>
  </si>
  <si>
    <t>C36252090</t>
  </si>
  <si>
    <t>Nissarahamed</t>
  </si>
  <si>
    <t>C36252120</t>
  </si>
  <si>
    <t>Poornima Baskar</t>
  </si>
  <si>
    <t>Marri Vihari</t>
  </si>
  <si>
    <t>C36252025</t>
  </si>
  <si>
    <t>Mercilin Abitha G</t>
  </si>
  <si>
    <t>C36252012</t>
  </si>
  <si>
    <t>Kotte Rachana</t>
  </si>
  <si>
    <t>C36252088</t>
  </si>
  <si>
    <t xml:space="preserve">Nalla Sai Karthik Goud  </t>
  </si>
  <si>
    <t>C36252087</t>
  </si>
  <si>
    <t>Adesh Singh Rajawat</t>
  </si>
  <si>
    <t>C36252086</t>
  </si>
  <si>
    <t xml:space="preserve"> Pendyala Akshay Kumar</t>
  </si>
  <si>
    <t>C36252290</t>
  </si>
  <si>
    <t>Paladugu Bharath  Kumar</t>
  </si>
  <si>
    <t>C36252289</t>
  </si>
  <si>
    <t>Chowa  Akhilesh</t>
  </si>
  <si>
    <t>C36252085</t>
  </si>
  <si>
    <t>Macha Praneetha</t>
  </si>
  <si>
    <t>C36252084</t>
  </si>
  <si>
    <t>Shreyas Vilas Kshirsagar</t>
  </si>
  <si>
    <t>C36252277</t>
  </si>
  <si>
    <t>Mano Satvik Yata</t>
  </si>
  <si>
    <t>C36252083</t>
  </si>
  <si>
    <t>Karishma Taj</t>
  </si>
  <si>
    <t>Amrish Kumar</t>
  </si>
  <si>
    <t>C36252070</t>
  </si>
  <si>
    <t>Elijala Harikrishna</t>
  </si>
  <si>
    <t>C36252068</t>
  </si>
  <si>
    <t xml:space="preserve">Muppidi Ravi </t>
  </si>
  <si>
    <t>C36252288</t>
  </si>
  <si>
    <t>Gajuloloo Saritha</t>
  </si>
  <si>
    <t>C36252081</t>
  </si>
  <si>
    <t xml:space="preserve">Chukka Shiva </t>
  </si>
  <si>
    <t>C36252063</t>
  </si>
  <si>
    <t>Gyara Alekya</t>
  </si>
  <si>
    <t>C36252067</t>
  </si>
  <si>
    <t>Vidhun R S</t>
  </si>
  <si>
    <t>Navya M</t>
  </si>
  <si>
    <t>C36252092</t>
  </si>
  <si>
    <t>Kandury Sri Lakshmi Sahithi Aruna</t>
  </si>
  <si>
    <t>C36252062</t>
  </si>
  <si>
    <t>Pittala Pranay</t>
  </si>
  <si>
    <t>C36252061</t>
  </si>
  <si>
    <t>Sanaboina Sai Dinesh</t>
  </si>
  <si>
    <t>C36252060</t>
  </si>
  <si>
    <t>Kolipaka Yoganand</t>
  </si>
  <si>
    <t>C36252059</t>
  </si>
  <si>
    <t xml:space="preserve">Nulu Kamesh </t>
  </si>
  <si>
    <t>C36252066</t>
  </si>
  <si>
    <t xml:space="preserve">Annedla Anusha </t>
  </si>
  <si>
    <t>C36252098</t>
  </si>
  <si>
    <t xml:space="preserve">Nawkat Neha </t>
  </si>
  <si>
    <t>C36252138</t>
  </si>
  <si>
    <t>K Akash Kumar</t>
  </si>
  <si>
    <t>C36252226</t>
  </si>
  <si>
    <t xml:space="preserve">Jee Reddy Sri Lekha </t>
  </si>
  <si>
    <t>C36252225</t>
  </si>
  <si>
    <t xml:space="preserve">Yekbote Omkar </t>
  </si>
  <si>
    <t>C36252224</t>
  </si>
  <si>
    <t>Ganji Sai kiran</t>
  </si>
  <si>
    <t>C36252221</t>
  </si>
  <si>
    <t>Kotakonda Sowmya</t>
  </si>
  <si>
    <t>C36252249</t>
  </si>
  <si>
    <t>Kushangala Murali</t>
  </si>
  <si>
    <t>C36252220</t>
  </si>
  <si>
    <t>Hrithik Selvan</t>
  </si>
  <si>
    <t>Sreesailam Vishal Gowd</t>
  </si>
  <si>
    <t>C36252147</t>
  </si>
  <si>
    <t>Bodige Madhan mohan goud</t>
  </si>
  <si>
    <t>C36252262</t>
  </si>
  <si>
    <t>Boddu Tarun</t>
  </si>
  <si>
    <t>C36252219</t>
  </si>
  <si>
    <t>Pilli Nikitha</t>
  </si>
  <si>
    <t>C36252218</t>
  </si>
  <si>
    <t>Kushal</t>
  </si>
  <si>
    <t>C36252169</t>
  </si>
  <si>
    <t>Mula Sreedhar Reddy</t>
  </si>
  <si>
    <t>C36252168</t>
  </si>
  <si>
    <t>Muneshwar Rakesh</t>
  </si>
  <si>
    <t>C36252303</t>
  </si>
  <si>
    <t xml:space="preserve">Sangam Prathyusha </t>
  </si>
  <si>
    <t>C36252153</t>
  </si>
  <si>
    <t>Lakkimalla Ganesh</t>
  </si>
  <si>
    <t>C36252217</t>
  </si>
  <si>
    <t>K Srikanth</t>
  </si>
  <si>
    <t>C36252216</t>
  </si>
  <si>
    <t xml:space="preserve">Vadla Anusha </t>
  </si>
  <si>
    <t>C36252215</t>
  </si>
  <si>
    <t xml:space="preserve">Guttala Rajesh </t>
  </si>
  <si>
    <t>C36252214</t>
  </si>
  <si>
    <t>Nagarigari Srilatha</t>
  </si>
  <si>
    <t>C36252213</t>
  </si>
  <si>
    <t xml:space="preserve">Babli Kumari </t>
  </si>
  <si>
    <t>C36252212</t>
  </si>
  <si>
    <t xml:space="preserve">Gajapaga Sneha </t>
  </si>
  <si>
    <t>C36252211</t>
  </si>
  <si>
    <t xml:space="preserve">Banusri  Kovuru </t>
  </si>
  <si>
    <t>C36252210</t>
  </si>
  <si>
    <t xml:space="preserve">K Mahendra </t>
  </si>
  <si>
    <t>C36252209</t>
  </si>
  <si>
    <t>Bekkam Hemanth</t>
  </si>
  <si>
    <t>C36252208</t>
  </si>
  <si>
    <t>Samala Abhinav</t>
  </si>
  <si>
    <t>C36252207</t>
  </si>
  <si>
    <t>Tumpally Shivasai</t>
  </si>
  <si>
    <t>C36252206</t>
  </si>
  <si>
    <t>Syed Samreen  Banu</t>
  </si>
  <si>
    <t>C36252248</t>
  </si>
  <si>
    <t xml:space="preserve">Beradar Ashwini </t>
  </si>
  <si>
    <t>C36252307</t>
  </si>
  <si>
    <t>Devarashetty Natasha</t>
  </si>
  <si>
    <t>C36252446</t>
  </si>
  <si>
    <t xml:space="preserve">Vara Ganti Vikranth Kumar </t>
  </si>
  <si>
    <t>C36252205</t>
  </si>
  <si>
    <t>Lalan Kumar Vishwakarma</t>
  </si>
  <si>
    <t>C36252162</t>
  </si>
  <si>
    <t>Areti Sai Kishore</t>
  </si>
  <si>
    <t>C36252204</t>
  </si>
  <si>
    <t>Jitta Srinivas</t>
  </si>
  <si>
    <t>C36252203</t>
  </si>
  <si>
    <t>Valaboju PavanKalyan</t>
  </si>
  <si>
    <t>C36252247</t>
  </si>
  <si>
    <t>Kamela Venkata Pooja</t>
  </si>
  <si>
    <t>C36252246</t>
  </si>
  <si>
    <t xml:space="preserve">Mangali Pooja </t>
  </si>
  <si>
    <t>C36252202</t>
  </si>
  <si>
    <t xml:space="preserve">Kuchana Ranjith </t>
  </si>
  <si>
    <t>C36252201</t>
  </si>
  <si>
    <t>Chintoju Vasavi</t>
  </si>
  <si>
    <t>C36252292</t>
  </si>
  <si>
    <t>Cherlapally Amulya</t>
  </si>
  <si>
    <t>C36252200</t>
  </si>
  <si>
    <t>Shaik Shanawaz</t>
  </si>
  <si>
    <t>C36252245</t>
  </si>
  <si>
    <t xml:space="preserve">Vangala Prashanth Goud </t>
  </si>
  <si>
    <t>C36252199</t>
  </si>
  <si>
    <t>Mohd Khaja Miya Arfath</t>
  </si>
  <si>
    <t>C36252244</t>
  </si>
  <si>
    <t xml:space="preserve">Gorrela Kalyan </t>
  </si>
  <si>
    <t>C36252198</t>
  </si>
  <si>
    <t xml:space="preserve">Mamtha Kumari </t>
  </si>
  <si>
    <t>C36252197</t>
  </si>
  <si>
    <t xml:space="preserve">Kondapally Prashanth </t>
  </si>
  <si>
    <t>C36252196</t>
  </si>
  <si>
    <t>Malekar Sri Lakshmi</t>
  </si>
  <si>
    <t>C36252300</t>
  </si>
  <si>
    <t>Tirumani Akhila</t>
  </si>
  <si>
    <t>C36252280</t>
  </si>
  <si>
    <t>Ganji Sonali</t>
  </si>
  <si>
    <t>C36252167</t>
  </si>
  <si>
    <t>Mende Hrushikesh Yadav</t>
  </si>
  <si>
    <t>C36252260</t>
  </si>
  <si>
    <t xml:space="preserve">Boddu Pragathi </t>
  </si>
  <si>
    <t>C36252194</t>
  </si>
  <si>
    <t>Thangadpalli Sahithi</t>
  </si>
  <si>
    <t>C36252298</t>
  </si>
  <si>
    <t xml:space="preserve">Shaik Nausheen </t>
  </si>
  <si>
    <t>C36252445</t>
  </si>
  <si>
    <t>Gangapuram Shiva Kumar</t>
  </si>
  <si>
    <t>C36252192</t>
  </si>
  <si>
    <t>MD Ibrahim Ahmed</t>
  </si>
  <si>
    <t>C36252243</t>
  </si>
  <si>
    <t xml:space="preserve">Aswin S Nair </t>
  </si>
  <si>
    <t>C36252193</t>
  </si>
  <si>
    <t>Nadikudi Vamshi Krishna</t>
  </si>
  <si>
    <t>C36252191</t>
  </si>
  <si>
    <t xml:space="preserve">Pathroju Naveen Kumar </t>
  </si>
  <si>
    <t>C36252259</t>
  </si>
  <si>
    <t xml:space="preserve">Benjarapu Kyathipriya </t>
  </si>
  <si>
    <t>C36252258</t>
  </si>
  <si>
    <t xml:space="preserve">Vishal Choudhary </t>
  </si>
  <si>
    <t>C36252257</t>
  </si>
  <si>
    <t xml:space="preserve">Ryakala Tharun Goud </t>
  </si>
  <si>
    <t>C36252190</t>
  </si>
  <si>
    <t xml:space="preserve"> Gandla  Archana </t>
  </si>
  <si>
    <t>C36252263</t>
  </si>
  <si>
    <t>Bogi Pooja</t>
  </si>
  <si>
    <t>C36252285</t>
  </si>
  <si>
    <t>Sonu Manoj</t>
  </si>
  <si>
    <t xml:space="preserve">Kanchuvarla Pavanshu </t>
  </si>
  <si>
    <t>C36252188</t>
  </si>
  <si>
    <t>Rompally Anil</t>
  </si>
  <si>
    <t>C36252187</t>
  </si>
  <si>
    <t>Nagamalli Sai Raghava  Manideep</t>
  </si>
  <si>
    <t>C36252242</t>
  </si>
  <si>
    <t>Mohammed Sameer Pasha</t>
  </si>
  <si>
    <t>C36252241</t>
  </si>
  <si>
    <t>B Mahitha</t>
  </si>
  <si>
    <t>C36252256</t>
  </si>
  <si>
    <t>Araveti Kalyan</t>
  </si>
  <si>
    <t>C36252255</t>
  </si>
  <si>
    <t>Vishwakarma Prakash Kumar</t>
  </si>
  <si>
    <t>C36252185</t>
  </si>
  <si>
    <t>K Denuka</t>
  </si>
  <si>
    <t>C36252183</t>
  </si>
  <si>
    <t>Ruqiya Tabassum</t>
  </si>
  <si>
    <t>C36252254</t>
  </si>
  <si>
    <t>Mohd Shaibaaz</t>
  </si>
  <si>
    <t>C36252253</t>
  </si>
  <si>
    <t>C Mani deep</t>
  </si>
  <si>
    <t>C36252252</t>
  </si>
  <si>
    <t>B.Sujith  Kumar</t>
  </si>
  <si>
    <t>C36252238</t>
  </si>
  <si>
    <t>Tholati  Kruthika</t>
  </si>
  <si>
    <t>C36252236</t>
  </si>
  <si>
    <t>Kanukunta Sai Priya</t>
  </si>
  <si>
    <t>C36252234</t>
  </si>
  <si>
    <t>S Sai Praneeth Reddy</t>
  </si>
  <si>
    <t>C36252182</t>
  </si>
  <si>
    <t>Jaladani Venkata Naga Sahithi</t>
  </si>
  <si>
    <t>C36252447</t>
  </si>
  <si>
    <t>Ergadinla Prasanna</t>
  </si>
  <si>
    <t>C36252184</t>
  </si>
  <si>
    <t>Jonnada Archana</t>
  </si>
  <si>
    <t>C36252284</t>
  </si>
  <si>
    <t>Rakshith S K</t>
  </si>
  <si>
    <t>Avinash Kumar</t>
  </si>
  <si>
    <t>O36250146</t>
  </si>
  <si>
    <t>Lakshmi Narayana Chowdary</t>
  </si>
  <si>
    <t xml:space="preserve"> Bapathi Hemanth Kumar Reddy</t>
  </si>
  <si>
    <t>C36252175</t>
  </si>
  <si>
    <t>Vyshnavi Garimidi</t>
  </si>
  <si>
    <t>Anuradha M</t>
  </si>
  <si>
    <t>Gowrishankar  J</t>
  </si>
  <si>
    <t>C36252291</t>
  </si>
  <si>
    <t>Safeena Banu  Bellary</t>
  </si>
  <si>
    <t>C36252279</t>
  </si>
  <si>
    <t>Nilesh Chandrakant Borate</t>
  </si>
  <si>
    <t>C36252278</t>
  </si>
  <si>
    <t xml:space="preserve">Avuti Sanjeev </t>
  </si>
  <si>
    <t>C36252250</t>
  </si>
  <si>
    <t>Kuturu Rajashekar Reddy</t>
  </si>
  <si>
    <t>C36252308</t>
  </si>
  <si>
    <t>Pulivendula Umesh Chandra</t>
  </si>
  <si>
    <t>C36252271</t>
  </si>
  <si>
    <t xml:space="preserve">Challa Pavan Reddy  </t>
  </si>
  <si>
    <t>O36250145</t>
  </si>
  <si>
    <t>Mohsin Ayub Momin</t>
  </si>
  <si>
    <t>C36252341</t>
  </si>
  <si>
    <t>Vadde Meghana</t>
  </si>
  <si>
    <t>Tamal Banik</t>
  </si>
  <si>
    <t>C36252281</t>
  </si>
  <si>
    <t>Gatla Keerthana</t>
  </si>
  <si>
    <t>C36252302</t>
  </si>
  <si>
    <t>Dilshad Khan</t>
  </si>
  <si>
    <t>C36252326</t>
  </si>
  <si>
    <t>Vadde Sumaharshini</t>
  </si>
  <si>
    <t>C36252324</t>
  </si>
  <si>
    <t>Kolakati Vara Prasad</t>
  </si>
  <si>
    <t>C36252323</t>
  </si>
  <si>
    <t>Manekar Anitha</t>
  </si>
  <si>
    <t>C36252352</t>
  </si>
  <si>
    <t>Kavadi Mounika</t>
  </si>
  <si>
    <t>C36252389</t>
  </si>
  <si>
    <t>Pavan Prasad Kohli</t>
  </si>
  <si>
    <t>C36252330</t>
  </si>
  <si>
    <t>Madaka Jaya Chandra</t>
  </si>
  <si>
    <t>Ankita Upadhyay</t>
  </si>
  <si>
    <t>C36252368</t>
  </si>
  <si>
    <t>Duddempudi Naveen</t>
  </si>
  <si>
    <t>C36252442</t>
  </si>
  <si>
    <t xml:space="preserve">Etay Stephen Emmanual </t>
  </si>
  <si>
    <t>C36252383</t>
  </si>
  <si>
    <t>Mayank  Mistry</t>
  </si>
  <si>
    <t>O36250150</t>
  </si>
  <si>
    <t xml:space="preserve"> Kambakaya Janani Varaprasad </t>
  </si>
  <si>
    <t>C36252457</t>
  </si>
  <si>
    <t xml:space="preserve">Allu Ramya </t>
  </si>
  <si>
    <t>C36252390</t>
  </si>
  <si>
    <t>Shantam Sharma</t>
  </si>
  <si>
    <t>C36252430</t>
  </si>
  <si>
    <t>Rujuta Narendra Arde</t>
  </si>
  <si>
    <t>C36252429</t>
  </si>
  <si>
    <t>Narendra Kumar Debariki</t>
  </si>
  <si>
    <t>Malla Ravindra Aditya</t>
  </si>
  <si>
    <t>C36252456</t>
  </si>
  <si>
    <t>Saswat Panda</t>
  </si>
  <si>
    <t>Ritika  Kundu</t>
  </si>
  <si>
    <t>C36252461</t>
  </si>
  <si>
    <t>Avinash Tatyaso Sawant</t>
  </si>
  <si>
    <t>C36252422</t>
  </si>
  <si>
    <t>Yogender Kumar Verma</t>
  </si>
  <si>
    <t>C36252439</t>
  </si>
  <si>
    <t>Sharath Kashyap R</t>
  </si>
  <si>
    <t>C36252454</t>
  </si>
  <si>
    <t xml:space="preserve">Orimpati Geya Jeswini </t>
  </si>
  <si>
    <t>C36252464</t>
  </si>
  <si>
    <t>Jillella Vamsidhar Reddy</t>
  </si>
  <si>
    <t>C36252460</t>
  </si>
  <si>
    <t>Chappidi Anjineyulu</t>
  </si>
  <si>
    <t>C36252466</t>
  </si>
  <si>
    <t>Kollapuram Vishwakaran</t>
  </si>
  <si>
    <t>R Nandakumar</t>
  </si>
  <si>
    <t>C36252509</t>
  </si>
  <si>
    <t>Pothuri Pradeep Naidu</t>
  </si>
  <si>
    <t>C36252452</t>
  </si>
  <si>
    <t>Karapa Vinay</t>
  </si>
  <si>
    <t>Ashutosh Dewangan</t>
  </si>
  <si>
    <t>O36250151</t>
  </si>
  <si>
    <t>Shaik Mastan Vali</t>
  </si>
  <si>
    <t>Aare Manikantaswami</t>
  </si>
  <si>
    <t>C36252493</t>
  </si>
  <si>
    <t>Mohan Kumar M N</t>
  </si>
  <si>
    <t>C36252481</t>
  </si>
  <si>
    <t>Bharathi Kothandan</t>
  </si>
  <si>
    <t>C36252480</t>
  </si>
  <si>
    <t>R Charan</t>
  </si>
  <si>
    <t>C36252476</t>
  </si>
  <si>
    <t xml:space="preserve">Devireddy Hari priya </t>
  </si>
  <si>
    <t>C36252477</t>
  </si>
  <si>
    <t>Sanivarapu Ganga Prasad Reddy</t>
  </si>
  <si>
    <t>O36250152</t>
  </si>
  <si>
    <t>Konda Varshitha</t>
  </si>
  <si>
    <t>C36252485</t>
  </si>
  <si>
    <t>Dibyani Barick</t>
  </si>
  <si>
    <t>C36252483</t>
  </si>
  <si>
    <t>Pallavi  Bajaj</t>
  </si>
  <si>
    <t>C36252489</t>
  </si>
  <si>
    <t>Vikas Handa</t>
  </si>
  <si>
    <t>C36252539</t>
  </si>
  <si>
    <t>Priyambada Dipakkumar Gadhwal</t>
  </si>
  <si>
    <t>Puram SivaSankar</t>
  </si>
  <si>
    <t>C36260059</t>
  </si>
  <si>
    <t>Kaleem Khan</t>
  </si>
  <si>
    <t>Kalpesh Kamlesh Nikhare</t>
  </si>
  <si>
    <t>C36252522</t>
  </si>
  <si>
    <t xml:space="preserve"> Bobbili  Jagadeesh </t>
  </si>
  <si>
    <t>C36260009</t>
  </si>
  <si>
    <t xml:space="preserve">Akash Khare </t>
  </si>
  <si>
    <t>O36260003</t>
  </si>
  <si>
    <t xml:space="preserve">Prakash Sakharam Lanjewar </t>
  </si>
  <si>
    <t>O36260002</t>
  </si>
  <si>
    <t xml:space="preserve">Saravana Ganesh </t>
  </si>
  <si>
    <t>O36260001</t>
  </si>
  <si>
    <t xml:space="preserve">Nitin Bhargava </t>
  </si>
  <si>
    <t>O36260000</t>
  </si>
  <si>
    <t xml:space="preserve"> Mannimala Venkateswarlu</t>
  </si>
  <si>
    <t>O36260005</t>
  </si>
  <si>
    <t>Bokka Sai Surya Deep</t>
  </si>
  <si>
    <t>C36260008</t>
  </si>
  <si>
    <t>Navaneethan GN</t>
  </si>
  <si>
    <t>Madhuri Prakash Tayade</t>
  </si>
  <si>
    <t>C36260004</t>
  </si>
  <si>
    <t>Shital Yogesh Rode</t>
  </si>
  <si>
    <t>C36260005</t>
  </si>
  <si>
    <t>Afrin Abbas Shaikh</t>
  </si>
  <si>
    <t>C36260057</t>
  </si>
  <si>
    <t>Gagana Shree AN</t>
  </si>
  <si>
    <t>Ashish Ranjan Modak</t>
  </si>
  <si>
    <t>O36260012</t>
  </si>
  <si>
    <t>Devagonda Monika</t>
  </si>
  <si>
    <t xml:space="preserve"> Sunder Kumar V</t>
  </si>
  <si>
    <t>C36260017</t>
  </si>
  <si>
    <t xml:space="preserve">Danesh Zubin Marolia </t>
  </si>
  <si>
    <t>C36260054</t>
  </si>
  <si>
    <t>Malijeddi Gowtham</t>
  </si>
  <si>
    <t>C36260022</t>
  </si>
  <si>
    <t>Rekha M B</t>
  </si>
  <si>
    <t>Mukesh Kumar</t>
  </si>
  <si>
    <t>O36260009</t>
  </si>
  <si>
    <t>Liyaqath  Baig</t>
  </si>
  <si>
    <t>C36260086</t>
  </si>
  <si>
    <t xml:space="preserve">Dominic  D souza </t>
  </si>
  <si>
    <t>C36260074</t>
  </si>
  <si>
    <t>Tarique Zaib</t>
  </si>
  <si>
    <t>C36260121</t>
  </si>
  <si>
    <t xml:space="preserve">Kuldip Kumar Ojha </t>
  </si>
  <si>
    <t>C36260308</t>
  </si>
  <si>
    <t>Gouri Vivek Patil</t>
  </si>
  <si>
    <t>C36260109</t>
  </si>
  <si>
    <t>Harish V</t>
  </si>
  <si>
    <t>Chenji  Rohitha</t>
  </si>
  <si>
    <t>C36260129</t>
  </si>
  <si>
    <t>Aastha Agarwal</t>
  </si>
  <si>
    <t>C36260325</t>
  </si>
  <si>
    <t>L Mohammad Sharique</t>
  </si>
  <si>
    <t>C36260324</t>
  </si>
  <si>
    <t>Aiswarya Suresh</t>
  </si>
  <si>
    <t>C36260140</t>
  </si>
  <si>
    <t>Deepak Patel</t>
  </si>
  <si>
    <t>C36260138</t>
  </si>
  <si>
    <t>Nitin Shankar Kale</t>
  </si>
  <si>
    <t>C36260139</t>
  </si>
  <si>
    <t>Niharika M K</t>
  </si>
  <si>
    <t xml:space="preserve"> Madanagopal Vivekananda</t>
  </si>
  <si>
    <t>C36260163</t>
  </si>
  <si>
    <t>Sanket Anilkumar Patodi</t>
  </si>
  <si>
    <t>C36260169</t>
  </si>
  <si>
    <t>Rajasekhar  Botta</t>
  </si>
  <si>
    <t>C36260160</t>
  </si>
  <si>
    <t>Kanak Ranjan</t>
  </si>
  <si>
    <t>O36260014</t>
  </si>
  <si>
    <t>Jishnu Prasad MV</t>
  </si>
  <si>
    <t>Shravani Vijay Dasari</t>
  </si>
  <si>
    <t>C36260183</t>
  </si>
  <si>
    <t xml:space="preserve">Ankita Rani Acharjya </t>
  </si>
  <si>
    <t>C36260172</t>
  </si>
  <si>
    <t>Shreyas Shetty K R</t>
  </si>
  <si>
    <t>O36260015</t>
  </si>
  <si>
    <t>Elilmaniyamma S</t>
  </si>
  <si>
    <t>C36260211</t>
  </si>
  <si>
    <t>Md Shahwaj</t>
  </si>
  <si>
    <t>C36260223</t>
  </si>
  <si>
    <t>Pratishruti Priyadarsini Samanta</t>
  </si>
  <si>
    <t>C36260218</t>
  </si>
  <si>
    <t>Sakshi Prashant Pawar</t>
  </si>
  <si>
    <t>C36260225</t>
  </si>
  <si>
    <t>Nagendra  N</t>
  </si>
  <si>
    <t>C36260222</t>
  </si>
  <si>
    <t xml:space="preserve">Yashaswini D </t>
  </si>
  <si>
    <t>C36260234</t>
  </si>
  <si>
    <t xml:space="preserve">Adarsh Kumar </t>
  </si>
  <si>
    <t>C36260241</t>
  </si>
  <si>
    <t>Taiyaba Fathima</t>
  </si>
  <si>
    <t>C36260230</t>
  </si>
  <si>
    <t>Jeeva Dharshan N</t>
  </si>
  <si>
    <t>C36260262</t>
  </si>
  <si>
    <t>Adithi C Patil</t>
  </si>
  <si>
    <t>C36260258</t>
  </si>
  <si>
    <t>Sridevi  Koppireddy</t>
  </si>
  <si>
    <t>C36260386</t>
  </si>
  <si>
    <t>Rekha Sree G</t>
  </si>
  <si>
    <t>Madduri Sasikanth Reddy</t>
  </si>
  <si>
    <t>C36260318</t>
  </si>
  <si>
    <t>Swaraj Sekhar Biswal</t>
  </si>
  <si>
    <t>O36260016</t>
  </si>
  <si>
    <t>Anjana Manoj</t>
  </si>
  <si>
    <t>Sakshee Sharma</t>
  </si>
  <si>
    <t>C36260316</t>
  </si>
  <si>
    <t>Krutika Kishor Chandavarkar</t>
  </si>
  <si>
    <t>Midhun Suresh</t>
  </si>
  <si>
    <t>C36260326</t>
  </si>
  <si>
    <t>Anmol Mahipal</t>
  </si>
  <si>
    <t>C36260322</t>
  </si>
  <si>
    <t>Sagarika Suman</t>
  </si>
  <si>
    <t>Bijoy Anand Jha</t>
  </si>
  <si>
    <t>Shreya Mishra</t>
  </si>
  <si>
    <t>C36260389</t>
  </si>
  <si>
    <t>Jishnu Sabarish</t>
  </si>
  <si>
    <t>MD Shanoor Laskar</t>
  </si>
  <si>
    <t>C36260351</t>
  </si>
  <si>
    <t xml:space="preserve">Abhay Anand Vatsa </t>
  </si>
  <si>
    <t>C36260385</t>
  </si>
  <si>
    <t>Shradda Laxman Abane</t>
  </si>
  <si>
    <t>C36260375</t>
  </si>
  <si>
    <t xml:space="preserve">Yelampalle Chinnapa Reddy </t>
  </si>
  <si>
    <t>C36260589</t>
  </si>
  <si>
    <t>Saumya Bhaskar</t>
  </si>
  <si>
    <t>C36260546</t>
  </si>
  <si>
    <t xml:space="preserve">Geetanjali J </t>
  </si>
  <si>
    <t>Arjun Dayanandan</t>
  </si>
  <si>
    <t>C36260417</t>
  </si>
  <si>
    <t>Veganath Reddy Ganta</t>
  </si>
  <si>
    <t>C36260527</t>
  </si>
  <si>
    <t>Anusha Ramesh Kalakannavar</t>
  </si>
  <si>
    <t xml:space="preserve"> Meesala Priyanka </t>
  </si>
  <si>
    <t>C36260587</t>
  </si>
  <si>
    <t>Srija R</t>
  </si>
  <si>
    <t>Rachel Pricy T</t>
  </si>
  <si>
    <t>C36260584</t>
  </si>
  <si>
    <t>Anik Barai</t>
  </si>
  <si>
    <t>C36260598</t>
  </si>
  <si>
    <t xml:space="preserve">Punyatoya Jena </t>
  </si>
  <si>
    <t>C36260609</t>
  </si>
  <si>
    <t xml:space="preserve">Vivek Singh </t>
  </si>
  <si>
    <t>C36260638</t>
  </si>
  <si>
    <t>Mahadevaprasad N</t>
  </si>
  <si>
    <t>Syed Mohammed Jaweed</t>
  </si>
  <si>
    <t>C36260713</t>
  </si>
  <si>
    <t xml:space="preserve">Deepthi </t>
  </si>
  <si>
    <t>C36260702</t>
  </si>
  <si>
    <t>Razia Shabana</t>
  </si>
  <si>
    <t>C36260691</t>
  </si>
  <si>
    <t>Rahul Karmakar</t>
  </si>
  <si>
    <t>C36260708</t>
  </si>
  <si>
    <t>Yuvaraj V C</t>
  </si>
  <si>
    <t>C36260730</t>
  </si>
  <si>
    <t xml:space="preserve">Sara  </t>
  </si>
  <si>
    <t>C36260651</t>
  </si>
  <si>
    <t>Bathini Venkata Sai Krishna</t>
  </si>
  <si>
    <t>C36260667</t>
  </si>
  <si>
    <t xml:space="preserve">Sipra Mohanty </t>
  </si>
  <si>
    <t>C36260779</t>
  </si>
  <si>
    <t>Ponduru Sarath kumar</t>
  </si>
  <si>
    <t>Rajeshkumar Gnanasekaran</t>
  </si>
  <si>
    <t>C36260760</t>
  </si>
  <si>
    <t>Pawan Kumar Tiwari</t>
  </si>
  <si>
    <t>C36260758</t>
  </si>
  <si>
    <t xml:space="preserve">S Manoj Kumar  </t>
  </si>
  <si>
    <t>C36260756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</si>
</sst>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color rgb="FF333333"/>
      <name val="Open Sans"/>
      <family val="2"/>
    </font>
    <font>
      <sz val="12"/>
      <color rgb="FF000000"/>
      <name val="Aptos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7C7A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F2D0"/>
        <bgColor rgb="FFDAF2D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0" fillId="0" borderId="1" xfId="1" applyFont="1" applyBorder="1" applyAlignment="1">
      <alignment vertical="center"/>
    </xf>
    <xf numFmtId="0" fontId="5" fillId="0" borderId="1" xfId="1" applyFont="1" applyBorder="1" applyAlignment="1">
      <alignment vertical="center"/>
    </xf>
    <xf numFmtId="0" fontId="4" fillId="0" borderId="1" xfId="1" applyFont="1" applyBorder="1" applyAlignment="1">
      <alignment vertical="center"/>
    </xf>
    <xf numFmtId="0" fontId="2" fillId="0" borderId="1" xfId="1" applyFont="1" applyBorder="1" applyAlignment="1">
      <alignment vertical="center"/>
    </xf>
    <xf numFmtId="0" fontId="0" fillId="0" borderId="1" xfId="1" applyFont="1" applyBorder="1" applyAlignment="1">
      <alignment horizontal="left" vertical="center"/>
    </xf>
    <xf numFmtId="0" fontId="6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3" fillId="3" borderId="1" xfId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1" xfId="1" applyFont="1" applyBorder="1" applyAlignment="1">
      <alignment horizontal="left" vertical="center"/>
    </xf>
    <xf numFmtId="0" fontId="8" fillId="0" borderId="1" xfId="1" applyFont="1" applyBorder="1" applyAlignment="1">
      <alignment vertical="center"/>
    </xf>
    <xf numFmtId="0" fontId="3" fillId="4" borderId="1" xfId="1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3" fillId="0" borderId="0" xfId="1" applyFont="1" applyAlignment="1">
      <alignment horizontal="left" vertical="center"/>
    </xf>
    <xf numFmtId="164" fontId="0" fillId="0" borderId="0" xfId="0" applyNumberFormat="1"/>
    <xf numFmtId="0" fontId="0" fillId="0" borderId="0" xfId="0" applyNumberFormat="1"/>
  </cellXfs>
  <cellStyles count="2">
    <cellStyle name="Normal" xfId="0" builtinId="0"/>
    <cellStyle name="Normal 3" xfId="1" xr:uid="{705C1E98-2F2C-46D0-84BA-FAFC73F8458A}"/>
  </cellStyles>
  <dxfs count="21"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BAC96E7-F04D-429A-842F-0768B5DB0CA0}" autoFormatId="16" applyNumberFormats="0" applyBorderFormats="0" applyFontFormats="0" applyPatternFormats="0" applyAlignmentFormats="0" applyWidthHeightFormats="0">
  <queryTableRefresh nextId="16" unboundColumnsRight="2">
    <queryTableFields count="14">
      <queryTableField id="1" name="recruiter_name" tableColumnId="1"/>
      <queryTableField id="2" name="manager_name" tableColumnId="2"/>
      <queryTableField id="3" name="full_name" tableColumnId="3"/>
      <queryTableField id="4" name="employee_type" tableColumnId="4"/>
      <queryTableField id="5" name="employee_id" tableColumnId="5"/>
      <queryTableField id="6" name="joining_date" tableColumnId="6"/>
      <queryTableField id="7" name="p_o_value" tableColumnId="7"/>
      <queryTableField id="8" name="margin" tableColumnId="8"/>
      <queryTableField id="9" name="exit_type" tableColumnId="9"/>
      <queryTableField id="10" name="company_name" tableColumnId="10"/>
      <queryTableField id="11" name="status" tableColumnId="11"/>
      <queryTableField id="12" name="tentative_exit_date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850C269-EC99-47D9-ABF2-06BFF50AE8DB}" autoFormatId="16" applyNumberFormats="0" applyBorderFormats="0" applyFontFormats="0" applyPatternFormats="0" applyAlignmentFormats="0" applyWidthHeightFormats="0">
  <queryTableRefresh nextId="16" unboundColumnsRight="2">
    <queryTableFields count="15">
      <queryTableField id="1" name="recruiter_name" tableColumnId="1"/>
      <queryTableField id="2" name="manager_name" tableColumnId="2"/>
      <queryTableField id="3" name="full_name" tableColumnId="3"/>
      <queryTableField id="4" name="employee_type" tableColumnId="4"/>
      <queryTableField id="5" name="employee_id" tableColumnId="5"/>
      <queryTableField id="6" name="joining_date" tableColumnId="6"/>
      <queryTableField id="7" name="p_o_value" tableColumnId="7"/>
      <queryTableField id="8" name="margin" tableColumnId="8"/>
      <queryTableField id="9" name="exit_type" tableColumnId="9"/>
      <queryTableField id="10" name="company_name" tableColumnId="10"/>
      <queryTableField id="11" name="status" tableColumnId="11"/>
      <queryTableField id="12" name="last_work_day" tableColumnId="12"/>
      <queryTableField id="13" name="created_at" tableColumnId="13"/>
      <queryTableField id="14" dataBound="0" tableColumnId="14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975193-AEBA-4F14-B602-37CCB006046E}" name="Query2" displayName="Query2" ref="A1:N85" tableType="queryTable" totalsRowShown="0">
  <tableColumns count="14">
    <tableColumn id="1" xr3:uid="{0819A5AD-B8F1-450D-B125-85813D29D117}" uniqueName="1" name="recruiter_name" queryTableFieldId="1" dataDxfId="20"/>
    <tableColumn id="2" xr3:uid="{37569BD0-459E-4CCB-B9B7-D80094AD4E62}" uniqueName="2" name="manager_name" queryTableFieldId="2" dataDxfId="19"/>
    <tableColumn id="3" xr3:uid="{7F03A365-4791-4B01-A6BD-AEFE566E3A82}" uniqueName="3" name="full_name" queryTableFieldId="3" dataDxfId="18"/>
    <tableColumn id="4" xr3:uid="{7F32B6E6-4AEF-4936-A4EB-C4FA13651227}" uniqueName="4" name="employee_type" queryTableFieldId="4"/>
    <tableColumn id="5" xr3:uid="{63B4F253-5B80-4605-BC0A-95D9E5962CD6}" uniqueName="5" name="employee_id" queryTableFieldId="5" dataDxfId="17"/>
    <tableColumn id="6" xr3:uid="{D251BFE1-4873-4C35-B7E9-563BB1ED5E08}" uniqueName="6" name="joining_date" queryTableFieldId="6" dataDxfId="12"/>
    <tableColumn id="7" xr3:uid="{66E17DEB-4449-4A3F-9CC6-8527822C8CCD}" uniqueName="7" name="p_o_value" queryTableFieldId="7"/>
    <tableColumn id="8" xr3:uid="{81FE0C5B-4859-47B1-8278-4BA013D50A91}" uniqueName="8" name="margin" queryTableFieldId="8"/>
    <tableColumn id="9" xr3:uid="{C8B6C97F-F026-41AD-9209-DC23E9F2ED17}" uniqueName="9" name="exit_type" queryTableFieldId="9" dataDxfId="16"/>
    <tableColumn id="10" xr3:uid="{C2EF22DE-2923-4F93-8510-AD052B28AB92}" uniqueName="10" name="company_name" queryTableFieldId="10" dataDxfId="15"/>
    <tableColumn id="11" xr3:uid="{F6D9B7AD-C16B-471A-8310-B43C19FA6AA5}" uniqueName="11" name="status" queryTableFieldId="11"/>
    <tableColumn id="12" xr3:uid="{CA801A86-6228-46F3-87C3-0784B4EF4C0B}" uniqueName="12" name="tentative_exit_date" queryTableFieldId="12" dataDxfId="11"/>
    <tableColumn id="13" xr3:uid="{6FC9F454-400E-466C-8416-6FB4BC06B895}" uniqueName="13" name="BH" queryTableFieldId="13" dataDxfId="14">
      <calculatedColumnFormula>VLOOKUP(Query2[[#This Row],[company_name]],'Org Mapping'!$B:$I,8,FALSE)</calculatedColumnFormula>
    </tableColumn>
    <tableColumn id="14" xr3:uid="{5011ADB1-4FE7-478D-A000-3E3C9DF37E57}" uniqueName="14" name="Month" queryTableFieldId="14" dataDxfId="13">
      <calculatedColumnFormula>TEXT(Query2[[#This Row],[tentative_exit_date]],"mmm'yy")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369E1B-413A-429E-A279-C8E502430403}" name="Query1" displayName="Query1" ref="A1:O1059" tableType="queryTable" totalsRowShown="0">
  <tableColumns count="15">
    <tableColumn id="1" xr3:uid="{F45D5F3B-7AF7-48D8-B7BA-0CCB7EF3E24E}" uniqueName="1" name="recruiter_name" queryTableFieldId="1" dataDxfId="10"/>
    <tableColumn id="2" xr3:uid="{605361CA-3BAE-45D9-849E-E73CC6EAA24E}" uniqueName="2" name="manager_name" queryTableFieldId="2" dataDxfId="9"/>
    <tableColumn id="3" xr3:uid="{02E9B3FB-05EE-4EF8-8B01-19693D17DF4C}" uniqueName="3" name="full_name" queryTableFieldId="3" dataDxfId="8"/>
    <tableColumn id="4" xr3:uid="{816CFDC0-D712-4F86-8C1F-96B264183636}" uniqueName="4" name="employee_type" queryTableFieldId="4"/>
    <tableColumn id="5" xr3:uid="{C0932B82-7969-4BFB-8392-ABCCD21CCAFC}" uniqueName="5" name="employee_id" queryTableFieldId="5" dataDxfId="7"/>
    <tableColumn id="6" xr3:uid="{BA0ABC37-70F3-496B-A9FA-1BE1AC3D5C61}" uniqueName="6" name="joining_date" queryTableFieldId="6" dataDxfId="6"/>
    <tableColumn id="7" xr3:uid="{EB5E2860-0CE7-4C96-B0F1-76816942F9F1}" uniqueName="7" name="p_o_value" queryTableFieldId="7"/>
    <tableColumn id="8" xr3:uid="{CF6797C2-917D-458C-A611-DEA95AB3D03B}" uniqueName="8" name="margin" queryTableFieldId="8"/>
    <tableColumn id="9" xr3:uid="{04EDAA49-4ADF-4744-9C29-B041FD482BB1}" uniqueName="9" name="exit_type" queryTableFieldId="9" dataDxfId="5"/>
    <tableColumn id="10" xr3:uid="{87C85438-8EA5-4090-8A31-A9DDEBAFBD1A}" uniqueName="10" name="company_name" queryTableFieldId="10" dataDxfId="4"/>
    <tableColumn id="11" xr3:uid="{FF7B8B0E-A46F-4EC7-B944-630A0BD81255}" uniqueName="11" name="status" queryTableFieldId="11"/>
    <tableColumn id="12" xr3:uid="{1DE9DB1B-FD84-455B-A801-763B0D8CF6CC}" uniqueName="12" name="last_work_day" queryTableFieldId="12" dataDxfId="3"/>
    <tableColumn id="13" xr3:uid="{AE090E0C-6732-4D33-9414-F52F4661BF57}" uniqueName="13" name="created_at" queryTableFieldId="13" dataDxfId="2"/>
    <tableColumn id="14" xr3:uid="{0CD8E37A-B218-42B5-8B01-0AF3183413C4}" uniqueName="14" name="BH" queryTableFieldId="14" dataDxfId="1">
      <calculatedColumnFormula>VLOOKUP(Query1[[#This Row],[company_name]],'Org Mapping'!$B:$I,8,FALSE)</calculatedColumnFormula>
    </tableColumn>
    <tableColumn id="15" xr3:uid="{1B284A42-5A1B-41BB-8D09-7D57CBA348BC}" uniqueName="15" name="Month" queryTableFieldId="15" dataDxfId="0">
      <calculatedColumnFormula>TEXT(Query1[[#This Row],[last_work_day]],"mmm'yy")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133C-3445-4AB9-BE7A-3C2A44F4621B}">
  <sheetPr>
    <tabColor theme="1" tint="4.9989318521683403E-2"/>
  </sheetPr>
  <dimension ref="A1:N85"/>
  <sheetViews>
    <sheetView topLeftCell="C1" workbookViewId="0">
      <selection sqref="A1:K1"/>
    </sheetView>
  </sheetViews>
  <sheetFormatPr defaultRowHeight="14.5" x14ac:dyDescent="0.35"/>
  <cols>
    <col min="1" max="1" width="27.26953125" bestFit="1" customWidth="1"/>
    <col min="2" max="2" width="22.26953125" bestFit="1" customWidth="1"/>
    <col min="3" max="3" width="32.81640625" bestFit="1" customWidth="1"/>
    <col min="4" max="4" width="13.54296875" bestFit="1" customWidth="1"/>
    <col min="5" max="5" width="11.453125" bestFit="1" customWidth="1"/>
    <col min="6" max="6" width="11.08984375" bestFit="1" customWidth="1"/>
    <col min="7" max="7" width="9.08984375" bestFit="1" customWidth="1"/>
    <col min="8" max="8" width="7.81640625" bestFit="1" customWidth="1"/>
    <col min="9" max="9" width="14.7265625" bestFit="1" customWidth="1"/>
    <col min="10" max="10" width="14.1796875" bestFit="1" customWidth="1"/>
    <col min="11" max="11" width="6" bestFit="1" customWidth="1"/>
    <col min="12" max="12" width="16.81640625" bestFit="1" customWidth="1"/>
    <col min="13" max="13" width="13.7265625" bestFit="1" customWidth="1"/>
    <col min="14" max="14" width="6.26953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864</v>
      </c>
      <c r="M1" t="s">
        <v>13</v>
      </c>
      <c r="N1" t="s">
        <v>14</v>
      </c>
    </row>
    <row r="2" spans="1:14" x14ac:dyDescent="0.35">
      <c r="A2" t="s">
        <v>29</v>
      </c>
      <c r="B2" t="s">
        <v>18</v>
      </c>
      <c r="C2" t="s">
        <v>866</v>
      </c>
      <c r="D2">
        <v>6</v>
      </c>
      <c r="E2" t="s">
        <v>867</v>
      </c>
      <c r="F2" s="29">
        <v>44727</v>
      </c>
      <c r="G2">
        <v>48400</v>
      </c>
      <c r="H2">
        <v>4400</v>
      </c>
      <c r="I2" t="s">
        <v>16</v>
      </c>
      <c r="J2" t="s">
        <v>17</v>
      </c>
      <c r="K2">
        <v>5</v>
      </c>
      <c r="L2" s="29">
        <v>46185</v>
      </c>
      <c r="M2" t="str">
        <f>VLOOKUP(Query2[[#This Row],[company_name]],'Org Mapping'!$B:$I,8,FALSE)</f>
        <v>Jawad Ulla Khan</v>
      </c>
      <c r="N2" t="str">
        <f>TEXT(Query2[[#This Row],[tentative_exit_date]],"mmm'yy")</f>
        <v>Jun'26</v>
      </c>
    </row>
    <row r="3" spans="1:14" x14ac:dyDescent="0.35">
      <c r="A3" t="s">
        <v>175</v>
      </c>
      <c r="B3" t="s">
        <v>65</v>
      </c>
      <c r="C3" t="s">
        <v>868</v>
      </c>
      <c r="D3">
        <v>2</v>
      </c>
      <c r="E3" t="s">
        <v>869</v>
      </c>
      <c r="F3" s="29">
        <v>45103</v>
      </c>
      <c r="G3">
        <v>32500</v>
      </c>
      <c r="H3">
        <v>7500</v>
      </c>
      <c r="I3" t="s">
        <v>16</v>
      </c>
      <c r="J3" t="s">
        <v>90</v>
      </c>
      <c r="K3">
        <v>5</v>
      </c>
      <c r="L3" s="29">
        <v>46198</v>
      </c>
      <c r="M3" t="str">
        <f>VLOOKUP(Query2[[#This Row],[company_name]],'Org Mapping'!$B:$I,8,FALSE)</f>
        <v>Jawad Ulla Khan</v>
      </c>
      <c r="N3" t="str">
        <f>TEXT(Query2[[#This Row],[tentative_exit_date]],"mmm'yy")</f>
        <v>Jun'26</v>
      </c>
    </row>
    <row r="4" spans="1:14" x14ac:dyDescent="0.35">
      <c r="A4" t="s">
        <v>170</v>
      </c>
      <c r="B4" t="s">
        <v>65</v>
      </c>
      <c r="C4" t="s">
        <v>870</v>
      </c>
      <c r="D4">
        <v>2</v>
      </c>
      <c r="E4" t="s">
        <v>871</v>
      </c>
      <c r="F4" s="29">
        <v>45091</v>
      </c>
      <c r="G4">
        <v>29500</v>
      </c>
      <c r="H4">
        <v>4500</v>
      </c>
      <c r="I4" t="s">
        <v>16</v>
      </c>
      <c r="J4" t="s">
        <v>76</v>
      </c>
      <c r="K4">
        <v>5</v>
      </c>
      <c r="L4" s="29">
        <v>46185</v>
      </c>
      <c r="M4" t="str">
        <f>VLOOKUP(Query2[[#This Row],[company_name]],'Org Mapping'!$B:$I,8,FALSE)</f>
        <v>Jawad Ulla Khan</v>
      </c>
      <c r="N4" t="str">
        <f>TEXT(Query2[[#This Row],[tentative_exit_date]],"mmm'yy")</f>
        <v>Jun'26</v>
      </c>
    </row>
    <row r="5" spans="1:14" x14ac:dyDescent="0.35">
      <c r="A5" t="s">
        <v>152</v>
      </c>
      <c r="B5" t="s">
        <v>65</v>
      </c>
      <c r="C5" t="s">
        <v>872</v>
      </c>
      <c r="D5">
        <v>2</v>
      </c>
      <c r="E5" t="s">
        <v>873</v>
      </c>
      <c r="F5" s="29">
        <v>45096</v>
      </c>
      <c r="G5">
        <v>35046</v>
      </c>
      <c r="H5">
        <v>5346</v>
      </c>
      <c r="I5" t="s">
        <v>26</v>
      </c>
      <c r="J5" t="s">
        <v>90</v>
      </c>
      <c r="K5">
        <v>5</v>
      </c>
      <c r="L5" s="29">
        <v>46177</v>
      </c>
      <c r="M5" t="str">
        <f>VLOOKUP(Query2[[#This Row],[company_name]],'Org Mapping'!$B:$I,8,FALSE)</f>
        <v>Jawad Ulla Khan</v>
      </c>
      <c r="N5" t="str">
        <f>TEXT(Query2[[#This Row],[tentative_exit_date]],"mmm'yy")</f>
        <v>Jun'26</v>
      </c>
    </row>
    <row r="6" spans="1:14" x14ac:dyDescent="0.35">
      <c r="A6" t="s">
        <v>103</v>
      </c>
      <c r="B6" t="s">
        <v>65</v>
      </c>
      <c r="C6" t="s">
        <v>874</v>
      </c>
      <c r="D6">
        <v>2</v>
      </c>
      <c r="E6" t="s">
        <v>875</v>
      </c>
      <c r="F6" s="29">
        <v>45103</v>
      </c>
      <c r="G6">
        <v>41290.559999999998</v>
      </c>
      <c r="H6">
        <v>6298.56</v>
      </c>
      <c r="I6" t="s">
        <v>16</v>
      </c>
      <c r="J6" t="s">
        <v>90</v>
      </c>
      <c r="K6">
        <v>5</v>
      </c>
      <c r="L6" s="29">
        <v>46197</v>
      </c>
      <c r="M6" t="str">
        <f>VLOOKUP(Query2[[#This Row],[company_name]],'Org Mapping'!$B:$I,8,FALSE)</f>
        <v>Jawad Ulla Khan</v>
      </c>
      <c r="N6" t="str">
        <f>TEXT(Query2[[#This Row],[tentative_exit_date]],"mmm'yy")</f>
        <v>Jun'26</v>
      </c>
    </row>
    <row r="7" spans="1:14" x14ac:dyDescent="0.35">
      <c r="A7" t="s">
        <v>178</v>
      </c>
      <c r="B7" t="s">
        <v>65</v>
      </c>
      <c r="C7" t="s">
        <v>876</v>
      </c>
      <c r="D7">
        <v>2</v>
      </c>
      <c r="E7" t="s">
        <v>877</v>
      </c>
      <c r="F7" s="29">
        <v>45117</v>
      </c>
      <c r="G7">
        <v>37800</v>
      </c>
      <c r="H7">
        <v>7800</v>
      </c>
      <c r="I7" t="s">
        <v>16</v>
      </c>
      <c r="J7" t="s">
        <v>90</v>
      </c>
      <c r="K7">
        <v>5</v>
      </c>
      <c r="L7" s="29">
        <v>46212</v>
      </c>
      <c r="M7" t="str">
        <f>VLOOKUP(Query2[[#This Row],[company_name]],'Org Mapping'!$B:$I,8,FALSE)</f>
        <v>Jawad Ulla Khan</v>
      </c>
      <c r="N7" t="str">
        <f>TEXT(Query2[[#This Row],[tentative_exit_date]],"mmm'yy")</f>
        <v>Jul'26</v>
      </c>
    </row>
    <row r="8" spans="1:14" x14ac:dyDescent="0.35">
      <c r="A8" t="s">
        <v>75</v>
      </c>
      <c r="B8" t="s">
        <v>65</v>
      </c>
      <c r="C8" t="s">
        <v>878</v>
      </c>
      <c r="D8">
        <v>2</v>
      </c>
      <c r="E8" t="s">
        <v>879</v>
      </c>
      <c r="F8" s="29">
        <v>45125</v>
      </c>
      <c r="G8">
        <v>29734.82</v>
      </c>
      <c r="H8">
        <v>4535.82</v>
      </c>
      <c r="I8" t="s">
        <v>16</v>
      </c>
      <c r="J8" t="s">
        <v>76</v>
      </c>
      <c r="K8">
        <v>5</v>
      </c>
      <c r="L8" s="29">
        <v>46220</v>
      </c>
      <c r="M8" t="str">
        <f>VLOOKUP(Query2[[#This Row],[company_name]],'Org Mapping'!$B:$I,8,FALSE)</f>
        <v>Jawad Ulla Khan</v>
      </c>
      <c r="N8" t="str">
        <f>TEXT(Query2[[#This Row],[tentative_exit_date]],"mmm'yy")</f>
        <v>Jul'26</v>
      </c>
    </row>
    <row r="9" spans="1:14" x14ac:dyDescent="0.35">
      <c r="A9" t="s">
        <v>110</v>
      </c>
      <c r="B9" t="s">
        <v>65</v>
      </c>
      <c r="C9" t="s">
        <v>880</v>
      </c>
      <c r="D9">
        <v>2</v>
      </c>
      <c r="E9" t="s">
        <v>881</v>
      </c>
      <c r="F9" s="29">
        <v>45131</v>
      </c>
      <c r="G9">
        <v>22015.26</v>
      </c>
      <c r="H9">
        <v>7015.26</v>
      </c>
      <c r="I9" t="s">
        <v>16</v>
      </c>
      <c r="J9" t="s">
        <v>76</v>
      </c>
      <c r="K9">
        <v>5</v>
      </c>
      <c r="L9" s="29">
        <v>46226</v>
      </c>
      <c r="M9" t="str">
        <f>VLOOKUP(Query2[[#This Row],[company_name]],'Org Mapping'!$B:$I,8,FALSE)</f>
        <v>Jawad Ulla Khan</v>
      </c>
      <c r="N9" t="str">
        <f>TEXT(Query2[[#This Row],[tentative_exit_date]],"mmm'yy")</f>
        <v>Jul'26</v>
      </c>
    </row>
    <row r="10" spans="1:14" x14ac:dyDescent="0.35">
      <c r="A10" t="s">
        <v>110</v>
      </c>
      <c r="B10" t="s">
        <v>65</v>
      </c>
      <c r="C10" t="s">
        <v>882</v>
      </c>
      <c r="D10">
        <v>2</v>
      </c>
      <c r="E10" t="s">
        <v>883</v>
      </c>
      <c r="F10" s="29">
        <v>45131</v>
      </c>
      <c r="G10">
        <v>41300</v>
      </c>
      <c r="H10">
        <v>6300</v>
      </c>
      <c r="I10" t="s">
        <v>16</v>
      </c>
      <c r="J10" t="s">
        <v>76</v>
      </c>
      <c r="K10">
        <v>5</v>
      </c>
      <c r="L10" s="29">
        <v>46226</v>
      </c>
      <c r="M10" t="str">
        <f>VLOOKUP(Query2[[#This Row],[company_name]],'Org Mapping'!$B:$I,8,FALSE)</f>
        <v>Jawad Ulla Khan</v>
      </c>
      <c r="N10" t="str">
        <f>TEXT(Query2[[#This Row],[tentative_exit_date]],"mmm'yy")</f>
        <v>Jul'26</v>
      </c>
    </row>
    <row r="11" spans="1:14" x14ac:dyDescent="0.35">
      <c r="A11" t="s">
        <v>194</v>
      </c>
      <c r="B11" t="s">
        <v>65</v>
      </c>
      <c r="C11" t="s">
        <v>884</v>
      </c>
      <c r="D11">
        <v>2</v>
      </c>
      <c r="E11" t="s">
        <v>885</v>
      </c>
      <c r="F11" s="29">
        <v>45134</v>
      </c>
      <c r="G11">
        <v>39530</v>
      </c>
      <c r="H11">
        <v>6030</v>
      </c>
      <c r="I11" t="s">
        <v>16</v>
      </c>
      <c r="J11" t="s">
        <v>76</v>
      </c>
      <c r="K11">
        <v>5</v>
      </c>
      <c r="L11" s="29">
        <v>46229</v>
      </c>
      <c r="M11" t="str">
        <f>VLOOKUP(Query2[[#This Row],[company_name]],'Org Mapping'!$B:$I,8,FALSE)</f>
        <v>Jawad Ulla Khan</v>
      </c>
      <c r="N11" t="str">
        <f>TEXT(Query2[[#This Row],[tentative_exit_date]],"mmm'yy")</f>
        <v>Jul'26</v>
      </c>
    </row>
    <row r="12" spans="1:14" x14ac:dyDescent="0.35">
      <c r="A12" t="s">
        <v>206</v>
      </c>
      <c r="B12" t="s">
        <v>65</v>
      </c>
      <c r="C12" t="s">
        <v>886</v>
      </c>
      <c r="D12">
        <v>2</v>
      </c>
      <c r="E12" t="s">
        <v>887</v>
      </c>
      <c r="F12" s="29">
        <v>45139</v>
      </c>
      <c r="G12">
        <v>51840</v>
      </c>
      <c r="H12">
        <v>8640</v>
      </c>
      <c r="I12" t="s">
        <v>37</v>
      </c>
      <c r="J12" t="s">
        <v>90</v>
      </c>
      <c r="K12">
        <v>5</v>
      </c>
      <c r="L12" s="29">
        <v>46203</v>
      </c>
      <c r="M12" t="str">
        <f>VLOOKUP(Query2[[#This Row],[company_name]],'Org Mapping'!$B:$I,8,FALSE)</f>
        <v>Jawad Ulla Khan</v>
      </c>
      <c r="N12" t="str">
        <f>TEXT(Query2[[#This Row],[tentative_exit_date]],"mmm'yy")</f>
        <v>Jun'26</v>
      </c>
    </row>
    <row r="13" spans="1:14" x14ac:dyDescent="0.35">
      <c r="A13" t="s">
        <v>176</v>
      </c>
      <c r="B13" t="s">
        <v>43</v>
      </c>
      <c r="C13" t="s">
        <v>888</v>
      </c>
      <c r="D13">
        <v>2</v>
      </c>
      <c r="E13" t="s">
        <v>889</v>
      </c>
      <c r="F13" s="29">
        <v>45293</v>
      </c>
      <c r="G13">
        <v>66950</v>
      </c>
      <c r="H13">
        <v>16950</v>
      </c>
      <c r="I13" t="s">
        <v>37</v>
      </c>
      <c r="J13" t="s">
        <v>90</v>
      </c>
      <c r="K13">
        <v>5</v>
      </c>
      <c r="L13" s="29">
        <v>46203</v>
      </c>
      <c r="M13" t="str">
        <f>VLOOKUP(Query2[[#This Row],[company_name]],'Org Mapping'!$B:$I,8,FALSE)</f>
        <v>Jawad Ulla Khan</v>
      </c>
      <c r="N13" t="str">
        <f>TEXT(Query2[[#This Row],[tentative_exit_date]],"mmm'yy")</f>
        <v>Jun'26</v>
      </c>
    </row>
    <row r="14" spans="1:14" x14ac:dyDescent="0.35">
      <c r="A14" t="s">
        <v>250</v>
      </c>
      <c r="B14" t="s">
        <v>65</v>
      </c>
      <c r="C14" t="s">
        <v>890</v>
      </c>
      <c r="D14">
        <v>2</v>
      </c>
      <c r="E14" t="s">
        <v>891</v>
      </c>
      <c r="F14" s="29">
        <v>45313</v>
      </c>
      <c r="G14">
        <v>26387.16</v>
      </c>
      <c r="H14">
        <v>4025.16</v>
      </c>
      <c r="I14" t="s">
        <v>26</v>
      </c>
      <c r="J14" t="s">
        <v>76</v>
      </c>
      <c r="K14">
        <v>5</v>
      </c>
      <c r="L14" s="29">
        <v>46219</v>
      </c>
      <c r="M14" t="str">
        <f>VLOOKUP(Query2[[#This Row],[company_name]],'Org Mapping'!$B:$I,8,FALSE)</f>
        <v>Jawad Ulla Khan</v>
      </c>
      <c r="N14" t="str">
        <f>TEXT(Query2[[#This Row],[tentative_exit_date]],"mmm'yy")</f>
        <v>Jul'26</v>
      </c>
    </row>
    <row r="15" spans="1:14" x14ac:dyDescent="0.35">
      <c r="A15" t="s">
        <v>110</v>
      </c>
      <c r="B15" t="s">
        <v>65</v>
      </c>
      <c r="C15" t="s">
        <v>892</v>
      </c>
      <c r="D15">
        <v>2</v>
      </c>
      <c r="E15" t="s">
        <v>893</v>
      </c>
      <c r="F15" s="29">
        <v>45330</v>
      </c>
      <c r="G15">
        <v>143960</v>
      </c>
      <c r="H15">
        <v>21960</v>
      </c>
      <c r="I15" t="s">
        <v>37</v>
      </c>
      <c r="J15" t="s">
        <v>76</v>
      </c>
      <c r="K15">
        <v>5</v>
      </c>
      <c r="L15" s="29">
        <v>46203</v>
      </c>
      <c r="M15" t="str">
        <f>VLOOKUP(Query2[[#This Row],[company_name]],'Org Mapping'!$B:$I,8,FALSE)</f>
        <v>Jawad Ulla Khan</v>
      </c>
      <c r="N15" t="str">
        <f>TEXT(Query2[[#This Row],[tentative_exit_date]],"mmm'yy")</f>
        <v>Jun'26</v>
      </c>
    </row>
    <row r="16" spans="1:14" x14ac:dyDescent="0.35">
      <c r="A16" t="s">
        <v>234</v>
      </c>
      <c r="B16" t="s">
        <v>65</v>
      </c>
      <c r="C16" t="s">
        <v>894</v>
      </c>
      <c r="D16">
        <v>2</v>
      </c>
      <c r="E16" t="s">
        <v>895</v>
      </c>
      <c r="F16" s="29">
        <v>45366</v>
      </c>
      <c r="G16">
        <v>85550</v>
      </c>
      <c r="H16">
        <v>13050</v>
      </c>
      <c r="I16" t="s">
        <v>37</v>
      </c>
      <c r="J16" t="s">
        <v>76</v>
      </c>
      <c r="K16">
        <v>5</v>
      </c>
      <c r="L16" s="29">
        <v>46203</v>
      </c>
      <c r="M16" t="str">
        <f>VLOOKUP(Query2[[#This Row],[company_name]],'Org Mapping'!$B:$I,8,FALSE)</f>
        <v>Jawad Ulla Khan</v>
      </c>
      <c r="N16" t="str">
        <f>TEXT(Query2[[#This Row],[tentative_exit_date]],"mmm'yy")</f>
        <v>Jun'26</v>
      </c>
    </row>
    <row r="17" spans="1:14" x14ac:dyDescent="0.35">
      <c r="A17" t="s">
        <v>123</v>
      </c>
      <c r="B17" t="s">
        <v>43</v>
      </c>
      <c r="C17" t="s">
        <v>896</v>
      </c>
      <c r="D17">
        <v>2</v>
      </c>
      <c r="E17" t="s">
        <v>897</v>
      </c>
      <c r="F17" s="29">
        <v>45379</v>
      </c>
      <c r="G17">
        <v>68250</v>
      </c>
      <c r="H17">
        <v>15750</v>
      </c>
      <c r="I17" t="s">
        <v>16</v>
      </c>
      <c r="J17" t="s">
        <v>90</v>
      </c>
      <c r="K17">
        <v>5</v>
      </c>
      <c r="L17" s="29">
        <v>46203</v>
      </c>
      <c r="M17" t="str">
        <f>VLOOKUP(Query2[[#This Row],[company_name]],'Org Mapping'!$B:$I,8,FALSE)</f>
        <v>Jawad Ulla Khan</v>
      </c>
      <c r="N17" t="str">
        <f>TEXT(Query2[[#This Row],[tentative_exit_date]],"mmm'yy")</f>
        <v>Jun'26</v>
      </c>
    </row>
    <row r="18" spans="1:14" x14ac:dyDescent="0.35">
      <c r="A18" t="s">
        <v>75</v>
      </c>
      <c r="B18" t="s">
        <v>65</v>
      </c>
      <c r="C18" t="s">
        <v>898</v>
      </c>
      <c r="D18">
        <v>2</v>
      </c>
      <c r="E18" t="s">
        <v>899</v>
      </c>
      <c r="F18" s="29">
        <v>45384</v>
      </c>
      <c r="G18">
        <v>68250</v>
      </c>
      <c r="H18">
        <v>18250</v>
      </c>
      <c r="I18" t="s">
        <v>37</v>
      </c>
      <c r="J18" t="s">
        <v>90</v>
      </c>
      <c r="K18">
        <v>5</v>
      </c>
      <c r="L18" s="29">
        <v>46203</v>
      </c>
      <c r="M18" t="str">
        <f>VLOOKUP(Query2[[#This Row],[company_name]],'Org Mapping'!$B:$I,8,FALSE)</f>
        <v>Jawad Ulla Khan</v>
      </c>
      <c r="N18" t="str">
        <f>TEXT(Query2[[#This Row],[tentative_exit_date]],"mmm'yy")</f>
        <v>Jun'26</v>
      </c>
    </row>
    <row r="19" spans="1:14" x14ac:dyDescent="0.35">
      <c r="A19" t="s">
        <v>270</v>
      </c>
      <c r="B19" t="s">
        <v>65</v>
      </c>
      <c r="C19" t="s">
        <v>900</v>
      </c>
      <c r="D19">
        <v>2</v>
      </c>
      <c r="E19" t="s">
        <v>901</v>
      </c>
      <c r="F19" s="29">
        <v>45387</v>
      </c>
      <c r="G19">
        <v>71500</v>
      </c>
      <c r="H19">
        <v>21500</v>
      </c>
      <c r="I19" t="s">
        <v>37</v>
      </c>
      <c r="J19" t="s">
        <v>90</v>
      </c>
      <c r="K19">
        <v>5</v>
      </c>
      <c r="L19" s="29">
        <v>46203</v>
      </c>
      <c r="M19" t="str">
        <f>VLOOKUP(Query2[[#This Row],[company_name]],'Org Mapping'!$B:$I,8,FALSE)</f>
        <v>Jawad Ulla Khan</v>
      </c>
      <c r="N19" t="str">
        <f>TEXT(Query2[[#This Row],[tentative_exit_date]],"mmm'yy")</f>
        <v>Jun'26</v>
      </c>
    </row>
    <row r="20" spans="1:14" x14ac:dyDescent="0.35">
      <c r="A20" t="s">
        <v>309</v>
      </c>
      <c r="B20" t="s">
        <v>43</v>
      </c>
      <c r="C20" t="s">
        <v>902</v>
      </c>
      <c r="D20">
        <v>2</v>
      </c>
      <c r="E20" t="s">
        <v>903</v>
      </c>
      <c r="F20" s="29">
        <v>45391</v>
      </c>
      <c r="G20">
        <v>68250</v>
      </c>
      <c r="H20">
        <v>15750</v>
      </c>
      <c r="I20" t="s">
        <v>37</v>
      </c>
      <c r="J20" t="s">
        <v>90</v>
      </c>
      <c r="K20">
        <v>5</v>
      </c>
      <c r="L20" s="29">
        <v>46203</v>
      </c>
      <c r="M20" t="str">
        <f>VLOOKUP(Query2[[#This Row],[company_name]],'Org Mapping'!$B:$I,8,FALSE)</f>
        <v>Jawad Ulla Khan</v>
      </c>
      <c r="N20" t="str">
        <f>TEXT(Query2[[#This Row],[tentative_exit_date]],"mmm'yy")</f>
        <v>Jun'26</v>
      </c>
    </row>
    <row r="21" spans="1:14" x14ac:dyDescent="0.35">
      <c r="A21" t="s">
        <v>274</v>
      </c>
      <c r="B21" t="s">
        <v>65</v>
      </c>
      <c r="C21" t="s">
        <v>904</v>
      </c>
      <c r="D21">
        <v>2</v>
      </c>
      <c r="E21" t="s">
        <v>905</v>
      </c>
      <c r="F21" s="29">
        <v>45378</v>
      </c>
      <c r="G21">
        <v>65000</v>
      </c>
      <c r="H21">
        <v>15000</v>
      </c>
      <c r="I21" t="s">
        <v>37</v>
      </c>
      <c r="J21" t="s">
        <v>90</v>
      </c>
      <c r="K21">
        <v>5</v>
      </c>
      <c r="L21" s="29">
        <v>46203</v>
      </c>
      <c r="M21" t="str">
        <f>VLOOKUP(Query2[[#This Row],[company_name]],'Org Mapping'!$B:$I,8,FALSE)</f>
        <v>Jawad Ulla Khan</v>
      </c>
      <c r="N21" t="str">
        <f>TEXT(Query2[[#This Row],[tentative_exit_date]],"mmm'yy")</f>
        <v>Jun'26</v>
      </c>
    </row>
    <row r="22" spans="1:14" x14ac:dyDescent="0.35">
      <c r="A22" t="s">
        <v>103</v>
      </c>
      <c r="B22" t="s">
        <v>65</v>
      </c>
      <c r="C22" t="s">
        <v>286</v>
      </c>
      <c r="D22">
        <v>2</v>
      </c>
      <c r="E22" t="s">
        <v>287</v>
      </c>
      <c r="F22" s="29">
        <v>45378</v>
      </c>
      <c r="G22">
        <v>65000</v>
      </c>
      <c r="H22">
        <v>15000</v>
      </c>
      <c r="I22" t="s">
        <v>37</v>
      </c>
      <c r="J22" t="s">
        <v>90</v>
      </c>
      <c r="K22">
        <v>5</v>
      </c>
      <c r="L22" s="29">
        <v>46203</v>
      </c>
      <c r="M22" t="str">
        <f>VLOOKUP(Query2[[#This Row],[company_name]],'Org Mapping'!$B:$I,8,FALSE)</f>
        <v>Jawad Ulla Khan</v>
      </c>
      <c r="N22" t="str">
        <f>TEXT(Query2[[#This Row],[tentative_exit_date]],"mmm'yy")</f>
        <v>Jun'26</v>
      </c>
    </row>
    <row r="23" spans="1:14" x14ac:dyDescent="0.35">
      <c r="A23" t="s">
        <v>360</v>
      </c>
      <c r="B23" t="s">
        <v>65</v>
      </c>
      <c r="C23" t="s">
        <v>908</v>
      </c>
      <c r="D23">
        <v>2</v>
      </c>
      <c r="E23" t="s">
        <v>909</v>
      </c>
      <c r="F23" s="29">
        <v>45462</v>
      </c>
      <c r="G23">
        <v>33040</v>
      </c>
      <c r="H23">
        <v>5040</v>
      </c>
      <c r="I23" t="s">
        <v>26</v>
      </c>
      <c r="J23" t="s">
        <v>76</v>
      </c>
      <c r="K23">
        <v>5</v>
      </c>
      <c r="L23" s="29">
        <v>46192</v>
      </c>
      <c r="M23" t="str">
        <f>VLOOKUP(Query2[[#This Row],[company_name]],'Org Mapping'!$B:$I,8,FALSE)</f>
        <v>Jawad Ulla Khan</v>
      </c>
      <c r="N23" t="str">
        <f>TEXT(Query2[[#This Row],[tentative_exit_date]],"mmm'yy")</f>
        <v>Jun'26</v>
      </c>
    </row>
    <row r="24" spans="1:14" x14ac:dyDescent="0.35">
      <c r="A24" t="s">
        <v>339</v>
      </c>
      <c r="B24" t="s">
        <v>65</v>
      </c>
      <c r="C24" t="s">
        <v>910</v>
      </c>
      <c r="D24">
        <v>2</v>
      </c>
      <c r="E24" t="s">
        <v>911</v>
      </c>
      <c r="F24" s="29">
        <v>45461</v>
      </c>
      <c r="G24">
        <v>25580.04</v>
      </c>
      <c r="H24">
        <v>6218.04</v>
      </c>
      <c r="I24" t="s">
        <v>26</v>
      </c>
      <c r="J24" t="s">
        <v>76</v>
      </c>
      <c r="K24">
        <v>5</v>
      </c>
      <c r="L24" s="29">
        <v>46192</v>
      </c>
      <c r="M24" t="str">
        <f>VLOOKUP(Query2[[#This Row],[company_name]],'Org Mapping'!$B:$I,8,FALSE)</f>
        <v>Jawad Ulla Khan</v>
      </c>
      <c r="N24" t="str">
        <f>TEXT(Query2[[#This Row],[tentative_exit_date]],"mmm'yy")</f>
        <v>Jun'26</v>
      </c>
    </row>
    <row r="25" spans="1:14" x14ac:dyDescent="0.35">
      <c r="A25" t="s">
        <v>912</v>
      </c>
      <c r="B25" t="s">
        <v>65</v>
      </c>
      <c r="C25" t="s">
        <v>913</v>
      </c>
      <c r="D25">
        <v>2</v>
      </c>
      <c r="E25" t="s">
        <v>914</v>
      </c>
      <c r="F25" s="29">
        <v>45462</v>
      </c>
      <c r="G25">
        <v>25580.04</v>
      </c>
      <c r="H25">
        <v>6218.04</v>
      </c>
      <c r="I25" t="s">
        <v>26</v>
      </c>
      <c r="J25" t="s">
        <v>76</v>
      </c>
      <c r="K25">
        <v>5</v>
      </c>
      <c r="L25" s="29">
        <v>46185</v>
      </c>
      <c r="M25" t="str">
        <f>VLOOKUP(Query2[[#This Row],[company_name]],'Org Mapping'!$B:$I,8,FALSE)</f>
        <v>Jawad Ulla Khan</v>
      </c>
      <c r="N25" t="str">
        <f>TEXT(Query2[[#This Row],[tentative_exit_date]],"mmm'yy")</f>
        <v>Jun'26</v>
      </c>
    </row>
    <row r="26" spans="1:14" x14ac:dyDescent="0.35">
      <c r="A26" t="s">
        <v>360</v>
      </c>
      <c r="B26" t="s">
        <v>65</v>
      </c>
      <c r="C26" t="s">
        <v>915</v>
      </c>
      <c r="D26">
        <v>2</v>
      </c>
      <c r="E26" t="s">
        <v>916</v>
      </c>
      <c r="F26" s="29">
        <v>45471</v>
      </c>
      <c r="G26">
        <v>25580.04</v>
      </c>
      <c r="H26">
        <v>3902.04</v>
      </c>
      <c r="I26" t="s">
        <v>26</v>
      </c>
      <c r="J26" t="s">
        <v>76</v>
      </c>
      <c r="K26">
        <v>5</v>
      </c>
      <c r="L26" s="29">
        <v>46219</v>
      </c>
      <c r="M26" t="str">
        <f>VLOOKUP(Query2[[#This Row],[company_name]],'Org Mapping'!$B:$I,8,FALSE)</f>
        <v>Jawad Ulla Khan</v>
      </c>
      <c r="N26" t="str">
        <f>TEXT(Query2[[#This Row],[tentative_exit_date]],"mmm'yy")</f>
        <v>Jul'26</v>
      </c>
    </row>
    <row r="27" spans="1:14" x14ac:dyDescent="0.35">
      <c r="A27" t="s">
        <v>371</v>
      </c>
      <c r="B27" t="s">
        <v>65</v>
      </c>
      <c r="C27" t="s">
        <v>372</v>
      </c>
      <c r="D27">
        <v>2</v>
      </c>
      <c r="E27" t="s">
        <v>373</v>
      </c>
      <c r="F27" s="29">
        <v>45477</v>
      </c>
      <c r="G27">
        <v>25580</v>
      </c>
      <c r="H27">
        <v>3902</v>
      </c>
      <c r="I27" t="s">
        <v>26</v>
      </c>
      <c r="J27" t="s">
        <v>76</v>
      </c>
      <c r="K27">
        <v>5</v>
      </c>
      <c r="L27" s="29">
        <v>46199</v>
      </c>
      <c r="M27" t="str">
        <f>VLOOKUP(Query2[[#This Row],[company_name]],'Org Mapping'!$B:$I,8,FALSE)</f>
        <v>Jawad Ulla Khan</v>
      </c>
      <c r="N27" t="str">
        <f>TEXT(Query2[[#This Row],[tentative_exit_date]],"mmm'yy")</f>
        <v>Jun'26</v>
      </c>
    </row>
    <row r="28" spans="1:14" x14ac:dyDescent="0.35">
      <c r="A28" t="s">
        <v>390</v>
      </c>
      <c r="B28" t="s">
        <v>65</v>
      </c>
      <c r="C28" t="s">
        <v>917</v>
      </c>
      <c r="D28">
        <v>2</v>
      </c>
      <c r="E28" t="s">
        <v>918</v>
      </c>
      <c r="F28" s="29">
        <v>45483</v>
      </c>
      <c r="G28">
        <v>25580.04</v>
      </c>
      <c r="H28">
        <v>3902.04</v>
      </c>
      <c r="I28" t="s">
        <v>26</v>
      </c>
      <c r="J28" t="s">
        <v>76</v>
      </c>
      <c r="K28">
        <v>5</v>
      </c>
      <c r="L28" s="29">
        <v>46199</v>
      </c>
      <c r="M28" t="str">
        <f>VLOOKUP(Query2[[#This Row],[company_name]],'Org Mapping'!$B:$I,8,FALSE)</f>
        <v>Jawad Ulla Khan</v>
      </c>
      <c r="N28" t="str">
        <f>TEXT(Query2[[#This Row],[tentative_exit_date]],"mmm'yy")</f>
        <v>Jun'26</v>
      </c>
    </row>
    <row r="29" spans="1:14" x14ac:dyDescent="0.35">
      <c r="A29" t="s">
        <v>371</v>
      </c>
      <c r="B29" t="s">
        <v>65</v>
      </c>
      <c r="C29" t="s">
        <v>919</v>
      </c>
      <c r="D29">
        <v>2</v>
      </c>
      <c r="E29" t="s">
        <v>920</v>
      </c>
      <c r="F29" s="29">
        <v>45484</v>
      </c>
      <c r="G29">
        <v>25580.04</v>
      </c>
      <c r="H29">
        <v>5508.04</v>
      </c>
      <c r="I29" t="s">
        <v>26</v>
      </c>
      <c r="J29" t="s">
        <v>76</v>
      </c>
      <c r="K29">
        <v>5</v>
      </c>
      <c r="L29" s="29">
        <v>46219</v>
      </c>
      <c r="M29" t="str">
        <f>VLOOKUP(Query2[[#This Row],[company_name]],'Org Mapping'!$B:$I,8,FALSE)</f>
        <v>Jawad Ulla Khan</v>
      </c>
      <c r="N29" t="str">
        <f>TEXT(Query2[[#This Row],[tentative_exit_date]],"mmm'yy")</f>
        <v>Jul'26</v>
      </c>
    </row>
    <row r="30" spans="1:14" x14ac:dyDescent="0.35">
      <c r="A30" t="s">
        <v>359</v>
      </c>
      <c r="B30" t="s">
        <v>65</v>
      </c>
      <c r="C30" t="s">
        <v>921</v>
      </c>
      <c r="D30">
        <v>2</v>
      </c>
      <c r="E30" t="s">
        <v>922</v>
      </c>
      <c r="F30" s="29">
        <v>45495</v>
      </c>
      <c r="G30">
        <v>22847.16</v>
      </c>
      <c r="H30">
        <v>3485.16</v>
      </c>
      <c r="I30" t="s">
        <v>559</v>
      </c>
      <c r="J30" t="s">
        <v>76</v>
      </c>
      <c r="K30">
        <v>3</v>
      </c>
      <c r="L30" s="29">
        <v>45495</v>
      </c>
      <c r="M30" t="str">
        <f>VLOOKUP(Query2[[#This Row],[company_name]],'Org Mapping'!$B:$I,8,FALSE)</f>
        <v>Jawad Ulla Khan</v>
      </c>
      <c r="N30" t="str">
        <f>TEXT(Query2[[#This Row],[tentative_exit_date]],"mmm'yy")</f>
        <v>Jul'24</v>
      </c>
    </row>
    <row r="31" spans="1:14" x14ac:dyDescent="0.35">
      <c r="A31" t="s">
        <v>98</v>
      </c>
      <c r="B31" t="s">
        <v>65</v>
      </c>
      <c r="C31" t="s">
        <v>1259</v>
      </c>
      <c r="D31">
        <v>2</v>
      </c>
      <c r="E31" t="s">
        <v>1260</v>
      </c>
      <c r="F31" s="29">
        <v>45498</v>
      </c>
      <c r="G31">
        <v>24123.919999999998</v>
      </c>
      <c r="H31">
        <v>4761.92</v>
      </c>
      <c r="I31" t="s">
        <v>37</v>
      </c>
      <c r="J31" t="s">
        <v>76</v>
      </c>
      <c r="K31">
        <v>5</v>
      </c>
      <c r="L31" s="29">
        <v>46203</v>
      </c>
      <c r="M31" t="str">
        <f>VLOOKUP(Query2[[#This Row],[company_name]],'Org Mapping'!$B:$I,8,FALSE)</f>
        <v>Jawad Ulla Khan</v>
      </c>
      <c r="N31" t="str">
        <f>TEXT(Query2[[#This Row],[tentative_exit_date]],"mmm'yy")</f>
        <v>Jun'26</v>
      </c>
    </row>
    <row r="32" spans="1:14" x14ac:dyDescent="0.35">
      <c r="A32" t="s">
        <v>98</v>
      </c>
      <c r="B32" t="s">
        <v>65</v>
      </c>
      <c r="C32" t="s">
        <v>923</v>
      </c>
      <c r="D32">
        <v>2</v>
      </c>
      <c r="E32" t="s">
        <v>924</v>
      </c>
      <c r="F32" s="29">
        <v>45510</v>
      </c>
      <c r="G32">
        <v>48000</v>
      </c>
      <c r="H32">
        <v>8000</v>
      </c>
      <c r="I32" t="s">
        <v>26</v>
      </c>
      <c r="J32" t="s">
        <v>90</v>
      </c>
      <c r="K32">
        <v>5</v>
      </c>
      <c r="L32" s="29">
        <v>46177</v>
      </c>
      <c r="M32" t="str">
        <f>VLOOKUP(Query2[[#This Row],[company_name]],'Org Mapping'!$B:$I,8,FALSE)</f>
        <v>Jawad Ulla Khan</v>
      </c>
      <c r="N32" t="str">
        <f>TEXT(Query2[[#This Row],[tentative_exit_date]],"mmm'yy")</f>
        <v>Jun'26</v>
      </c>
    </row>
    <row r="33" spans="1:14" x14ac:dyDescent="0.35">
      <c r="A33" t="s">
        <v>309</v>
      </c>
      <c r="B33" t="s">
        <v>43</v>
      </c>
      <c r="C33" t="s">
        <v>925</v>
      </c>
      <c r="D33">
        <v>6</v>
      </c>
      <c r="E33" t="s">
        <v>926</v>
      </c>
      <c r="F33" s="29">
        <v>45499</v>
      </c>
      <c r="G33">
        <v>35685</v>
      </c>
      <c r="H33">
        <v>5185</v>
      </c>
      <c r="I33" t="s">
        <v>26</v>
      </c>
      <c r="J33" t="s">
        <v>17</v>
      </c>
      <c r="K33">
        <v>5</v>
      </c>
      <c r="L33" s="29">
        <v>46204</v>
      </c>
      <c r="M33" t="str">
        <f>VLOOKUP(Query2[[#This Row],[company_name]],'Org Mapping'!$B:$I,8,FALSE)</f>
        <v>Jawad Ulla Khan</v>
      </c>
      <c r="N33" t="str">
        <f>TEXT(Query2[[#This Row],[tentative_exit_date]],"mmm'yy")</f>
        <v>Jul'26</v>
      </c>
    </row>
    <row r="34" spans="1:14" x14ac:dyDescent="0.35">
      <c r="A34" t="s">
        <v>390</v>
      </c>
      <c r="B34" t="s">
        <v>65</v>
      </c>
      <c r="C34" t="s">
        <v>927</v>
      </c>
      <c r="D34">
        <v>2</v>
      </c>
      <c r="E34" t="s">
        <v>928</v>
      </c>
      <c r="F34" s="29">
        <v>45512</v>
      </c>
      <c r="G34">
        <v>24123.919999999998</v>
      </c>
      <c r="H34">
        <v>4051.92</v>
      </c>
      <c r="I34" t="s">
        <v>91</v>
      </c>
      <c r="J34" t="s">
        <v>76</v>
      </c>
      <c r="K34">
        <v>5</v>
      </c>
      <c r="L34" s="29">
        <v>46198</v>
      </c>
      <c r="M34" t="str">
        <f>VLOOKUP(Query2[[#This Row],[company_name]],'Org Mapping'!$B:$I,8,FALSE)</f>
        <v>Jawad Ulla Khan</v>
      </c>
      <c r="N34" t="str">
        <f>TEXT(Query2[[#This Row],[tentative_exit_date]],"mmm'yy")</f>
        <v>Jun'26</v>
      </c>
    </row>
    <row r="35" spans="1:14" x14ac:dyDescent="0.35">
      <c r="A35" t="s">
        <v>327</v>
      </c>
      <c r="B35" t="s">
        <v>65</v>
      </c>
      <c r="C35" t="s">
        <v>929</v>
      </c>
      <c r="D35">
        <v>2</v>
      </c>
      <c r="E35" t="s">
        <v>930</v>
      </c>
      <c r="F35" s="29">
        <v>45525</v>
      </c>
      <c r="G35">
        <v>25580.04</v>
      </c>
      <c r="H35">
        <v>6218.04</v>
      </c>
      <c r="I35" t="s">
        <v>26</v>
      </c>
      <c r="J35" t="s">
        <v>76</v>
      </c>
      <c r="K35">
        <v>5</v>
      </c>
      <c r="L35" s="29">
        <v>46195</v>
      </c>
      <c r="M35" t="str">
        <f>VLOOKUP(Query2[[#This Row],[company_name]],'Org Mapping'!$B:$I,8,FALSE)</f>
        <v>Jawad Ulla Khan</v>
      </c>
      <c r="N35" t="str">
        <f>TEXT(Query2[[#This Row],[tentative_exit_date]],"mmm'yy")</f>
        <v>Jun'26</v>
      </c>
    </row>
    <row r="36" spans="1:14" x14ac:dyDescent="0.35">
      <c r="A36" t="s">
        <v>376</v>
      </c>
      <c r="B36" t="s">
        <v>65</v>
      </c>
      <c r="C36" t="s">
        <v>933</v>
      </c>
      <c r="D36">
        <v>2</v>
      </c>
      <c r="E36" t="s">
        <v>934</v>
      </c>
      <c r="F36" s="29">
        <v>45538</v>
      </c>
      <c r="G36">
        <v>22015.26</v>
      </c>
      <c r="H36">
        <v>7015.26</v>
      </c>
      <c r="I36" t="s">
        <v>26</v>
      </c>
      <c r="J36" t="s">
        <v>76</v>
      </c>
      <c r="K36">
        <v>5</v>
      </c>
      <c r="L36" s="29">
        <v>46183</v>
      </c>
      <c r="M36" t="str">
        <f>VLOOKUP(Query2[[#This Row],[company_name]],'Org Mapping'!$B:$I,8,FALSE)</f>
        <v>Jawad Ulla Khan</v>
      </c>
      <c r="N36" t="str">
        <f>TEXT(Query2[[#This Row],[tentative_exit_date]],"mmm'yy")</f>
        <v>Jun'26</v>
      </c>
    </row>
    <row r="37" spans="1:14" x14ac:dyDescent="0.35">
      <c r="A37" t="s">
        <v>98</v>
      </c>
      <c r="B37" t="s">
        <v>65</v>
      </c>
      <c r="C37" t="s">
        <v>935</v>
      </c>
      <c r="D37">
        <v>2</v>
      </c>
      <c r="E37" t="s">
        <v>936</v>
      </c>
      <c r="F37" s="29">
        <v>45544</v>
      </c>
      <c r="G37">
        <v>66000</v>
      </c>
      <c r="H37">
        <v>11000</v>
      </c>
      <c r="I37" t="s">
        <v>37</v>
      </c>
      <c r="J37" t="s">
        <v>90</v>
      </c>
      <c r="K37">
        <v>5</v>
      </c>
      <c r="L37" s="29">
        <v>46203</v>
      </c>
      <c r="M37" t="str">
        <f>VLOOKUP(Query2[[#This Row],[company_name]],'Org Mapping'!$B:$I,8,FALSE)</f>
        <v>Jawad Ulla Khan</v>
      </c>
      <c r="N37" t="str">
        <f>TEXT(Query2[[#This Row],[tentative_exit_date]],"mmm'yy")</f>
        <v>Jun'26</v>
      </c>
    </row>
    <row r="38" spans="1:14" x14ac:dyDescent="0.35">
      <c r="A38" t="s">
        <v>274</v>
      </c>
      <c r="B38" t="s">
        <v>65</v>
      </c>
      <c r="C38" t="s">
        <v>937</v>
      </c>
      <c r="D38">
        <v>2</v>
      </c>
      <c r="E38" t="s">
        <v>938</v>
      </c>
      <c r="F38" s="29">
        <v>45547</v>
      </c>
      <c r="G38">
        <v>29500</v>
      </c>
      <c r="H38">
        <v>4500</v>
      </c>
      <c r="I38" t="s">
        <v>26</v>
      </c>
      <c r="J38" t="s">
        <v>90</v>
      </c>
      <c r="K38">
        <v>5</v>
      </c>
      <c r="L38" s="29">
        <v>46184</v>
      </c>
      <c r="M38" t="str">
        <f>VLOOKUP(Query2[[#This Row],[company_name]],'Org Mapping'!$B:$I,8,FALSE)</f>
        <v>Jawad Ulla Khan</v>
      </c>
      <c r="N38" t="str">
        <f>TEXT(Query2[[#This Row],[tentative_exit_date]],"mmm'yy")</f>
        <v>Jun'26</v>
      </c>
    </row>
    <row r="39" spans="1:14" x14ac:dyDescent="0.35">
      <c r="A39" t="s">
        <v>151</v>
      </c>
      <c r="B39" t="s">
        <v>65</v>
      </c>
      <c r="C39" t="s">
        <v>939</v>
      </c>
      <c r="D39">
        <v>2</v>
      </c>
      <c r="E39" t="s">
        <v>940</v>
      </c>
      <c r="F39" s="29">
        <v>45554</v>
      </c>
      <c r="G39">
        <v>24123.919999999998</v>
      </c>
      <c r="H39">
        <v>4761.92</v>
      </c>
      <c r="I39" t="s">
        <v>26</v>
      </c>
      <c r="J39" t="s">
        <v>76</v>
      </c>
      <c r="K39">
        <v>5</v>
      </c>
      <c r="L39" s="29">
        <v>46183</v>
      </c>
      <c r="M39" t="str">
        <f>VLOOKUP(Query2[[#This Row],[company_name]],'Org Mapping'!$B:$I,8,FALSE)</f>
        <v>Jawad Ulla Khan</v>
      </c>
      <c r="N39" t="str">
        <f>TEXT(Query2[[#This Row],[tentative_exit_date]],"mmm'yy")</f>
        <v>Jun'26</v>
      </c>
    </row>
    <row r="40" spans="1:14" x14ac:dyDescent="0.35">
      <c r="A40" t="s">
        <v>376</v>
      </c>
      <c r="B40" t="s">
        <v>65</v>
      </c>
      <c r="C40" t="s">
        <v>941</v>
      </c>
      <c r="D40">
        <v>2</v>
      </c>
      <c r="E40" t="s">
        <v>942</v>
      </c>
      <c r="F40" s="29">
        <v>45560</v>
      </c>
      <c r="G40">
        <v>25580.04</v>
      </c>
      <c r="H40">
        <v>5508.04</v>
      </c>
      <c r="I40" t="s">
        <v>26</v>
      </c>
      <c r="J40" t="s">
        <v>76</v>
      </c>
      <c r="K40">
        <v>5</v>
      </c>
      <c r="L40" s="29">
        <v>46184</v>
      </c>
      <c r="M40" t="str">
        <f>VLOOKUP(Query2[[#This Row],[company_name]],'Org Mapping'!$B:$I,8,FALSE)</f>
        <v>Jawad Ulla Khan</v>
      </c>
      <c r="N40" t="str">
        <f>TEXT(Query2[[#This Row],[tentative_exit_date]],"mmm'yy")</f>
        <v>Jun'26</v>
      </c>
    </row>
    <row r="41" spans="1:14" x14ac:dyDescent="0.35">
      <c r="A41" t="s">
        <v>371</v>
      </c>
      <c r="B41" t="s">
        <v>65</v>
      </c>
      <c r="C41" t="s">
        <v>1261</v>
      </c>
      <c r="D41">
        <v>2</v>
      </c>
      <c r="E41" t="s">
        <v>1262</v>
      </c>
      <c r="F41" s="29">
        <v>45560</v>
      </c>
      <c r="G41">
        <v>22015.26</v>
      </c>
      <c r="H41">
        <v>7015.26</v>
      </c>
      <c r="I41" t="s">
        <v>37</v>
      </c>
      <c r="J41" t="s">
        <v>76</v>
      </c>
      <c r="K41">
        <v>5</v>
      </c>
      <c r="L41" s="29">
        <v>46203</v>
      </c>
      <c r="M41" t="str">
        <f>VLOOKUP(Query2[[#This Row],[company_name]],'Org Mapping'!$B:$I,8,FALSE)</f>
        <v>Jawad Ulla Khan</v>
      </c>
      <c r="N41" t="str">
        <f>TEXT(Query2[[#This Row],[tentative_exit_date]],"mmm'yy")</f>
        <v>Jun'26</v>
      </c>
    </row>
    <row r="42" spans="1:14" x14ac:dyDescent="0.35">
      <c r="A42" t="s">
        <v>358</v>
      </c>
      <c r="B42" t="s">
        <v>65</v>
      </c>
      <c r="C42" t="s">
        <v>943</v>
      </c>
      <c r="D42">
        <v>2</v>
      </c>
      <c r="E42" t="s">
        <v>944</v>
      </c>
      <c r="F42" s="29">
        <v>45608</v>
      </c>
      <c r="G42">
        <v>22847</v>
      </c>
      <c r="H42">
        <v>3485</v>
      </c>
      <c r="I42" t="s">
        <v>37</v>
      </c>
      <c r="J42" t="s">
        <v>76</v>
      </c>
      <c r="K42">
        <v>3</v>
      </c>
      <c r="L42" s="29">
        <v>45621</v>
      </c>
      <c r="M42" t="str">
        <f>VLOOKUP(Query2[[#This Row],[company_name]],'Org Mapping'!$B:$I,8,FALSE)</f>
        <v>Jawad Ulla Khan</v>
      </c>
      <c r="N42" t="str">
        <f>TEXT(Query2[[#This Row],[tentative_exit_date]],"mmm'yy")</f>
        <v>Nov'24</v>
      </c>
    </row>
    <row r="43" spans="1:14" x14ac:dyDescent="0.35">
      <c r="A43" t="s">
        <v>151</v>
      </c>
      <c r="B43" t="s">
        <v>65</v>
      </c>
      <c r="C43" t="s">
        <v>945</v>
      </c>
      <c r="D43">
        <v>2</v>
      </c>
      <c r="E43" t="s">
        <v>946</v>
      </c>
      <c r="F43" s="29">
        <v>45614</v>
      </c>
      <c r="G43">
        <v>52800</v>
      </c>
      <c r="H43">
        <v>12800</v>
      </c>
      <c r="I43" t="s">
        <v>37</v>
      </c>
      <c r="J43" t="s">
        <v>76</v>
      </c>
      <c r="K43">
        <v>5</v>
      </c>
      <c r="L43" s="29">
        <v>46203</v>
      </c>
      <c r="M43" t="str">
        <f>VLOOKUP(Query2[[#This Row],[company_name]],'Org Mapping'!$B:$I,8,FALSE)</f>
        <v>Jawad Ulla Khan</v>
      </c>
      <c r="N43" t="str">
        <f>TEXT(Query2[[#This Row],[tentative_exit_date]],"mmm'yy")</f>
        <v>Jun'26</v>
      </c>
    </row>
    <row r="44" spans="1:14" x14ac:dyDescent="0.35">
      <c r="A44" t="s">
        <v>279</v>
      </c>
      <c r="B44" t="s">
        <v>43</v>
      </c>
      <c r="C44" t="s">
        <v>1271</v>
      </c>
      <c r="D44">
        <v>1</v>
      </c>
      <c r="E44" t="s">
        <v>1272</v>
      </c>
      <c r="F44" s="29">
        <v>45608</v>
      </c>
      <c r="G44">
        <v>66000</v>
      </c>
      <c r="H44">
        <v>11000</v>
      </c>
      <c r="I44" t="s">
        <v>16</v>
      </c>
      <c r="J44" t="s">
        <v>90</v>
      </c>
      <c r="K44">
        <v>5</v>
      </c>
      <c r="L44" s="29">
        <v>46203</v>
      </c>
      <c r="M44" t="str">
        <f>VLOOKUP(Query2[[#This Row],[company_name]],'Org Mapping'!$B:$I,8,FALSE)</f>
        <v>Jawad Ulla Khan</v>
      </c>
      <c r="N44" t="str">
        <f>TEXT(Query2[[#This Row],[tentative_exit_date]],"mmm'yy")</f>
        <v>Jun'26</v>
      </c>
    </row>
    <row r="45" spans="1:14" x14ac:dyDescent="0.35">
      <c r="A45" t="s">
        <v>330</v>
      </c>
      <c r="B45" t="s">
        <v>65</v>
      </c>
      <c r="C45" t="s">
        <v>1263</v>
      </c>
      <c r="D45">
        <v>2</v>
      </c>
      <c r="E45" t="s">
        <v>1264</v>
      </c>
      <c r="F45" s="29">
        <v>45684</v>
      </c>
      <c r="G45">
        <v>32450</v>
      </c>
      <c r="H45">
        <v>7450</v>
      </c>
      <c r="I45" t="s">
        <v>37</v>
      </c>
      <c r="J45" t="s">
        <v>76</v>
      </c>
      <c r="K45">
        <v>5</v>
      </c>
      <c r="L45" s="29">
        <v>46203</v>
      </c>
      <c r="M45" t="str">
        <f>VLOOKUP(Query2[[#This Row],[company_name]],'Org Mapping'!$B:$I,8,FALSE)</f>
        <v>Jawad Ulla Khan</v>
      </c>
      <c r="N45" t="str">
        <f>TEXT(Query2[[#This Row],[tentative_exit_date]],"mmm'yy")</f>
        <v>Jun'26</v>
      </c>
    </row>
    <row r="46" spans="1:14" x14ac:dyDescent="0.35">
      <c r="A46" t="s">
        <v>360</v>
      </c>
      <c r="B46" t="s">
        <v>65</v>
      </c>
      <c r="C46" t="s">
        <v>947</v>
      </c>
      <c r="D46">
        <v>2</v>
      </c>
      <c r="E46" t="s">
        <v>948</v>
      </c>
      <c r="F46" s="29">
        <v>45673</v>
      </c>
      <c r="G46">
        <v>22015.26</v>
      </c>
      <c r="H46">
        <v>3515.26</v>
      </c>
      <c r="I46" t="s">
        <v>37</v>
      </c>
      <c r="J46" t="s">
        <v>76</v>
      </c>
      <c r="K46">
        <v>5</v>
      </c>
      <c r="L46" s="29">
        <v>46203</v>
      </c>
      <c r="M46" t="str">
        <f>VLOOKUP(Query2[[#This Row],[company_name]],'Org Mapping'!$B:$I,8,FALSE)</f>
        <v>Jawad Ulla Khan</v>
      </c>
      <c r="N46" t="str">
        <f>TEXT(Query2[[#This Row],[tentative_exit_date]],"mmm'yy")</f>
        <v>Jun'26</v>
      </c>
    </row>
    <row r="47" spans="1:14" x14ac:dyDescent="0.35">
      <c r="A47" t="s">
        <v>390</v>
      </c>
      <c r="B47" t="s">
        <v>65</v>
      </c>
      <c r="C47" t="s">
        <v>949</v>
      </c>
      <c r="D47">
        <v>2</v>
      </c>
      <c r="E47" t="s">
        <v>950</v>
      </c>
      <c r="F47" s="29">
        <v>45673</v>
      </c>
      <c r="G47">
        <v>22015.26</v>
      </c>
      <c r="H47">
        <v>3515.26</v>
      </c>
      <c r="I47" t="s">
        <v>37</v>
      </c>
      <c r="J47" t="s">
        <v>76</v>
      </c>
      <c r="K47">
        <v>5</v>
      </c>
      <c r="L47" s="29">
        <v>46184</v>
      </c>
      <c r="M47" t="str">
        <f>VLOOKUP(Query2[[#This Row],[company_name]],'Org Mapping'!$B:$I,8,FALSE)</f>
        <v>Jawad Ulla Khan</v>
      </c>
      <c r="N47" t="str">
        <f>TEXT(Query2[[#This Row],[tentative_exit_date]],"mmm'yy")</f>
        <v>Jun'26</v>
      </c>
    </row>
    <row r="48" spans="1:14" x14ac:dyDescent="0.35">
      <c r="A48" t="s">
        <v>376</v>
      </c>
      <c r="B48" t="s">
        <v>65</v>
      </c>
      <c r="C48" t="s">
        <v>951</v>
      </c>
      <c r="D48">
        <v>2</v>
      </c>
      <c r="E48" t="s">
        <v>952</v>
      </c>
      <c r="F48" s="29">
        <v>45686</v>
      </c>
      <c r="G48">
        <v>22015.26</v>
      </c>
      <c r="H48">
        <v>3515.26</v>
      </c>
      <c r="I48" t="s">
        <v>37</v>
      </c>
      <c r="J48" t="s">
        <v>76</v>
      </c>
      <c r="K48">
        <v>5</v>
      </c>
      <c r="L48" s="29">
        <v>46203</v>
      </c>
      <c r="M48" t="str">
        <f>VLOOKUP(Query2[[#This Row],[company_name]],'Org Mapping'!$B:$I,8,FALSE)</f>
        <v>Jawad Ulla Khan</v>
      </c>
      <c r="N48" t="str">
        <f>TEXT(Query2[[#This Row],[tentative_exit_date]],"mmm'yy")</f>
        <v>Jun'26</v>
      </c>
    </row>
    <row r="49" spans="1:14" x14ac:dyDescent="0.35">
      <c r="A49" t="s">
        <v>360</v>
      </c>
      <c r="B49" t="s">
        <v>65</v>
      </c>
      <c r="C49" t="s">
        <v>953</v>
      </c>
      <c r="D49">
        <v>2</v>
      </c>
      <c r="E49" t="s">
        <v>954</v>
      </c>
      <c r="F49" s="29">
        <v>45686</v>
      </c>
      <c r="G49">
        <v>28320</v>
      </c>
      <c r="H49">
        <v>4320</v>
      </c>
      <c r="I49" t="s">
        <v>26</v>
      </c>
      <c r="J49" t="s">
        <v>76</v>
      </c>
      <c r="K49">
        <v>5</v>
      </c>
      <c r="L49" s="29">
        <v>46178</v>
      </c>
      <c r="M49" t="str">
        <f>VLOOKUP(Query2[[#This Row],[company_name]],'Org Mapping'!$B:$I,8,FALSE)</f>
        <v>Jawad Ulla Khan</v>
      </c>
      <c r="N49" t="str">
        <f>TEXT(Query2[[#This Row],[tentative_exit_date]],"mmm'yy")</f>
        <v>Jun'26</v>
      </c>
    </row>
    <row r="50" spans="1:14" x14ac:dyDescent="0.35">
      <c r="A50" t="s">
        <v>376</v>
      </c>
      <c r="B50" t="s">
        <v>65</v>
      </c>
      <c r="C50" t="s">
        <v>955</v>
      </c>
      <c r="D50">
        <v>2</v>
      </c>
      <c r="E50" t="s">
        <v>956</v>
      </c>
      <c r="F50" s="29">
        <v>45688</v>
      </c>
      <c r="G50">
        <v>22015.26</v>
      </c>
      <c r="H50">
        <v>3515.26</v>
      </c>
      <c r="I50" t="s">
        <v>37</v>
      </c>
      <c r="J50" t="s">
        <v>76</v>
      </c>
      <c r="K50">
        <v>5</v>
      </c>
      <c r="L50" s="29">
        <v>46203</v>
      </c>
      <c r="M50" t="str">
        <f>VLOOKUP(Query2[[#This Row],[company_name]],'Org Mapping'!$B:$I,8,FALSE)</f>
        <v>Jawad Ulla Khan</v>
      </c>
      <c r="N50" t="str">
        <f>TEXT(Query2[[#This Row],[tentative_exit_date]],"mmm'yy")</f>
        <v>Jun'26</v>
      </c>
    </row>
    <row r="51" spans="1:14" x14ac:dyDescent="0.35">
      <c r="A51" t="s">
        <v>151</v>
      </c>
      <c r="B51" t="s">
        <v>65</v>
      </c>
      <c r="C51" t="s">
        <v>957</v>
      </c>
      <c r="D51">
        <v>2</v>
      </c>
      <c r="E51" t="s">
        <v>958</v>
      </c>
      <c r="F51" s="29">
        <v>45693</v>
      </c>
      <c r="G51">
        <v>29500</v>
      </c>
      <c r="H51">
        <v>4500</v>
      </c>
      <c r="I51" t="s">
        <v>37</v>
      </c>
      <c r="J51" t="s">
        <v>76</v>
      </c>
      <c r="K51">
        <v>5</v>
      </c>
      <c r="L51" s="29">
        <v>46203</v>
      </c>
      <c r="M51" t="str">
        <f>VLOOKUP(Query2[[#This Row],[company_name]],'Org Mapping'!$B:$I,8,FALSE)</f>
        <v>Jawad Ulla Khan</v>
      </c>
      <c r="N51" t="str">
        <f>TEXT(Query2[[#This Row],[tentative_exit_date]],"mmm'yy")</f>
        <v>Jun'26</v>
      </c>
    </row>
    <row r="52" spans="1:14" x14ac:dyDescent="0.35">
      <c r="A52" t="s">
        <v>401</v>
      </c>
      <c r="B52" t="s">
        <v>65</v>
      </c>
      <c r="C52" t="s">
        <v>959</v>
      </c>
      <c r="D52">
        <v>2</v>
      </c>
      <c r="E52" t="s">
        <v>960</v>
      </c>
      <c r="F52" s="29">
        <v>45701</v>
      </c>
      <c r="G52">
        <v>23600</v>
      </c>
      <c r="H52">
        <v>3600</v>
      </c>
      <c r="I52" t="s">
        <v>26</v>
      </c>
      <c r="J52" t="s">
        <v>76</v>
      </c>
      <c r="K52">
        <v>5</v>
      </c>
      <c r="L52" s="29">
        <v>46202</v>
      </c>
      <c r="M52" t="str">
        <f>VLOOKUP(Query2[[#This Row],[company_name]],'Org Mapping'!$B:$I,8,FALSE)</f>
        <v>Jawad Ulla Khan</v>
      </c>
      <c r="N52" t="str">
        <f>TEXT(Query2[[#This Row],[tentative_exit_date]],"mmm'yy")</f>
        <v>Jun'26</v>
      </c>
    </row>
    <row r="53" spans="1:14" x14ac:dyDescent="0.35">
      <c r="A53" t="s">
        <v>123</v>
      </c>
      <c r="B53" t="s">
        <v>43</v>
      </c>
      <c r="C53" t="s">
        <v>961</v>
      </c>
      <c r="D53">
        <v>6</v>
      </c>
      <c r="E53" t="s">
        <v>962</v>
      </c>
      <c r="F53" s="29">
        <v>45715</v>
      </c>
      <c r="G53">
        <v>55769.22</v>
      </c>
      <c r="H53">
        <v>8103.22</v>
      </c>
      <c r="I53" t="s">
        <v>26</v>
      </c>
      <c r="J53" t="s">
        <v>17</v>
      </c>
      <c r="K53">
        <v>5</v>
      </c>
      <c r="L53" s="29">
        <v>46192</v>
      </c>
      <c r="M53" t="str">
        <f>VLOOKUP(Query2[[#This Row],[company_name]],'Org Mapping'!$B:$I,8,FALSE)</f>
        <v>Jawad Ulla Khan</v>
      </c>
      <c r="N53" t="str">
        <f>TEXT(Query2[[#This Row],[tentative_exit_date]],"mmm'yy")</f>
        <v>Jun'26</v>
      </c>
    </row>
    <row r="54" spans="1:14" x14ac:dyDescent="0.35">
      <c r="A54" t="s">
        <v>430</v>
      </c>
      <c r="B54" t="s">
        <v>65</v>
      </c>
      <c r="C54" t="s">
        <v>963</v>
      </c>
      <c r="D54">
        <v>2</v>
      </c>
      <c r="E54" t="s">
        <v>964</v>
      </c>
      <c r="F54" s="29">
        <v>45713</v>
      </c>
      <c r="G54">
        <v>44604</v>
      </c>
      <c r="H54">
        <v>9604</v>
      </c>
      <c r="I54" t="s">
        <v>37</v>
      </c>
      <c r="J54" t="s">
        <v>90</v>
      </c>
      <c r="K54">
        <v>5</v>
      </c>
      <c r="L54" s="29">
        <v>46192</v>
      </c>
      <c r="M54" t="str">
        <f>VLOOKUP(Query2[[#This Row],[company_name]],'Org Mapping'!$B:$I,8,FALSE)</f>
        <v>Jawad Ulla Khan</v>
      </c>
      <c r="N54" t="str">
        <f>TEXT(Query2[[#This Row],[tentative_exit_date]],"mmm'yy")</f>
        <v>Jun'26</v>
      </c>
    </row>
    <row r="55" spans="1:14" x14ac:dyDescent="0.35">
      <c r="A55" t="s">
        <v>481</v>
      </c>
      <c r="B55" t="s">
        <v>65</v>
      </c>
      <c r="C55" t="s">
        <v>965</v>
      </c>
      <c r="D55">
        <v>2</v>
      </c>
      <c r="E55" t="s">
        <v>966</v>
      </c>
      <c r="F55" s="29">
        <v>45719</v>
      </c>
      <c r="G55">
        <v>29500</v>
      </c>
      <c r="H55">
        <v>4500</v>
      </c>
      <c r="I55" t="s">
        <v>26</v>
      </c>
      <c r="J55" t="s">
        <v>76</v>
      </c>
      <c r="K55">
        <v>5</v>
      </c>
      <c r="L55" s="29">
        <v>46195</v>
      </c>
      <c r="M55" t="str">
        <f>VLOOKUP(Query2[[#This Row],[company_name]],'Org Mapping'!$B:$I,8,FALSE)</f>
        <v>Jawad Ulla Khan</v>
      </c>
      <c r="N55" t="str">
        <f>TEXT(Query2[[#This Row],[tentative_exit_date]],"mmm'yy")</f>
        <v>Jun'26</v>
      </c>
    </row>
    <row r="56" spans="1:14" x14ac:dyDescent="0.35">
      <c r="A56" t="s">
        <v>75</v>
      </c>
      <c r="B56" t="s">
        <v>65</v>
      </c>
      <c r="C56" t="s">
        <v>967</v>
      </c>
      <c r="D56">
        <v>2</v>
      </c>
      <c r="E56" t="s">
        <v>968</v>
      </c>
      <c r="F56" s="29">
        <v>45723</v>
      </c>
      <c r="G56">
        <v>27857.439999999999</v>
      </c>
      <c r="H56">
        <v>5957.44</v>
      </c>
      <c r="I56" t="s">
        <v>91</v>
      </c>
      <c r="J56" t="s">
        <v>76</v>
      </c>
      <c r="K56">
        <v>5</v>
      </c>
      <c r="L56" s="29">
        <v>46182</v>
      </c>
      <c r="M56" t="str">
        <f>VLOOKUP(Query2[[#This Row],[company_name]],'Org Mapping'!$B:$I,8,FALSE)</f>
        <v>Jawad Ulla Khan</v>
      </c>
      <c r="N56" t="str">
        <f>TEXT(Query2[[#This Row],[tentative_exit_date]],"mmm'yy")</f>
        <v>Jun'26</v>
      </c>
    </row>
    <row r="57" spans="1:14" x14ac:dyDescent="0.35">
      <c r="A57" t="s">
        <v>123</v>
      </c>
      <c r="B57" t="s">
        <v>43</v>
      </c>
      <c r="C57" t="s">
        <v>969</v>
      </c>
      <c r="D57">
        <v>6</v>
      </c>
      <c r="E57" t="s">
        <v>970</v>
      </c>
      <c r="F57" s="29">
        <v>45748</v>
      </c>
      <c r="G57">
        <v>35685</v>
      </c>
      <c r="H57">
        <v>5185</v>
      </c>
      <c r="I57" t="s">
        <v>26</v>
      </c>
      <c r="J57" t="s">
        <v>17</v>
      </c>
      <c r="K57">
        <v>5</v>
      </c>
      <c r="L57" s="29">
        <v>46177</v>
      </c>
      <c r="M57" t="str">
        <f>VLOOKUP(Query2[[#This Row],[company_name]],'Org Mapping'!$B:$I,8,FALSE)</f>
        <v>Jawad Ulla Khan</v>
      </c>
      <c r="N57" t="str">
        <f>TEXT(Query2[[#This Row],[tentative_exit_date]],"mmm'yy")</f>
        <v>Jun'26</v>
      </c>
    </row>
    <row r="58" spans="1:14" x14ac:dyDescent="0.35">
      <c r="A58" t="s">
        <v>390</v>
      </c>
      <c r="B58" t="s">
        <v>65</v>
      </c>
      <c r="C58" t="s">
        <v>1265</v>
      </c>
      <c r="D58">
        <v>2</v>
      </c>
      <c r="E58" t="s">
        <v>1266</v>
      </c>
      <c r="F58" s="29">
        <v>45817</v>
      </c>
      <c r="G58">
        <v>24123.919999999998</v>
      </c>
      <c r="H58">
        <v>4023.92</v>
      </c>
      <c r="I58" t="s">
        <v>37</v>
      </c>
      <c r="J58" t="s">
        <v>76</v>
      </c>
      <c r="K58">
        <v>5</v>
      </c>
      <c r="L58" s="29">
        <v>46180</v>
      </c>
      <c r="M58" t="str">
        <f>VLOOKUP(Query2[[#This Row],[company_name]],'Org Mapping'!$B:$I,8,FALSE)</f>
        <v>Jawad Ulla Khan</v>
      </c>
      <c r="N58" t="str">
        <f>TEXT(Query2[[#This Row],[tentative_exit_date]],"mmm'yy")</f>
        <v>Jun'26</v>
      </c>
    </row>
    <row r="59" spans="1:14" x14ac:dyDescent="0.35">
      <c r="A59" t="s">
        <v>556</v>
      </c>
      <c r="B59" t="s">
        <v>43</v>
      </c>
      <c r="C59" t="s">
        <v>971</v>
      </c>
      <c r="D59">
        <v>6</v>
      </c>
      <c r="E59" t="s">
        <v>972</v>
      </c>
      <c r="F59" s="29">
        <v>45820</v>
      </c>
      <c r="G59">
        <v>32175</v>
      </c>
      <c r="H59">
        <v>4675</v>
      </c>
      <c r="I59" t="s">
        <v>21</v>
      </c>
      <c r="J59" t="s">
        <v>17</v>
      </c>
      <c r="K59">
        <v>5</v>
      </c>
      <c r="L59" s="29">
        <v>46183</v>
      </c>
      <c r="M59" t="str">
        <f>VLOOKUP(Query2[[#This Row],[company_name]],'Org Mapping'!$B:$I,8,FALSE)</f>
        <v>Jawad Ulla Khan</v>
      </c>
      <c r="N59" t="str">
        <f>TEXT(Query2[[#This Row],[tentative_exit_date]],"mmm'yy")</f>
        <v>Jun'26</v>
      </c>
    </row>
    <row r="60" spans="1:14" x14ac:dyDescent="0.35">
      <c r="A60" t="s">
        <v>390</v>
      </c>
      <c r="B60" t="s">
        <v>65</v>
      </c>
      <c r="C60" t="s">
        <v>973</v>
      </c>
      <c r="D60">
        <v>2</v>
      </c>
      <c r="E60" t="s">
        <v>974</v>
      </c>
      <c r="F60" s="29">
        <v>45821</v>
      </c>
      <c r="G60">
        <v>24123.919999999998</v>
      </c>
      <c r="H60">
        <v>4023.92</v>
      </c>
      <c r="I60" t="s">
        <v>37</v>
      </c>
      <c r="J60" t="s">
        <v>76</v>
      </c>
      <c r="K60">
        <v>5</v>
      </c>
      <c r="L60" s="29">
        <v>46185</v>
      </c>
      <c r="M60" t="str">
        <f>VLOOKUP(Query2[[#This Row],[company_name]],'Org Mapping'!$B:$I,8,FALSE)</f>
        <v>Jawad Ulla Khan</v>
      </c>
      <c r="N60" t="str">
        <f>TEXT(Query2[[#This Row],[tentative_exit_date]],"mmm'yy")</f>
        <v>Jun'26</v>
      </c>
    </row>
    <row r="61" spans="1:14" x14ac:dyDescent="0.35">
      <c r="A61" t="s">
        <v>151</v>
      </c>
      <c r="B61" t="s">
        <v>65</v>
      </c>
      <c r="C61" t="s">
        <v>977</v>
      </c>
      <c r="D61">
        <v>2</v>
      </c>
      <c r="E61" t="s">
        <v>978</v>
      </c>
      <c r="F61" s="29">
        <v>45834</v>
      </c>
      <c r="G61">
        <v>24123.919999999998</v>
      </c>
      <c r="H61">
        <v>4023.92</v>
      </c>
      <c r="I61" t="s">
        <v>26</v>
      </c>
      <c r="J61" t="s">
        <v>76</v>
      </c>
      <c r="K61">
        <v>5</v>
      </c>
      <c r="L61" s="29">
        <v>46195</v>
      </c>
      <c r="M61" t="str">
        <f>VLOOKUP(Query2[[#This Row],[company_name]],'Org Mapping'!$B:$I,8,FALSE)</f>
        <v>Jawad Ulla Khan</v>
      </c>
      <c r="N61" t="str">
        <f>TEXT(Query2[[#This Row],[tentative_exit_date]],"mmm'yy")</f>
        <v>Jun'26</v>
      </c>
    </row>
    <row r="62" spans="1:14" x14ac:dyDescent="0.35">
      <c r="A62" t="s">
        <v>429</v>
      </c>
      <c r="B62" t="s">
        <v>65</v>
      </c>
      <c r="C62" t="s">
        <v>1267</v>
      </c>
      <c r="D62">
        <v>2</v>
      </c>
      <c r="E62" t="s">
        <v>1268</v>
      </c>
      <c r="F62" s="29">
        <v>45846</v>
      </c>
      <c r="G62">
        <v>24123.919999999998</v>
      </c>
      <c r="H62">
        <v>4023.92</v>
      </c>
      <c r="I62" t="s">
        <v>37</v>
      </c>
      <c r="J62" t="s">
        <v>76</v>
      </c>
      <c r="K62">
        <v>5</v>
      </c>
      <c r="L62" s="29">
        <v>46189</v>
      </c>
      <c r="M62" t="str">
        <f>VLOOKUP(Query2[[#This Row],[company_name]],'Org Mapping'!$B:$I,8,FALSE)</f>
        <v>Jawad Ulla Khan</v>
      </c>
      <c r="N62" t="str">
        <f>TEXT(Query2[[#This Row],[tentative_exit_date]],"mmm'yy")</f>
        <v>Jun'26</v>
      </c>
    </row>
    <row r="63" spans="1:14" x14ac:dyDescent="0.35">
      <c r="A63" t="s">
        <v>555</v>
      </c>
      <c r="B63" t="s">
        <v>65</v>
      </c>
      <c r="C63" t="s">
        <v>1269</v>
      </c>
      <c r="D63">
        <v>2</v>
      </c>
      <c r="E63" t="s">
        <v>1270</v>
      </c>
      <c r="F63" s="29">
        <v>45848</v>
      </c>
      <c r="G63">
        <v>35400</v>
      </c>
      <c r="H63">
        <v>5400</v>
      </c>
      <c r="I63" t="s">
        <v>37</v>
      </c>
      <c r="J63" t="s">
        <v>76</v>
      </c>
      <c r="K63">
        <v>5</v>
      </c>
      <c r="L63" s="29">
        <v>46203</v>
      </c>
      <c r="M63" t="str">
        <f>VLOOKUP(Query2[[#This Row],[company_name]],'Org Mapping'!$B:$I,8,FALSE)</f>
        <v>Jawad Ulla Khan</v>
      </c>
      <c r="N63" t="str">
        <f>TEXT(Query2[[#This Row],[tentative_exit_date]],"mmm'yy")</f>
        <v>Jun'26</v>
      </c>
    </row>
    <row r="64" spans="1:14" x14ac:dyDescent="0.35">
      <c r="A64" t="s">
        <v>557</v>
      </c>
      <c r="B64" t="s">
        <v>65</v>
      </c>
      <c r="C64" t="s">
        <v>979</v>
      </c>
      <c r="D64">
        <v>1</v>
      </c>
      <c r="E64" t="s">
        <v>980</v>
      </c>
      <c r="F64" s="29">
        <v>45877</v>
      </c>
      <c r="G64">
        <v>24123.919999999998</v>
      </c>
      <c r="H64">
        <v>4023.92</v>
      </c>
      <c r="I64" t="s">
        <v>26</v>
      </c>
      <c r="J64" t="s">
        <v>76</v>
      </c>
      <c r="K64">
        <v>5</v>
      </c>
      <c r="L64" s="29">
        <v>46199</v>
      </c>
      <c r="M64" t="str">
        <f>VLOOKUP(Query2[[#This Row],[company_name]],'Org Mapping'!$B:$I,8,FALSE)</f>
        <v>Jawad Ulla Khan</v>
      </c>
      <c r="N64" t="str">
        <f>TEXT(Query2[[#This Row],[tentative_exit_date]],"mmm'yy")</f>
        <v>Jun'26</v>
      </c>
    </row>
    <row r="65" spans="1:14" x14ac:dyDescent="0.35">
      <c r="A65" t="s">
        <v>555</v>
      </c>
      <c r="B65" t="s">
        <v>65</v>
      </c>
      <c r="C65" t="s">
        <v>981</v>
      </c>
      <c r="D65">
        <v>2</v>
      </c>
      <c r="E65" t="s">
        <v>982</v>
      </c>
      <c r="F65" s="29">
        <v>45853</v>
      </c>
      <c r="G65">
        <v>24123.919999999998</v>
      </c>
      <c r="H65">
        <v>4023.92</v>
      </c>
      <c r="I65" t="s">
        <v>26</v>
      </c>
      <c r="J65" t="s">
        <v>76</v>
      </c>
      <c r="K65">
        <v>5</v>
      </c>
      <c r="L65" s="29">
        <v>46197</v>
      </c>
      <c r="M65" t="str">
        <f>VLOOKUP(Query2[[#This Row],[company_name]],'Org Mapping'!$B:$I,8,FALSE)</f>
        <v>Jawad Ulla Khan</v>
      </c>
      <c r="N65" t="str">
        <f>TEXT(Query2[[#This Row],[tentative_exit_date]],"mmm'yy")</f>
        <v>Jun'26</v>
      </c>
    </row>
    <row r="66" spans="1:14" x14ac:dyDescent="0.35">
      <c r="A66" t="s">
        <v>151</v>
      </c>
      <c r="B66" t="s">
        <v>65</v>
      </c>
      <c r="C66" t="s">
        <v>983</v>
      </c>
      <c r="D66">
        <v>2</v>
      </c>
      <c r="E66" t="s">
        <v>984</v>
      </c>
      <c r="F66" s="29">
        <v>45859</v>
      </c>
      <c r="G66">
        <v>50000</v>
      </c>
      <c r="H66">
        <v>10000</v>
      </c>
      <c r="I66" t="s">
        <v>37</v>
      </c>
      <c r="J66" t="s">
        <v>76</v>
      </c>
      <c r="K66">
        <v>5</v>
      </c>
      <c r="L66" s="29">
        <v>46203</v>
      </c>
      <c r="M66" t="str">
        <f>VLOOKUP(Query2[[#This Row],[company_name]],'Org Mapping'!$B:$I,8,FALSE)</f>
        <v>Jawad Ulla Khan</v>
      </c>
      <c r="N66" t="str">
        <f>TEXT(Query2[[#This Row],[tentative_exit_date]],"mmm'yy")</f>
        <v>Jun'26</v>
      </c>
    </row>
    <row r="67" spans="1:14" x14ac:dyDescent="0.35">
      <c r="A67" t="s">
        <v>309</v>
      </c>
      <c r="B67" t="s">
        <v>43</v>
      </c>
      <c r="C67" t="s">
        <v>985</v>
      </c>
      <c r="D67">
        <v>2</v>
      </c>
      <c r="E67" t="s">
        <v>986</v>
      </c>
      <c r="F67" s="29">
        <v>45873</v>
      </c>
      <c r="G67">
        <v>50000</v>
      </c>
      <c r="H67">
        <v>10000</v>
      </c>
      <c r="I67" t="s">
        <v>559</v>
      </c>
      <c r="J67" t="s">
        <v>76</v>
      </c>
      <c r="K67">
        <v>5</v>
      </c>
      <c r="L67" s="29">
        <v>45873</v>
      </c>
      <c r="M67" t="str">
        <f>VLOOKUP(Query2[[#This Row],[company_name]],'Org Mapping'!$B:$I,8,FALSE)</f>
        <v>Jawad Ulla Khan</v>
      </c>
      <c r="N67" t="str">
        <f>TEXT(Query2[[#This Row],[tentative_exit_date]],"mmm'yy")</f>
        <v>Aug'25</v>
      </c>
    </row>
    <row r="68" spans="1:14" x14ac:dyDescent="0.35">
      <c r="A68" t="s">
        <v>151</v>
      </c>
      <c r="B68" t="s">
        <v>65</v>
      </c>
      <c r="C68" t="s">
        <v>987</v>
      </c>
      <c r="D68">
        <v>2</v>
      </c>
      <c r="E68" t="s">
        <v>988</v>
      </c>
      <c r="F68" s="29">
        <v>45874</v>
      </c>
      <c r="G68">
        <v>24123.919999999998</v>
      </c>
      <c r="H68">
        <v>4023.92</v>
      </c>
      <c r="I68" t="s">
        <v>26</v>
      </c>
      <c r="J68" t="s">
        <v>76</v>
      </c>
      <c r="K68">
        <v>5</v>
      </c>
      <c r="L68" s="29">
        <v>46185</v>
      </c>
      <c r="M68" t="str">
        <f>VLOOKUP(Query2[[#This Row],[company_name]],'Org Mapping'!$B:$I,8,FALSE)</f>
        <v>Jawad Ulla Khan</v>
      </c>
      <c r="N68" t="str">
        <f>TEXT(Query2[[#This Row],[tentative_exit_date]],"mmm'yy")</f>
        <v>Jun'26</v>
      </c>
    </row>
    <row r="69" spans="1:14" x14ac:dyDescent="0.35">
      <c r="A69" t="s">
        <v>555</v>
      </c>
      <c r="B69" t="s">
        <v>65</v>
      </c>
      <c r="C69" t="s">
        <v>989</v>
      </c>
      <c r="D69">
        <v>2</v>
      </c>
      <c r="E69" t="s">
        <v>990</v>
      </c>
      <c r="F69" s="29">
        <v>45882</v>
      </c>
      <c r="G69">
        <v>23718</v>
      </c>
      <c r="H69">
        <v>3618</v>
      </c>
      <c r="I69" t="s">
        <v>559</v>
      </c>
      <c r="J69" t="s">
        <v>76</v>
      </c>
      <c r="K69">
        <v>5</v>
      </c>
      <c r="L69" s="29">
        <v>45882</v>
      </c>
      <c r="M69" t="str">
        <f>VLOOKUP(Query2[[#This Row],[company_name]],'Org Mapping'!$B:$I,8,FALSE)</f>
        <v>Jawad Ulla Khan</v>
      </c>
      <c r="N69" t="str">
        <f>TEXT(Query2[[#This Row],[tentative_exit_date]],"mmm'yy")</f>
        <v>Aug'25</v>
      </c>
    </row>
    <row r="70" spans="1:14" x14ac:dyDescent="0.35">
      <c r="A70" t="s">
        <v>558</v>
      </c>
      <c r="B70" t="s">
        <v>43</v>
      </c>
      <c r="C70" t="s">
        <v>991</v>
      </c>
      <c r="D70">
        <v>6</v>
      </c>
      <c r="E70" t="s">
        <v>992</v>
      </c>
      <c r="F70" s="29">
        <v>45889</v>
      </c>
      <c r="G70">
        <v>46800</v>
      </c>
      <c r="H70">
        <v>6800</v>
      </c>
      <c r="I70" t="s">
        <v>26</v>
      </c>
      <c r="J70" t="s">
        <v>17</v>
      </c>
      <c r="K70">
        <v>5</v>
      </c>
      <c r="L70" s="29">
        <v>46195</v>
      </c>
      <c r="M70" t="str">
        <f>VLOOKUP(Query2[[#This Row],[company_name]],'Org Mapping'!$B:$I,8,FALSE)</f>
        <v>Jawad Ulla Khan</v>
      </c>
      <c r="N70" t="str">
        <f>TEXT(Query2[[#This Row],[tentative_exit_date]],"mmm'yy")</f>
        <v>Jun'26</v>
      </c>
    </row>
    <row r="71" spans="1:14" x14ac:dyDescent="0.35">
      <c r="A71" t="s">
        <v>360</v>
      </c>
      <c r="B71" t="s">
        <v>65</v>
      </c>
      <c r="C71" t="s">
        <v>993</v>
      </c>
      <c r="D71">
        <v>2</v>
      </c>
      <c r="E71" t="s">
        <v>994</v>
      </c>
      <c r="F71" s="29">
        <v>45901</v>
      </c>
      <c r="G71">
        <v>24123.919999999998</v>
      </c>
      <c r="H71">
        <v>4023.92</v>
      </c>
      <c r="I71" t="s">
        <v>26</v>
      </c>
      <c r="J71" t="s">
        <v>76</v>
      </c>
      <c r="K71">
        <v>5</v>
      </c>
      <c r="L71" s="29">
        <v>46199</v>
      </c>
      <c r="M71" t="str">
        <f>VLOOKUP(Query2[[#This Row],[company_name]],'Org Mapping'!$B:$I,8,FALSE)</f>
        <v>Jawad Ulla Khan</v>
      </c>
      <c r="N71" t="str">
        <f>TEXT(Query2[[#This Row],[tentative_exit_date]],"mmm'yy")</f>
        <v>Jun'26</v>
      </c>
    </row>
    <row r="72" spans="1:14" x14ac:dyDescent="0.35">
      <c r="A72" t="s">
        <v>360</v>
      </c>
      <c r="B72" t="s">
        <v>65</v>
      </c>
      <c r="C72" t="s">
        <v>995</v>
      </c>
      <c r="D72">
        <v>2</v>
      </c>
      <c r="E72" t="s">
        <v>996</v>
      </c>
      <c r="F72" s="29">
        <v>45915</v>
      </c>
      <c r="G72">
        <v>23718</v>
      </c>
      <c r="H72">
        <v>3618</v>
      </c>
      <c r="I72" t="s">
        <v>559</v>
      </c>
      <c r="J72" t="s">
        <v>76</v>
      </c>
      <c r="K72">
        <v>5</v>
      </c>
      <c r="L72" s="29">
        <v>45915</v>
      </c>
      <c r="M72" t="str">
        <f>VLOOKUP(Query2[[#This Row],[company_name]],'Org Mapping'!$B:$I,8,FALSE)</f>
        <v>Jawad Ulla Khan</v>
      </c>
      <c r="N72" t="str">
        <f>TEXT(Query2[[#This Row],[tentative_exit_date]],"mmm'yy")</f>
        <v>Sep'25</v>
      </c>
    </row>
    <row r="73" spans="1:14" x14ac:dyDescent="0.35">
      <c r="A73" t="s">
        <v>557</v>
      </c>
      <c r="B73" t="s">
        <v>65</v>
      </c>
      <c r="C73" t="s">
        <v>997</v>
      </c>
      <c r="D73">
        <v>2</v>
      </c>
      <c r="E73" t="s">
        <v>998</v>
      </c>
      <c r="F73" s="29">
        <v>45916</v>
      </c>
      <c r="G73">
        <v>47200</v>
      </c>
      <c r="H73">
        <v>7200</v>
      </c>
      <c r="I73" t="s">
        <v>26</v>
      </c>
      <c r="J73" t="s">
        <v>76</v>
      </c>
      <c r="K73">
        <v>5</v>
      </c>
      <c r="L73" s="29">
        <v>46178</v>
      </c>
      <c r="M73" t="str">
        <f>VLOOKUP(Query2[[#This Row],[company_name]],'Org Mapping'!$B:$I,8,FALSE)</f>
        <v>Jawad Ulla Khan</v>
      </c>
      <c r="N73" t="str">
        <f>TEXT(Query2[[#This Row],[tentative_exit_date]],"mmm'yy")</f>
        <v>Jun'26</v>
      </c>
    </row>
    <row r="74" spans="1:14" x14ac:dyDescent="0.35">
      <c r="A74" t="s">
        <v>481</v>
      </c>
      <c r="B74" t="s">
        <v>65</v>
      </c>
      <c r="C74" t="s">
        <v>1273</v>
      </c>
      <c r="D74">
        <v>2</v>
      </c>
      <c r="E74" t="s">
        <v>1274</v>
      </c>
      <c r="F74" s="29">
        <v>45933</v>
      </c>
      <c r="G74">
        <v>50000</v>
      </c>
      <c r="H74">
        <v>10000</v>
      </c>
      <c r="I74" t="s">
        <v>26</v>
      </c>
      <c r="J74" t="s">
        <v>90</v>
      </c>
      <c r="K74">
        <v>5</v>
      </c>
      <c r="L74" s="29">
        <v>46209</v>
      </c>
      <c r="M74" t="str">
        <f>VLOOKUP(Query2[[#This Row],[company_name]],'Org Mapping'!$B:$I,8,FALSE)</f>
        <v>Jawad Ulla Khan</v>
      </c>
      <c r="N74" t="str">
        <f>TEXT(Query2[[#This Row],[tentative_exit_date]],"mmm'yy")</f>
        <v>Jul'26</v>
      </c>
    </row>
    <row r="75" spans="1:14" x14ac:dyDescent="0.35">
      <c r="A75" t="s">
        <v>553</v>
      </c>
      <c r="B75" t="s">
        <v>65</v>
      </c>
      <c r="C75" t="s">
        <v>999</v>
      </c>
      <c r="D75">
        <v>2</v>
      </c>
      <c r="E75" t="s">
        <v>1000</v>
      </c>
      <c r="F75" s="29">
        <v>45926</v>
      </c>
      <c r="G75">
        <v>62500</v>
      </c>
      <c r="H75">
        <v>12500</v>
      </c>
      <c r="I75" t="s">
        <v>559</v>
      </c>
      <c r="J75" t="s">
        <v>90</v>
      </c>
      <c r="K75">
        <v>3</v>
      </c>
      <c r="L75" s="29">
        <v>45926</v>
      </c>
      <c r="M75" t="str">
        <f>VLOOKUP(Query2[[#This Row],[company_name]],'Org Mapping'!$B:$I,8,FALSE)</f>
        <v>Jawad Ulla Khan</v>
      </c>
      <c r="N75" t="str">
        <f>TEXT(Query2[[#This Row],[tentative_exit_date]],"mmm'yy")</f>
        <v>Sep'25</v>
      </c>
    </row>
    <row r="76" spans="1:14" x14ac:dyDescent="0.35">
      <c r="A76" t="s">
        <v>98</v>
      </c>
      <c r="B76" t="s">
        <v>65</v>
      </c>
      <c r="C76" t="s">
        <v>183</v>
      </c>
      <c r="D76">
        <v>2</v>
      </c>
      <c r="E76" t="s">
        <v>1001</v>
      </c>
      <c r="F76" s="29">
        <v>45945</v>
      </c>
      <c r="G76">
        <v>70000</v>
      </c>
      <c r="H76">
        <v>14000</v>
      </c>
      <c r="I76" t="s">
        <v>16</v>
      </c>
      <c r="J76" t="s">
        <v>90</v>
      </c>
      <c r="K76">
        <v>5</v>
      </c>
      <c r="L76" s="29">
        <v>46212</v>
      </c>
      <c r="M76" t="str">
        <f>VLOOKUP(Query2[[#This Row],[company_name]],'Org Mapping'!$B:$I,8,FALSE)</f>
        <v>Jawad Ulla Khan</v>
      </c>
      <c r="N76" t="str">
        <f>TEXT(Query2[[#This Row],[tentative_exit_date]],"mmm'yy")</f>
        <v>Jul'26</v>
      </c>
    </row>
    <row r="77" spans="1:14" x14ac:dyDescent="0.35">
      <c r="A77" t="s">
        <v>553</v>
      </c>
      <c r="B77" t="s">
        <v>65</v>
      </c>
      <c r="C77" t="s">
        <v>1275</v>
      </c>
      <c r="D77">
        <v>2</v>
      </c>
      <c r="E77" t="s">
        <v>1276</v>
      </c>
      <c r="F77" s="29">
        <v>45965</v>
      </c>
      <c r="G77">
        <v>24123.919999999998</v>
      </c>
      <c r="H77">
        <v>4023.92</v>
      </c>
      <c r="I77" t="s">
        <v>26</v>
      </c>
      <c r="J77" t="s">
        <v>76</v>
      </c>
      <c r="K77">
        <v>5</v>
      </c>
      <c r="L77" s="29">
        <v>46213</v>
      </c>
      <c r="M77" t="str">
        <f>VLOOKUP(Query2[[#This Row],[company_name]],'Org Mapping'!$B:$I,8,FALSE)</f>
        <v>Jawad Ulla Khan</v>
      </c>
      <c r="N77" t="str">
        <f>TEXT(Query2[[#This Row],[tentative_exit_date]],"mmm'yy")</f>
        <v>Jul'26</v>
      </c>
    </row>
    <row r="78" spans="1:14" x14ac:dyDescent="0.35">
      <c r="A78" t="s">
        <v>481</v>
      </c>
      <c r="B78" t="s">
        <v>65</v>
      </c>
      <c r="C78" t="s">
        <v>1002</v>
      </c>
      <c r="D78">
        <v>2</v>
      </c>
      <c r="E78" t="s">
        <v>1003</v>
      </c>
      <c r="F78" s="29">
        <v>45961</v>
      </c>
      <c r="G78">
        <v>47500</v>
      </c>
      <c r="H78">
        <v>9500</v>
      </c>
      <c r="I78" t="s">
        <v>37</v>
      </c>
      <c r="J78" t="s">
        <v>90</v>
      </c>
      <c r="K78">
        <v>5</v>
      </c>
      <c r="L78" s="29">
        <v>46203</v>
      </c>
      <c r="M78" t="str">
        <f>VLOOKUP(Query2[[#This Row],[company_name]],'Org Mapping'!$B:$I,8,FALSE)</f>
        <v>Jawad Ulla Khan</v>
      </c>
      <c r="N78" t="str">
        <f>TEXT(Query2[[#This Row],[tentative_exit_date]],"mmm'yy")</f>
        <v>Jun'26</v>
      </c>
    </row>
    <row r="79" spans="1:14" x14ac:dyDescent="0.35">
      <c r="A79" t="s">
        <v>557</v>
      </c>
      <c r="B79" t="s">
        <v>65</v>
      </c>
      <c r="C79" t="s">
        <v>1004</v>
      </c>
      <c r="D79">
        <v>2</v>
      </c>
      <c r="E79" t="s">
        <v>1005</v>
      </c>
      <c r="F79" s="29">
        <v>45966</v>
      </c>
      <c r="G79">
        <v>70000</v>
      </c>
      <c r="H79">
        <v>14000</v>
      </c>
      <c r="I79" t="s">
        <v>37</v>
      </c>
      <c r="J79" t="s">
        <v>90</v>
      </c>
      <c r="K79">
        <v>5</v>
      </c>
      <c r="L79" s="29">
        <v>46178</v>
      </c>
      <c r="M79" t="str">
        <f>VLOOKUP(Query2[[#This Row],[company_name]],'Org Mapping'!$B:$I,8,FALSE)</f>
        <v>Jawad Ulla Khan</v>
      </c>
      <c r="N79" t="str">
        <f>TEXT(Query2[[#This Row],[tentative_exit_date]],"mmm'yy")</f>
        <v>Jun'26</v>
      </c>
    </row>
    <row r="80" spans="1:14" x14ac:dyDescent="0.35">
      <c r="A80" t="s">
        <v>667</v>
      </c>
      <c r="B80" t="s">
        <v>65</v>
      </c>
      <c r="C80" t="s">
        <v>1006</v>
      </c>
      <c r="D80">
        <v>1</v>
      </c>
      <c r="E80" t="s">
        <v>1007</v>
      </c>
      <c r="F80" s="29">
        <v>45968</v>
      </c>
      <c r="G80">
        <v>56250</v>
      </c>
      <c r="H80">
        <v>11250</v>
      </c>
      <c r="I80" t="s">
        <v>37</v>
      </c>
      <c r="J80" t="s">
        <v>90</v>
      </c>
      <c r="K80">
        <v>5</v>
      </c>
      <c r="L80" s="29">
        <v>46203</v>
      </c>
      <c r="M80" t="str">
        <f>VLOOKUP(Query2[[#This Row],[company_name]],'Org Mapping'!$B:$I,8,FALSE)</f>
        <v>Jawad Ulla Khan</v>
      </c>
      <c r="N80" t="str">
        <f>TEXT(Query2[[#This Row],[tentative_exit_date]],"mmm'yy")</f>
        <v>Jun'26</v>
      </c>
    </row>
    <row r="81" spans="1:14" x14ac:dyDescent="0.35">
      <c r="A81" t="s">
        <v>151</v>
      </c>
      <c r="B81" t="s">
        <v>89</v>
      </c>
      <c r="C81" t="s">
        <v>1010</v>
      </c>
      <c r="D81">
        <v>2</v>
      </c>
      <c r="E81" t="s">
        <v>1011</v>
      </c>
      <c r="F81" s="29">
        <v>46031</v>
      </c>
      <c r="G81">
        <v>29500</v>
      </c>
      <c r="H81">
        <v>4500</v>
      </c>
      <c r="I81" t="s">
        <v>37</v>
      </c>
      <c r="J81" t="s">
        <v>76</v>
      </c>
      <c r="K81">
        <v>5</v>
      </c>
      <c r="L81" s="29">
        <v>46194</v>
      </c>
      <c r="M81" t="str">
        <f>VLOOKUP(Query2[[#This Row],[company_name]],'Org Mapping'!$B:$I,8,FALSE)</f>
        <v>Jawad Ulla Khan</v>
      </c>
      <c r="N81" t="str">
        <f>TEXT(Query2[[#This Row],[tentative_exit_date]],"mmm'yy")</f>
        <v>Jun'26</v>
      </c>
    </row>
    <row r="82" spans="1:14" x14ac:dyDescent="0.35">
      <c r="A82" t="s">
        <v>555</v>
      </c>
      <c r="B82" t="s">
        <v>89</v>
      </c>
      <c r="C82" t="s">
        <v>1277</v>
      </c>
      <c r="D82">
        <v>2</v>
      </c>
      <c r="E82" t="s">
        <v>1278</v>
      </c>
      <c r="F82" s="29">
        <v>46114</v>
      </c>
      <c r="G82">
        <v>27105.78</v>
      </c>
      <c r="H82">
        <v>4605.78</v>
      </c>
      <c r="I82" t="s">
        <v>37</v>
      </c>
      <c r="J82" t="s">
        <v>76</v>
      </c>
      <c r="K82">
        <v>5</v>
      </c>
      <c r="L82" s="29">
        <v>46177</v>
      </c>
      <c r="M82" t="str">
        <f>VLOOKUP(Query2[[#This Row],[company_name]],'Org Mapping'!$B:$I,8,FALSE)</f>
        <v>Jawad Ulla Khan</v>
      </c>
      <c r="N82" t="str">
        <f>TEXT(Query2[[#This Row],[tentative_exit_date]],"mmm'yy")</f>
        <v>Jun'26</v>
      </c>
    </row>
    <row r="83" spans="1:14" x14ac:dyDescent="0.35">
      <c r="A83" t="s">
        <v>98</v>
      </c>
      <c r="B83" t="s">
        <v>89</v>
      </c>
      <c r="C83" t="s">
        <v>1012</v>
      </c>
      <c r="D83">
        <v>2</v>
      </c>
      <c r="E83" t="s">
        <v>1013</v>
      </c>
      <c r="F83" s="29">
        <v>46120</v>
      </c>
      <c r="G83">
        <v>60000</v>
      </c>
      <c r="H83">
        <v>12000</v>
      </c>
      <c r="I83" t="s">
        <v>26</v>
      </c>
      <c r="J83" t="s">
        <v>76</v>
      </c>
      <c r="K83">
        <v>5</v>
      </c>
      <c r="L83" s="29">
        <v>46178</v>
      </c>
      <c r="M83" t="str">
        <f>VLOOKUP(Query2[[#This Row],[company_name]],'Org Mapping'!$B:$I,8,FALSE)</f>
        <v>Jawad Ulla Khan</v>
      </c>
      <c r="N83" t="str">
        <f>TEXT(Query2[[#This Row],[tentative_exit_date]],"mmm'yy")</f>
        <v>Jun'26</v>
      </c>
    </row>
    <row r="84" spans="1:14" x14ac:dyDescent="0.35">
      <c r="A84" t="s">
        <v>798</v>
      </c>
      <c r="B84" t="s">
        <v>812</v>
      </c>
      <c r="C84" t="s">
        <v>1014</v>
      </c>
      <c r="D84">
        <v>2</v>
      </c>
      <c r="E84" t="s">
        <v>1015</v>
      </c>
      <c r="F84" s="29">
        <v>46129</v>
      </c>
      <c r="G84">
        <v>29500</v>
      </c>
      <c r="H84">
        <v>4500</v>
      </c>
      <c r="I84" t="s">
        <v>26</v>
      </c>
      <c r="J84" t="s">
        <v>76</v>
      </c>
      <c r="K84">
        <v>5</v>
      </c>
      <c r="L84" s="29">
        <v>46184</v>
      </c>
      <c r="M84" t="str">
        <f>VLOOKUP(Query2[[#This Row],[company_name]],'Org Mapping'!$B:$I,8,FALSE)</f>
        <v>Jawad Ulla Khan</v>
      </c>
      <c r="N84" t="str">
        <f>TEXT(Query2[[#This Row],[tentative_exit_date]],"mmm'yy")</f>
        <v>Jun'26</v>
      </c>
    </row>
    <row r="85" spans="1:14" x14ac:dyDescent="0.35">
      <c r="A85" t="s">
        <v>553</v>
      </c>
      <c r="B85" t="s">
        <v>89</v>
      </c>
      <c r="C85" t="s">
        <v>1016</v>
      </c>
      <c r="D85">
        <v>2</v>
      </c>
      <c r="E85" t="s">
        <v>1017</v>
      </c>
      <c r="F85" s="29">
        <v>46127</v>
      </c>
      <c r="G85">
        <v>41300</v>
      </c>
      <c r="H85">
        <v>6300</v>
      </c>
      <c r="I85" t="s">
        <v>545</v>
      </c>
      <c r="J85" t="s">
        <v>76</v>
      </c>
      <c r="K85">
        <v>5</v>
      </c>
      <c r="L85" s="29">
        <v>46202</v>
      </c>
      <c r="M85" t="str">
        <f>VLOOKUP(Query2[[#This Row],[company_name]],'Org Mapping'!$B:$I,8,FALSE)</f>
        <v>Jawad Ulla Khan</v>
      </c>
      <c r="N85" t="str">
        <f>TEXT(Query2[[#This Row],[tentative_exit_date]],"mmm'yy")</f>
        <v>Jun'26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2352D-CF3C-4574-AE43-609D7418B9D6}">
  <sheetPr>
    <tabColor theme="1" tint="4.9989318521683403E-2"/>
  </sheetPr>
  <dimension ref="A1:O2748"/>
  <sheetViews>
    <sheetView workbookViewId="0">
      <selection activeCell="C10" sqref="C10"/>
    </sheetView>
  </sheetViews>
  <sheetFormatPr defaultRowHeight="14.5" x14ac:dyDescent="0.35"/>
  <cols>
    <col min="1" max="1" width="28.1796875" bestFit="1" customWidth="1"/>
    <col min="2" max="2" width="22.26953125" bestFit="1" customWidth="1"/>
    <col min="3" max="3" width="53.26953125" bestFit="1" customWidth="1"/>
    <col min="4" max="4" width="13.54296875" bestFit="1" customWidth="1"/>
    <col min="5" max="5" width="11.453125" bestFit="1" customWidth="1"/>
    <col min="6" max="6" width="11.08984375" bestFit="1" customWidth="1"/>
    <col min="7" max="8" width="9.81640625" bestFit="1" customWidth="1"/>
    <col min="9" max="9" width="19" bestFit="1" customWidth="1"/>
    <col min="10" max="10" width="31.36328125" bestFit="1" customWidth="1"/>
    <col min="11" max="11" width="6" bestFit="1" customWidth="1"/>
    <col min="12" max="12" width="12.54296875" bestFit="1" customWidth="1"/>
    <col min="13" max="13" width="10.08984375" bestFit="1" customWidth="1"/>
    <col min="14" max="14" width="14.90625" bestFit="1" customWidth="1"/>
    <col min="15" max="15" width="6.4531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30" t="s">
        <v>19</v>
      </c>
      <c r="B2" s="30" t="s">
        <v>15</v>
      </c>
      <c r="C2" s="30" t="s">
        <v>24</v>
      </c>
      <c r="D2">
        <v>6</v>
      </c>
      <c r="E2" s="30" t="s">
        <v>25</v>
      </c>
      <c r="F2" s="29">
        <v>43486</v>
      </c>
      <c r="G2">
        <v>38999.61</v>
      </c>
      <c r="H2">
        <v>5666.61</v>
      </c>
      <c r="I2" s="30" t="s">
        <v>16</v>
      </c>
      <c r="J2" s="30" t="s">
        <v>17</v>
      </c>
      <c r="K2">
        <v>6</v>
      </c>
      <c r="L2" s="29">
        <v>46043</v>
      </c>
      <c r="M2" s="29">
        <v>45937</v>
      </c>
      <c r="N2" s="30" t="str">
        <f>VLOOKUP(Query1[[#This Row],[company_name]],'Org Mapping'!$B:$I,8,FALSE)</f>
        <v>Jawad Ulla Khan</v>
      </c>
      <c r="O2" s="30" t="str">
        <f>TEXT(Query1[[#This Row],[last_work_day]],"mmm'yy")</f>
        <v>Jan'26</v>
      </c>
    </row>
    <row r="3" spans="1:15" x14ac:dyDescent="0.35">
      <c r="A3" s="30" t="s">
        <v>1281</v>
      </c>
      <c r="B3" s="30" t="s">
        <v>1281</v>
      </c>
      <c r="C3" s="30" t="s">
        <v>1282</v>
      </c>
      <c r="D3">
        <v>7</v>
      </c>
      <c r="E3" s="30" t="s">
        <v>1283</v>
      </c>
      <c r="F3" s="29">
        <v>44166</v>
      </c>
      <c r="G3">
        <v>75281.8</v>
      </c>
      <c r="H3">
        <v>6991.8</v>
      </c>
      <c r="I3" s="30" t="s">
        <v>26</v>
      </c>
      <c r="J3" s="30" t="s">
        <v>28</v>
      </c>
      <c r="K3">
        <v>6</v>
      </c>
      <c r="L3" s="29">
        <v>46127</v>
      </c>
      <c r="M3" s="29">
        <v>46150</v>
      </c>
      <c r="N3" s="30" t="str">
        <f>VLOOKUP(Query1[[#This Row],[company_name]],'Org Mapping'!$B:$I,8,FALSE)</f>
        <v>TBA</v>
      </c>
      <c r="O3" s="30" t="str">
        <f>TEXT(Query1[[#This Row],[last_work_day]],"mmm'yy")</f>
        <v>Apr'26</v>
      </c>
    </row>
    <row r="4" spans="1:15" x14ac:dyDescent="0.35">
      <c r="A4" s="30" t="s">
        <v>1281</v>
      </c>
      <c r="B4" s="30" t="s">
        <v>1281</v>
      </c>
      <c r="C4" s="30" t="s">
        <v>1284</v>
      </c>
      <c r="D4">
        <v>7</v>
      </c>
      <c r="E4" s="30" t="s">
        <v>1285</v>
      </c>
      <c r="F4" s="29">
        <v>44166</v>
      </c>
      <c r="G4">
        <v>42207.55</v>
      </c>
      <c r="H4">
        <v>3767.55</v>
      </c>
      <c r="I4" s="30" t="s">
        <v>26</v>
      </c>
      <c r="J4" s="30" t="s">
        <v>28</v>
      </c>
      <c r="K4">
        <v>6</v>
      </c>
      <c r="L4" s="29">
        <v>46127</v>
      </c>
      <c r="M4" s="29">
        <v>46150</v>
      </c>
      <c r="N4" s="30" t="str">
        <f>VLOOKUP(Query1[[#This Row],[company_name]],'Org Mapping'!$B:$I,8,FALSE)</f>
        <v>TBA</v>
      </c>
      <c r="O4" s="30" t="str">
        <f>TEXT(Query1[[#This Row],[last_work_day]],"mmm'yy")</f>
        <v>Apr'26</v>
      </c>
    </row>
    <row r="5" spans="1:15" x14ac:dyDescent="0.35">
      <c r="A5" s="30" t="s">
        <v>1281</v>
      </c>
      <c r="B5" s="30" t="s">
        <v>1281</v>
      </c>
      <c r="C5" s="30" t="s">
        <v>1286</v>
      </c>
      <c r="D5">
        <v>7</v>
      </c>
      <c r="E5" s="30" t="s">
        <v>1287</v>
      </c>
      <c r="F5" s="29">
        <v>44166</v>
      </c>
      <c r="G5">
        <v>42207.55</v>
      </c>
      <c r="H5">
        <v>3767.55</v>
      </c>
      <c r="I5" s="30" t="s">
        <v>26</v>
      </c>
      <c r="J5" s="30" t="s">
        <v>28</v>
      </c>
      <c r="K5">
        <v>6</v>
      </c>
      <c r="L5" s="29">
        <v>46127</v>
      </c>
      <c r="M5" s="29">
        <v>46150</v>
      </c>
      <c r="N5" s="30" t="str">
        <f>VLOOKUP(Query1[[#This Row],[company_name]],'Org Mapping'!$B:$I,8,FALSE)</f>
        <v>TBA</v>
      </c>
      <c r="O5" s="30" t="str">
        <f>TEXT(Query1[[#This Row],[last_work_day]],"mmm'yy")</f>
        <v>Apr'26</v>
      </c>
    </row>
    <row r="6" spans="1:15" x14ac:dyDescent="0.35">
      <c r="A6" s="30" t="s">
        <v>1281</v>
      </c>
      <c r="B6" s="30" t="s">
        <v>1281</v>
      </c>
      <c r="C6" s="30" t="s">
        <v>1288</v>
      </c>
      <c r="D6">
        <v>7</v>
      </c>
      <c r="E6" s="30" t="s">
        <v>1289</v>
      </c>
      <c r="F6" s="29">
        <v>44166</v>
      </c>
      <c r="G6">
        <v>42207.55</v>
      </c>
      <c r="H6">
        <v>3767.55</v>
      </c>
      <c r="I6" s="30" t="s">
        <v>26</v>
      </c>
      <c r="J6" s="30" t="s">
        <v>28</v>
      </c>
      <c r="K6">
        <v>6</v>
      </c>
      <c r="L6" s="29">
        <v>46127</v>
      </c>
      <c r="M6" s="29">
        <v>46150</v>
      </c>
      <c r="N6" s="30" t="str">
        <f>VLOOKUP(Query1[[#This Row],[company_name]],'Org Mapping'!$B:$I,8,FALSE)</f>
        <v>TBA</v>
      </c>
      <c r="O6" s="30" t="str">
        <f>TEXT(Query1[[#This Row],[last_work_day]],"mmm'yy")</f>
        <v>Apr'26</v>
      </c>
    </row>
    <row r="7" spans="1:15" x14ac:dyDescent="0.35">
      <c r="A7" s="30" t="s">
        <v>1281</v>
      </c>
      <c r="B7" s="30" t="s">
        <v>1281</v>
      </c>
      <c r="C7" s="30" t="s">
        <v>1290</v>
      </c>
      <c r="D7">
        <v>7</v>
      </c>
      <c r="E7" s="30" t="s">
        <v>1291</v>
      </c>
      <c r="F7" s="29">
        <v>44166</v>
      </c>
      <c r="G7">
        <v>40169.800000000003</v>
      </c>
      <c r="H7">
        <v>3529.8</v>
      </c>
      <c r="I7" s="30" t="s">
        <v>26</v>
      </c>
      <c r="J7" s="30" t="s">
        <v>28</v>
      </c>
      <c r="K7">
        <v>6</v>
      </c>
      <c r="L7" s="29">
        <v>46127</v>
      </c>
      <c r="M7" s="29">
        <v>46150</v>
      </c>
      <c r="N7" s="30" t="str">
        <f>VLOOKUP(Query1[[#This Row],[company_name]],'Org Mapping'!$B:$I,8,FALSE)</f>
        <v>TBA</v>
      </c>
      <c r="O7" s="30" t="str">
        <f>TEXT(Query1[[#This Row],[last_work_day]],"mmm'yy")</f>
        <v>Apr'26</v>
      </c>
    </row>
    <row r="8" spans="1:15" x14ac:dyDescent="0.35">
      <c r="A8" s="30" t="s">
        <v>1281</v>
      </c>
      <c r="B8" s="30" t="s">
        <v>1281</v>
      </c>
      <c r="C8" s="30" t="s">
        <v>1292</v>
      </c>
      <c r="D8">
        <v>7</v>
      </c>
      <c r="E8" s="30" t="s">
        <v>1293</v>
      </c>
      <c r="F8" s="29">
        <v>44237</v>
      </c>
      <c r="G8">
        <v>44402.05</v>
      </c>
      <c r="H8">
        <v>4012.05</v>
      </c>
      <c r="I8" s="30" t="s">
        <v>26</v>
      </c>
      <c r="J8" s="30" t="s">
        <v>28</v>
      </c>
      <c r="K8">
        <v>6</v>
      </c>
      <c r="L8" s="29">
        <v>46127</v>
      </c>
      <c r="M8" s="29">
        <v>46150</v>
      </c>
      <c r="N8" s="30" t="str">
        <f>VLOOKUP(Query1[[#This Row],[company_name]],'Org Mapping'!$B:$I,8,FALSE)</f>
        <v>TBA</v>
      </c>
      <c r="O8" s="30" t="str">
        <f>TEXT(Query1[[#This Row],[last_work_day]],"mmm'yy")</f>
        <v>Apr'26</v>
      </c>
    </row>
    <row r="9" spans="1:15" x14ac:dyDescent="0.35">
      <c r="A9" s="30" t="s">
        <v>32</v>
      </c>
      <c r="B9" s="30" t="s">
        <v>18</v>
      </c>
      <c r="C9" s="30" t="s">
        <v>33</v>
      </c>
      <c r="D9">
        <v>6</v>
      </c>
      <c r="E9" s="30" t="s">
        <v>34</v>
      </c>
      <c r="F9" s="29">
        <v>44272</v>
      </c>
      <c r="G9">
        <v>35685</v>
      </c>
      <c r="H9">
        <v>5185</v>
      </c>
      <c r="I9" s="30" t="s">
        <v>16</v>
      </c>
      <c r="J9" s="30" t="s">
        <v>17</v>
      </c>
      <c r="K9">
        <v>6</v>
      </c>
      <c r="L9" s="29">
        <v>46127</v>
      </c>
      <c r="M9" s="29">
        <v>46066</v>
      </c>
      <c r="N9" s="30" t="str">
        <f>VLOOKUP(Query1[[#This Row],[company_name]],'Org Mapping'!$B:$I,8,FALSE)</f>
        <v>Jawad Ulla Khan</v>
      </c>
      <c r="O9" s="30" t="str">
        <f>TEXT(Query1[[#This Row],[last_work_day]],"mmm'yy")</f>
        <v>Apr'26</v>
      </c>
    </row>
    <row r="10" spans="1:15" x14ac:dyDescent="0.35">
      <c r="A10" s="30" t="s">
        <v>1281</v>
      </c>
      <c r="B10" s="30" t="s">
        <v>1281</v>
      </c>
      <c r="C10" s="30" t="s">
        <v>1294</v>
      </c>
      <c r="D10">
        <v>7</v>
      </c>
      <c r="E10" s="30" t="s">
        <v>1295</v>
      </c>
      <c r="F10" s="29">
        <v>44298</v>
      </c>
      <c r="G10">
        <v>57725.8</v>
      </c>
      <c r="H10">
        <v>5335.8</v>
      </c>
      <c r="I10" s="30" t="s">
        <v>26</v>
      </c>
      <c r="J10" s="30" t="s">
        <v>28</v>
      </c>
      <c r="K10">
        <v>6</v>
      </c>
      <c r="L10" s="29">
        <v>46127</v>
      </c>
      <c r="M10" s="29">
        <v>46150</v>
      </c>
      <c r="N10" s="30" t="str">
        <f>VLOOKUP(Query1[[#This Row],[company_name]],'Org Mapping'!$B:$I,8,FALSE)</f>
        <v>TBA</v>
      </c>
      <c r="O10" s="30" t="str">
        <f>TEXT(Query1[[#This Row],[last_work_day]],"mmm'yy")</f>
        <v>Apr'26</v>
      </c>
    </row>
    <row r="11" spans="1:15" x14ac:dyDescent="0.35">
      <c r="A11" s="30" t="s">
        <v>1296</v>
      </c>
      <c r="B11" s="30" t="s">
        <v>30</v>
      </c>
      <c r="C11" s="30" t="s">
        <v>1297</v>
      </c>
      <c r="D11">
        <v>2</v>
      </c>
      <c r="E11" s="30" t="s">
        <v>1298</v>
      </c>
      <c r="F11" s="29">
        <v>44312</v>
      </c>
      <c r="G11">
        <v>211327.2</v>
      </c>
      <c r="H11">
        <v>48614.2</v>
      </c>
      <c r="I11" s="30" t="s">
        <v>16</v>
      </c>
      <c r="J11" s="30" t="s">
        <v>36</v>
      </c>
      <c r="K11">
        <v>6</v>
      </c>
      <c r="L11" s="29">
        <v>46146</v>
      </c>
      <c r="M11" s="29">
        <v>44776</v>
      </c>
      <c r="N11" s="30" t="str">
        <f>VLOOKUP(Query1[[#This Row],[company_name]],'Org Mapping'!$B:$I,8,FALSE)</f>
        <v>Sadhna Shukla</v>
      </c>
      <c r="O11" s="30" t="str">
        <f>TEXT(Query1[[#This Row],[last_work_day]],"mmm'yy")</f>
        <v>May'26</v>
      </c>
    </row>
    <row r="12" spans="1:15" x14ac:dyDescent="0.35">
      <c r="A12" s="30" t="s">
        <v>1299</v>
      </c>
      <c r="B12" s="30" t="s">
        <v>39</v>
      </c>
      <c r="C12" s="30" t="s">
        <v>1300</v>
      </c>
      <c r="D12">
        <v>2</v>
      </c>
      <c r="E12" s="30" t="s">
        <v>1301</v>
      </c>
      <c r="F12" s="29">
        <v>44340</v>
      </c>
      <c r="G12">
        <v>207090</v>
      </c>
      <c r="H12">
        <v>109924</v>
      </c>
      <c r="I12" s="30" t="s">
        <v>26</v>
      </c>
      <c r="J12" s="30" t="s">
        <v>40</v>
      </c>
      <c r="K12">
        <v>6</v>
      </c>
      <c r="L12" s="29">
        <v>46121</v>
      </c>
      <c r="M12" s="29">
        <v>46092</v>
      </c>
      <c r="N12" s="30" t="str">
        <f>VLOOKUP(Query1[[#This Row],[company_name]],'Org Mapping'!$B:$I,8,FALSE)</f>
        <v>Mehr Hashim</v>
      </c>
      <c r="O12" s="30" t="str">
        <f>TEXT(Query1[[#This Row],[last_work_day]],"mmm'yy")</f>
        <v>Apr'26</v>
      </c>
    </row>
    <row r="13" spans="1:15" x14ac:dyDescent="0.35">
      <c r="A13" s="30" t="s">
        <v>43</v>
      </c>
      <c r="B13" s="30" t="s">
        <v>18</v>
      </c>
      <c r="C13" s="30" t="s">
        <v>44</v>
      </c>
      <c r="D13">
        <v>6</v>
      </c>
      <c r="E13" s="30" t="s">
        <v>45</v>
      </c>
      <c r="F13" s="29">
        <v>44382</v>
      </c>
      <c r="G13">
        <v>39253.5</v>
      </c>
      <c r="H13">
        <v>5703.5</v>
      </c>
      <c r="I13" s="30" t="s">
        <v>16</v>
      </c>
      <c r="J13" s="30" t="s">
        <v>17</v>
      </c>
      <c r="K13">
        <v>6</v>
      </c>
      <c r="L13" s="29">
        <v>46023</v>
      </c>
      <c r="M13" s="29">
        <v>45736</v>
      </c>
      <c r="N13" s="30" t="str">
        <f>VLOOKUP(Query1[[#This Row],[company_name]],'Org Mapping'!$B:$I,8,FALSE)</f>
        <v>Jawad Ulla Khan</v>
      </c>
      <c r="O13" s="30" t="str">
        <f>TEXT(Query1[[#This Row],[last_work_day]],"mmm'yy")</f>
        <v>Jan'26</v>
      </c>
    </row>
    <row r="14" spans="1:15" x14ac:dyDescent="0.35">
      <c r="A14" s="30" t="s">
        <v>1302</v>
      </c>
      <c r="B14" s="30" t="s">
        <v>1303</v>
      </c>
      <c r="C14" s="30" t="s">
        <v>1304</v>
      </c>
      <c r="D14">
        <v>1</v>
      </c>
      <c r="E14" s="30" t="s">
        <v>1305</v>
      </c>
      <c r="F14" s="29">
        <v>44433</v>
      </c>
      <c r="G14">
        <v>186315.36</v>
      </c>
      <c r="H14">
        <v>186315.36</v>
      </c>
      <c r="I14" s="30" t="s">
        <v>21</v>
      </c>
      <c r="J14" s="30" t="s">
        <v>47</v>
      </c>
      <c r="K14">
        <v>6</v>
      </c>
      <c r="L14" s="29">
        <v>46031</v>
      </c>
      <c r="M14" s="29">
        <v>45715</v>
      </c>
      <c r="N14" s="30" t="str">
        <f>VLOOKUP(Query1[[#This Row],[company_name]],'Org Mapping'!$B:$I,8,FALSE)</f>
        <v>TBA</v>
      </c>
      <c r="O14" s="30" t="str">
        <f>TEXT(Query1[[#This Row],[last_work_day]],"mmm'yy")</f>
        <v>Jan'26</v>
      </c>
    </row>
    <row r="15" spans="1:15" x14ac:dyDescent="0.35">
      <c r="A15" s="30" t="s">
        <v>1281</v>
      </c>
      <c r="B15" s="30" t="s">
        <v>1281</v>
      </c>
      <c r="C15" s="30" t="s">
        <v>1306</v>
      </c>
      <c r="D15">
        <v>7</v>
      </c>
      <c r="E15" s="30" t="s">
        <v>1307</v>
      </c>
      <c r="F15" s="29">
        <v>44449</v>
      </c>
      <c r="G15">
        <v>75313.149999999994</v>
      </c>
      <c r="H15">
        <v>3243.15</v>
      </c>
      <c r="I15" s="30" t="s">
        <v>26</v>
      </c>
      <c r="J15" s="30" t="s">
        <v>28</v>
      </c>
      <c r="K15">
        <v>6</v>
      </c>
      <c r="L15" s="29">
        <v>46038</v>
      </c>
      <c r="M15" s="29">
        <v>46038</v>
      </c>
      <c r="N15" s="30" t="str">
        <f>VLOOKUP(Query1[[#This Row],[company_name]],'Org Mapping'!$B:$I,8,FALSE)</f>
        <v>TBA</v>
      </c>
      <c r="O15" s="30" t="str">
        <f>TEXT(Query1[[#This Row],[last_work_day]],"mmm'yy")</f>
        <v>Jan'26</v>
      </c>
    </row>
    <row r="16" spans="1:15" x14ac:dyDescent="0.35">
      <c r="A16" s="30" t="s">
        <v>1281</v>
      </c>
      <c r="B16" s="30" t="s">
        <v>1281</v>
      </c>
      <c r="C16" s="30" t="s">
        <v>1308</v>
      </c>
      <c r="D16">
        <v>7</v>
      </c>
      <c r="E16" s="30" t="s">
        <v>1309</v>
      </c>
      <c r="F16" s="29">
        <v>44428</v>
      </c>
      <c r="G16">
        <v>57725.8</v>
      </c>
      <c r="H16">
        <v>5335.8</v>
      </c>
      <c r="I16" s="30" t="s">
        <v>26</v>
      </c>
      <c r="J16" s="30" t="s">
        <v>28</v>
      </c>
      <c r="K16">
        <v>6</v>
      </c>
      <c r="L16" s="29">
        <v>46127</v>
      </c>
      <c r="M16" s="29">
        <v>46150</v>
      </c>
      <c r="N16" s="30" t="str">
        <f>VLOOKUP(Query1[[#This Row],[company_name]],'Org Mapping'!$B:$I,8,FALSE)</f>
        <v>TBA</v>
      </c>
      <c r="O16" s="30" t="str">
        <f>TEXT(Query1[[#This Row],[last_work_day]],"mmm'yy")</f>
        <v>Apr'26</v>
      </c>
    </row>
    <row r="17" spans="1:15" x14ac:dyDescent="0.35">
      <c r="A17" s="30" t="s">
        <v>1302</v>
      </c>
      <c r="B17" s="30" t="s">
        <v>1303</v>
      </c>
      <c r="C17" s="30" t="s">
        <v>1310</v>
      </c>
      <c r="D17">
        <v>1</v>
      </c>
      <c r="E17" s="30" t="s">
        <v>1311</v>
      </c>
      <c r="F17" s="29">
        <v>44434</v>
      </c>
      <c r="G17">
        <v>29166.67</v>
      </c>
      <c r="H17">
        <v>2651.67</v>
      </c>
      <c r="I17" s="30" t="s">
        <v>26</v>
      </c>
      <c r="J17" s="30" t="s">
        <v>41</v>
      </c>
      <c r="K17">
        <v>6</v>
      </c>
      <c r="L17" s="29">
        <v>46038</v>
      </c>
      <c r="M17" s="29">
        <v>46044</v>
      </c>
      <c r="N17" s="30" t="str">
        <f>VLOOKUP(Query1[[#This Row],[company_name]],'Org Mapping'!$B:$I,8,FALSE)</f>
        <v>(Sonia/Dikshitha)</v>
      </c>
      <c r="O17" s="30" t="str">
        <f>TEXT(Query1[[#This Row],[last_work_day]],"mmm'yy")</f>
        <v>Jan'26</v>
      </c>
    </row>
    <row r="18" spans="1:15" x14ac:dyDescent="0.35">
      <c r="A18" s="30" t="s">
        <v>1312</v>
      </c>
      <c r="B18" s="30" t="s">
        <v>39</v>
      </c>
      <c r="C18" s="30" t="s">
        <v>1313</v>
      </c>
      <c r="D18">
        <v>2</v>
      </c>
      <c r="E18" s="30" t="s">
        <v>1314</v>
      </c>
      <c r="F18" s="29">
        <v>44438</v>
      </c>
      <c r="G18">
        <v>92000</v>
      </c>
      <c r="H18">
        <v>34500</v>
      </c>
      <c r="I18" s="30" t="s">
        <v>26</v>
      </c>
      <c r="J18" s="30" t="s">
        <v>40</v>
      </c>
      <c r="K18">
        <v>6</v>
      </c>
      <c r="L18" s="29">
        <v>46128</v>
      </c>
      <c r="M18" s="29">
        <v>46045</v>
      </c>
      <c r="N18" s="30" t="str">
        <f>VLOOKUP(Query1[[#This Row],[company_name]],'Org Mapping'!$B:$I,8,FALSE)</f>
        <v>Mehr Hashim</v>
      </c>
      <c r="O18" s="30" t="str">
        <f>TEXT(Query1[[#This Row],[last_work_day]],"mmm'yy")</f>
        <v>Apr'26</v>
      </c>
    </row>
    <row r="19" spans="1:15" x14ac:dyDescent="0.35">
      <c r="A19" s="30" t="s">
        <v>1315</v>
      </c>
      <c r="B19" s="30" t="s">
        <v>1303</v>
      </c>
      <c r="C19" s="30" t="s">
        <v>1316</v>
      </c>
      <c r="D19">
        <v>1</v>
      </c>
      <c r="E19" s="30" t="s">
        <v>1317</v>
      </c>
      <c r="F19" s="29">
        <v>44448</v>
      </c>
      <c r="G19">
        <v>29166.67</v>
      </c>
      <c r="H19">
        <v>2651.67</v>
      </c>
      <c r="I19" s="30" t="s">
        <v>21</v>
      </c>
      <c r="J19" s="30" t="s">
        <v>41</v>
      </c>
      <c r="K19">
        <v>6</v>
      </c>
      <c r="L19" s="29">
        <v>46087</v>
      </c>
      <c r="M19" s="29">
        <v>45986</v>
      </c>
      <c r="N19" s="30" t="str">
        <f>VLOOKUP(Query1[[#This Row],[company_name]],'Org Mapping'!$B:$I,8,FALSE)</f>
        <v>(Sonia/Dikshitha)</v>
      </c>
      <c r="O19" s="30" t="str">
        <f>TEXT(Query1[[#This Row],[last_work_day]],"mmm'yy")</f>
        <v>Mar'26</v>
      </c>
    </row>
    <row r="20" spans="1:15" x14ac:dyDescent="0.35">
      <c r="A20" s="30" t="s">
        <v>1318</v>
      </c>
      <c r="B20" s="30" t="s">
        <v>1319</v>
      </c>
      <c r="C20" s="30" t="s">
        <v>1320</v>
      </c>
      <c r="D20">
        <v>2</v>
      </c>
      <c r="E20" s="30" t="s">
        <v>1321</v>
      </c>
      <c r="F20" s="29">
        <v>44459</v>
      </c>
      <c r="G20">
        <v>107688</v>
      </c>
      <c r="H20">
        <v>41022</v>
      </c>
      <c r="I20" s="30" t="s">
        <v>37</v>
      </c>
      <c r="J20" s="30" t="s">
        <v>50</v>
      </c>
      <c r="K20">
        <v>6</v>
      </c>
      <c r="L20" s="29">
        <v>46142</v>
      </c>
      <c r="M20" s="29">
        <v>46114</v>
      </c>
      <c r="N20" s="30" t="str">
        <f>VLOOKUP(Query1[[#This Row],[company_name]],'Org Mapping'!$B:$I,8,FALSE)</f>
        <v>TBA</v>
      </c>
      <c r="O20" s="30" t="str">
        <f>TEXT(Query1[[#This Row],[last_work_day]],"mmm'yy")</f>
        <v>Apr'26</v>
      </c>
    </row>
    <row r="21" spans="1:15" x14ac:dyDescent="0.35">
      <c r="A21" s="30" t="s">
        <v>1322</v>
      </c>
      <c r="B21" s="30" t="s">
        <v>39</v>
      </c>
      <c r="C21" s="30" t="s">
        <v>1323</v>
      </c>
      <c r="D21">
        <v>2</v>
      </c>
      <c r="E21" s="30" t="s">
        <v>1324</v>
      </c>
      <c r="F21" s="29">
        <v>44494</v>
      </c>
      <c r="G21">
        <v>110000</v>
      </c>
      <c r="H21">
        <v>18959</v>
      </c>
      <c r="I21" s="30" t="s">
        <v>26</v>
      </c>
      <c r="J21" s="30" t="s">
        <v>40</v>
      </c>
      <c r="K21">
        <v>6</v>
      </c>
      <c r="L21" s="29">
        <v>46083</v>
      </c>
      <c r="M21" s="29">
        <v>45992</v>
      </c>
      <c r="N21" s="30" t="str">
        <f>VLOOKUP(Query1[[#This Row],[company_name]],'Org Mapping'!$B:$I,8,FALSE)</f>
        <v>Mehr Hashim</v>
      </c>
      <c r="O21" s="30" t="str">
        <f>TEXT(Query1[[#This Row],[last_work_day]],"mmm'yy")</f>
        <v>Mar'26</v>
      </c>
    </row>
    <row r="22" spans="1:15" x14ac:dyDescent="0.35">
      <c r="A22" s="30" t="s">
        <v>1281</v>
      </c>
      <c r="B22" s="30" t="s">
        <v>1281</v>
      </c>
      <c r="C22" s="30" t="s">
        <v>1325</v>
      </c>
      <c r="D22">
        <v>7</v>
      </c>
      <c r="E22" s="30" t="s">
        <v>1326</v>
      </c>
      <c r="F22" s="29">
        <v>44501</v>
      </c>
      <c r="G22">
        <v>67653.3</v>
      </c>
      <c r="H22">
        <v>6263.3</v>
      </c>
      <c r="I22" s="30" t="s">
        <v>26</v>
      </c>
      <c r="J22" s="30" t="s">
        <v>28</v>
      </c>
      <c r="K22">
        <v>6</v>
      </c>
      <c r="L22" s="29">
        <v>46127</v>
      </c>
      <c r="M22" s="29">
        <v>46150</v>
      </c>
      <c r="N22" s="30" t="str">
        <f>VLOOKUP(Query1[[#This Row],[company_name]],'Org Mapping'!$B:$I,8,FALSE)</f>
        <v>TBA</v>
      </c>
      <c r="O22" s="30" t="str">
        <f>TEXT(Query1[[#This Row],[last_work_day]],"mmm'yy")</f>
        <v>Apr'26</v>
      </c>
    </row>
    <row r="23" spans="1:15" x14ac:dyDescent="0.35">
      <c r="A23" s="30" t="s">
        <v>1281</v>
      </c>
      <c r="B23" s="30" t="s">
        <v>1281</v>
      </c>
      <c r="C23" s="30" t="s">
        <v>1327</v>
      </c>
      <c r="D23">
        <v>7</v>
      </c>
      <c r="E23" s="30" t="s">
        <v>1328</v>
      </c>
      <c r="F23" s="29">
        <v>44554</v>
      </c>
      <c r="G23">
        <v>88323.4</v>
      </c>
      <c r="H23">
        <v>3803.4</v>
      </c>
      <c r="I23" s="30" t="s">
        <v>26</v>
      </c>
      <c r="J23" s="30" t="s">
        <v>28</v>
      </c>
      <c r="K23">
        <v>6</v>
      </c>
      <c r="L23" s="29">
        <v>46094</v>
      </c>
      <c r="M23" s="29">
        <v>46092</v>
      </c>
      <c r="N23" s="30" t="str">
        <f>VLOOKUP(Query1[[#This Row],[company_name]],'Org Mapping'!$B:$I,8,FALSE)</f>
        <v>TBA</v>
      </c>
      <c r="O23" s="30" t="str">
        <f>TEXT(Query1[[#This Row],[last_work_day]],"mmm'yy")</f>
        <v>Mar'26</v>
      </c>
    </row>
    <row r="24" spans="1:15" x14ac:dyDescent="0.35">
      <c r="A24" s="30" t="s">
        <v>1281</v>
      </c>
      <c r="B24" s="30" t="s">
        <v>1281</v>
      </c>
      <c r="C24" s="30" t="s">
        <v>1329</v>
      </c>
      <c r="D24">
        <v>7</v>
      </c>
      <c r="E24" s="30" t="s">
        <v>1330</v>
      </c>
      <c r="F24" s="29">
        <v>44557</v>
      </c>
      <c r="G24">
        <v>57725.8</v>
      </c>
      <c r="H24">
        <v>5335.8</v>
      </c>
      <c r="I24" s="30" t="s">
        <v>26</v>
      </c>
      <c r="J24" s="30" t="s">
        <v>28</v>
      </c>
      <c r="K24">
        <v>6</v>
      </c>
      <c r="L24" s="29">
        <v>46127</v>
      </c>
      <c r="M24" s="29">
        <v>46150</v>
      </c>
      <c r="N24" s="30" t="str">
        <f>VLOOKUP(Query1[[#This Row],[company_name]],'Org Mapping'!$B:$I,8,FALSE)</f>
        <v>TBA</v>
      </c>
      <c r="O24" s="30" t="str">
        <f>TEXT(Query1[[#This Row],[last_work_day]],"mmm'yy")</f>
        <v>Apr'26</v>
      </c>
    </row>
    <row r="25" spans="1:15" x14ac:dyDescent="0.35">
      <c r="A25" s="30" t="s">
        <v>1331</v>
      </c>
      <c r="B25" s="30" t="s">
        <v>1332</v>
      </c>
      <c r="C25" s="30" t="s">
        <v>1333</v>
      </c>
      <c r="D25">
        <v>2</v>
      </c>
      <c r="E25" s="30" t="s">
        <v>1334</v>
      </c>
      <c r="F25" s="29">
        <v>44573</v>
      </c>
      <c r="G25">
        <v>267170.40000000002</v>
      </c>
      <c r="H25">
        <v>56237.4</v>
      </c>
      <c r="I25" s="30" t="s">
        <v>26</v>
      </c>
      <c r="J25" s="30" t="s">
        <v>54</v>
      </c>
      <c r="K25">
        <v>6</v>
      </c>
      <c r="L25" s="29">
        <v>46091</v>
      </c>
      <c r="M25" s="29">
        <v>46055</v>
      </c>
      <c r="N25" s="30" t="str">
        <f>VLOOKUP(Query1[[#This Row],[company_name]],'Org Mapping'!$B:$I,8,FALSE)</f>
        <v>TBA</v>
      </c>
      <c r="O25" s="30" t="str">
        <f>TEXT(Query1[[#This Row],[last_work_day]],"mmm'yy")</f>
        <v>Mar'26</v>
      </c>
    </row>
    <row r="26" spans="1:15" x14ac:dyDescent="0.35">
      <c r="A26" s="30" t="s">
        <v>1281</v>
      </c>
      <c r="B26" s="30" t="s">
        <v>1281</v>
      </c>
      <c r="C26" s="30" t="s">
        <v>1335</v>
      </c>
      <c r="D26">
        <v>7</v>
      </c>
      <c r="E26" s="30" t="s">
        <v>1336</v>
      </c>
      <c r="F26" s="29">
        <v>44564</v>
      </c>
      <c r="G26">
        <v>33272.800000000003</v>
      </c>
      <c r="H26">
        <v>2832.8</v>
      </c>
      <c r="I26" s="30" t="s">
        <v>26</v>
      </c>
      <c r="J26" s="30" t="s">
        <v>28</v>
      </c>
      <c r="K26">
        <v>6</v>
      </c>
      <c r="L26" s="29">
        <v>46127</v>
      </c>
      <c r="M26" s="29">
        <v>46150</v>
      </c>
      <c r="N26" s="30" t="str">
        <f>VLOOKUP(Query1[[#This Row],[company_name]],'Org Mapping'!$B:$I,8,FALSE)</f>
        <v>TBA</v>
      </c>
      <c r="O26" s="30" t="str">
        <f>TEXT(Query1[[#This Row],[last_work_day]],"mmm'yy")</f>
        <v>Apr'26</v>
      </c>
    </row>
    <row r="27" spans="1:15" x14ac:dyDescent="0.35">
      <c r="A27" s="30" t="s">
        <v>53</v>
      </c>
      <c r="B27" s="30" t="s">
        <v>18</v>
      </c>
      <c r="C27" s="30" t="s">
        <v>56</v>
      </c>
      <c r="D27">
        <v>6</v>
      </c>
      <c r="E27" s="30" t="s">
        <v>57</v>
      </c>
      <c r="F27" s="29">
        <v>44578</v>
      </c>
      <c r="G27">
        <v>35685</v>
      </c>
      <c r="H27">
        <v>5185</v>
      </c>
      <c r="I27" s="30" t="s">
        <v>16</v>
      </c>
      <c r="J27" s="30" t="s">
        <v>17</v>
      </c>
      <c r="K27">
        <v>6</v>
      </c>
      <c r="L27" s="29">
        <v>46097</v>
      </c>
      <c r="M27" s="29">
        <v>46066</v>
      </c>
      <c r="N27" s="30" t="str">
        <f>VLOOKUP(Query1[[#This Row],[company_name]],'Org Mapping'!$B:$I,8,FALSE)</f>
        <v>Jawad Ulla Khan</v>
      </c>
      <c r="O27" s="30" t="str">
        <f>TEXT(Query1[[#This Row],[last_work_day]],"mmm'yy")</f>
        <v>Mar'26</v>
      </c>
    </row>
    <row r="28" spans="1:15" x14ac:dyDescent="0.35">
      <c r="A28" s="30" t="s">
        <v>53</v>
      </c>
      <c r="B28" s="30" t="s">
        <v>18</v>
      </c>
      <c r="C28" s="30" t="s">
        <v>58</v>
      </c>
      <c r="D28">
        <v>6</v>
      </c>
      <c r="E28" s="30" t="s">
        <v>59</v>
      </c>
      <c r="F28" s="29">
        <v>44585</v>
      </c>
      <c r="G28">
        <v>35685</v>
      </c>
      <c r="H28">
        <v>5185</v>
      </c>
      <c r="I28" s="30" t="s">
        <v>16</v>
      </c>
      <c r="J28" s="30" t="s">
        <v>17</v>
      </c>
      <c r="K28">
        <v>6</v>
      </c>
      <c r="L28" s="29">
        <v>46044</v>
      </c>
      <c r="M28" s="29">
        <v>46000</v>
      </c>
      <c r="N28" s="30" t="str">
        <f>VLOOKUP(Query1[[#This Row],[company_name]],'Org Mapping'!$B:$I,8,FALSE)</f>
        <v>Jawad Ulla Khan</v>
      </c>
      <c r="O28" s="30" t="str">
        <f>TEXT(Query1[[#This Row],[last_work_day]],"mmm'yy")</f>
        <v>Jan'26</v>
      </c>
    </row>
    <row r="29" spans="1:15" x14ac:dyDescent="0.35">
      <c r="A29" s="30" t="s">
        <v>51</v>
      </c>
      <c r="B29" s="30" t="s">
        <v>18</v>
      </c>
      <c r="C29" s="30" t="s">
        <v>60</v>
      </c>
      <c r="D29">
        <v>6</v>
      </c>
      <c r="E29" s="30" t="s">
        <v>61</v>
      </c>
      <c r="F29" s="29">
        <v>44585</v>
      </c>
      <c r="G29">
        <v>35685</v>
      </c>
      <c r="H29">
        <v>5185</v>
      </c>
      <c r="I29" s="30" t="s">
        <v>16</v>
      </c>
      <c r="J29" s="30" t="s">
        <v>17</v>
      </c>
      <c r="K29">
        <v>6</v>
      </c>
      <c r="L29" s="29">
        <v>46045</v>
      </c>
      <c r="M29" s="29">
        <v>46000</v>
      </c>
      <c r="N29" s="30" t="str">
        <f>VLOOKUP(Query1[[#This Row],[company_name]],'Org Mapping'!$B:$I,8,FALSE)</f>
        <v>Jawad Ulla Khan</v>
      </c>
      <c r="O29" s="30" t="str">
        <f>TEXT(Query1[[#This Row],[last_work_day]],"mmm'yy")</f>
        <v>Jan'26</v>
      </c>
    </row>
    <row r="30" spans="1:15" x14ac:dyDescent="0.35">
      <c r="A30" s="30" t="s">
        <v>52</v>
      </c>
      <c r="B30" s="30" t="s">
        <v>18</v>
      </c>
      <c r="C30" s="30" t="s">
        <v>67</v>
      </c>
      <c r="D30">
        <v>6</v>
      </c>
      <c r="E30" s="30" t="s">
        <v>68</v>
      </c>
      <c r="F30" s="29">
        <v>44608</v>
      </c>
      <c r="G30">
        <v>48262.5</v>
      </c>
      <c r="H30">
        <v>7012.5</v>
      </c>
      <c r="I30" s="30" t="s">
        <v>16</v>
      </c>
      <c r="J30" s="30" t="s">
        <v>17</v>
      </c>
      <c r="K30">
        <v>6</v>
      </c>
      <c r="L30" s="29">
        <v>46066</v>
      </c>
      <c r="M30" s="29">
        <v>46056</v>
      </c>
      <c r="N30" s="30" t="str">
        <f>VLOOKUP(Query1[[#This Row],[company_name]],'Org Mapping'!$B:$I,8,FALSE)</f>
        <v>Jawad Ulla Khan</v>
      </c>
      <c r="O30" s="30" t="str">
        <f>TEXT(Query1[[#This Row],[last_work_day]],"mmm'yy")</f>
        <v>Feb'26</v>
      </c>
    </row>
    <row r="31" spans="1:15" x14ac:dyDescent="0.35">
      <c r="A31" s="30" t="s">
        <v>51</v>
      </c>
      <c r="B31" s="30" t="s">
        <v>18</v>
      </c>
      <c r="C31" s="30" t="s">
        <v>69</v>
      </c>
      <c r="D31">
        <v>6</v>
      </c>
      <c r="E31" s="30" t="s">
        <v>70</v>
      </c>
      <c r="F31" s="29">
        <v>44613</v>
      </c>
      <c r="G31">
        <v>32175</v>
      </c>
      <c r="H31">
        <v>4675</v>
      </c>
      <c r="I31" s="30" t="s">
        <v>16</v>
      </c>
      <c r="J31" s="30" t="s">
        <v>17</v>
      </c>
      <c r="K31">
        <v>6</v>
      </c>
      <c r="L31" s="29">
        <v>46058</v>
      </c>
      <c r="M31" s="29">
        <v>46041</v>
      </c>
      <c r="N31" s="30" t="str">
        <f>VLOOKUP(Query1[[#This Row],[company_name]],'Org Mapping'!$B:$I,8,FALSE)</f>
        <v>Jawad Ulla Khan</v>
      </c>
      <c r="O31" s="30" t="str">
        <f>TEXT(Query1[[#This Row],[last_work_day]],"mmm'yy")</f>
        <v>Feb'26</v>
      </c>
    </row>
    <row r="32" spans="1:15" x14ac:dyDescent="0.35">
      <c r="A32" s="30" t="s">
        <v>1337</v>
      </c>
      <c r="B32" s="30" t="s">
        <v>1338</v>
      </c>
      <c r="C32" s="30" t="s">
        <v>1339</v>
      </c>
      <c r="D32">
        <v>1</v>
      </c>
      <c r="E32" s="30" t="s">
        <v>1340</v>
      </c>
      <c r="F32" s="29">
        <v>44634</v>
      </c>
      <c r="G32">
        <v>126151.2</v>
      </c>
      <c r="H32">
        <v>126150.2</v>
      </c>
      <c r="I32" s="30" t="s">
        <v>1280</v>
      </c>
      <c r="J32" s="30" t="s">
        <v>47</v>
      </c>
      <c r="K32">
        <v>6</v>
      </c>
      <c r="L32" s="29">
        <v>46092</v>
      </c>
      <c r="M32" s="29">
        <v>46092</v>
      </c>
      <c r="N32" s="30" t="str">
        <f>VLOOKUP(Query1[[#This Row],[company_name]],'Org Mapping'!$B:$I,8,FALSE)</f>
        <v>TBA</v>
      </c>
      <c r="O32" s="30" t="str">
        <f>TEXT(Query1[[#This Row],[last_work_day]],"mmm'yy")</f>
        <v>Mar'26</v>
      </c>
    </row>
    <row r="33" spans="1:15" x14ac:dyDescent="0.35">
      <c r="A33" s="30" t="s">
        <v>53</v>
      </c>
      <c r="B33" s="30" t="s">
        <v>18</v>
      </c>
      <c r="C33" s="30" t="s">
        <v>71</v>
      </c>
      <c r="D33">
        <v>6</v>
      </c>
      <c r="E33" s="30" t="s">
        <v>72</v>
      </c>
      <c r="F33" s="29">
        <v>44627</v>
      </c>
      <c r="G33">
        <v>35685</v>
      </c>
      <c r="H33">
        <v>5185</v>
      </c>
      <c r="I33" s="30" t="s">
        <v>16</v>
      </c>
      <c r="J33" s="30" t="s">
        <v>17</v>
      </c>
      <c r="K33">
        <v>6</v>
      </c>
      <c r="L33" s="29">
        <v>46087</v>
      </c>
      <c r="M33" s="29">
        <v>46041</v>
      </c>
      <c r="N33" s="30" t="str">
        <f>VLOOKUP(Query1[[#This Row],[company_name]],'Org Mapping'!$B:$I,8,FALSE)</f>
        <v>Jawad Ulla Khan</v>
      </c>
      <c r="O33" s="30" t="str">
        <f>TEXT(Query1[[#This Row],[last_work_day]],"mmm'yy")</f>
        <v>Mar'26</v>
      </c>
    </row>
    <row r="34" spans="1:15" x14ac:dyDescent="0.35">
      <c r="A34" s="30" t="s">
        <v>29</v>
      </c>
      <c r="B34" s="30" t="s">
        <v>18</v>
      </c>
      <c r="C34" s="30" t="s">
        <v>77</v>
      </c>
      <c r="D34">
        <v>6</v>
      </c>
      <c r="E34" s="30" t="s">
        <v>78</v>
      </c>
      <c r="F34" s="29">
        <v>44659</v>
      </c>
      <c r="G34">
        <v>35685</v>
      </c>
      <c r="H34">
        <v>5185</v>
      </c>
      <c r="I34" s="30" t="s">
        <v>16</v>
      </c>
      <c r="J34" s="30" t="s">
        <v>17</v>
      </c>
      <c r="K34">
        <v>6</v>
      </c>
      <c r="L34" s="29">
        <v>46106</v>
      </c>
      <c r="M34" s="29">
        <v>46041</v>
      </c>
      <c r="N34" s="30" t="str">
        <f>VLOOKUP(Query1[[#This Row],[company_name]],'Org Mapping'!$B:$I,8,FALSE)</f>
        <v>Jawad Ulla Khan</v>
      </c>
      <c r="O34" s="30" t="str">
        <f>TEXT(Query1[[#This Row],[last_work_day]],"mmm'yy")</f>
        <v>Mar'26</v>
      </c>
    </row>
    <row r="35" spans="1:15" x14ac:dyDescent="0.35">
      <c r="A35" s="30" t="s">
        <v>53</v>
      </c>
      <c r="B35" s="30" t="s">
        <v>18</v>
      </c>
      <c r="C35" s="30" t="s">
        <v>79</v>
      </c>
      <c r="D35">
        <v>6</v>
      </c>
      <c r="E35" s="30" t="s">
        <v>80</v>
      </c>
      <c r="F35" s="29">
        <v>44659</v>
      </c>
      <c r="G35">
        <v>35685</v>
      </c>
      <c r="H35">
        <v>5185</v>
      </c>
      <c r="I35" s="30" t="s">
        <v>16</v>
      </c>
      <c r="J35" s="30" t="s">
        <v>17</v>
      </c>
      <c r="K35">
        <v>6</v>
      </c>
      <c r="L35" s="29">
        <v>46114</v>
      </c>
      <c r="M35" s="29">
        <v>46041</v>
      </c>
      <c r="N35" s="30" t="str">
        <f>VLOOKUP(Query1[[#This Row],[company_name]],'Org Mapping'!$B:$I,8,FALSE)</f>
        <v>Jawad Ulla Khan</v>
      </c>
      <c r="O35" s="30" t="str">
        <f>TEXT(Query1[[#This Row],[last_work_day]],"mmm'yy")</f>
        <v>Apr'26</v>
      </c>
    </row>
    <row r="36" spans="1:15" x14ac:dyDescent="0.35">
      <c r="A36" s="30" t="s">
        <v>1341</v>
      </c>
      <c r="B36" s="30" t="s">
        <v>39</v>
      </c>
      <c r="C36" s="30" t="s">
        <v>1342</v>
      </c>
      <c r="D36">
        <v>2</v>
      </c>
      <c r="E36" s="30" t="s">
        <v>1343</v>
      </c>
      <c r="F36" s="29">
        <v>44662</v>
      </c>
      <c r="G36">
        <v>207975</v>
      </c>
      <c r="H36">
        <v>120475</v>
      </c>
      <c r="I36" s="30" t="s">
        <v>16</v>
      </c>
      <c r="J36" s="30" t="s">
        <v>31</v>
      </c>
      <c r="K36">
        <v>6</v>
      </c>
      <c r="L36" s="29">
        <v>46036</v>
      </c>
      <c r="M36" s="29">
        <v>46008</v>
      </c>
      <c r="N36" s="30" t="str">
        <f>VLOOKUP(Query1[[#This Row],[company_name]],'Org Mapping'!$B:$I,8,FALSE)</f>
        <v>Mehr Hashim</v>
      </c>
      <c r="O36" s="30" t="str">
        <f>TEXT(Query1[[#This Row],[last_work_day]],"mmm'yy")</f>
        <v>Jan'26</v>
      </c>
    </row>
    <row r="37" spans="1:15" x14ac:dyDescent="0.35">
      <c r="A37" s="30" t="s">
        <v>1344</v>
      </c>
      <c r="B37" s="30" t="s">
        <v>1345</v>
      </c>
      <c r="C37" s="30" t="s">
        <v>1346</v>
      </c>
      <c r="D37">
        <v>2</v>
      </c>
      <c r="E37" s="30" t="s">
        <v>1347</v>
      </c>
      <c r="F37" s="29">
        <v>44680</v>
      </c>
      <c r="G37">
        <v>137088</v>
      </c>
      <c r="H37">
        <v>41255</v>
      </c>
      <c r="I37" s="30" t="s">
        <v>21</v>
      </c>
      <c r="J37" s="30" t="s">
        <v>48</v>
      </c>
      <c r="K37">
        <v>6</v>
      </c>
      <c r="L37" s="29">
        <v>46057</v>
      </c>
      <c r="M37" s="29">
        <v>46058</v>
      </c>
      <c r="N37" s="30" t="str">
        <f>VLOOKUP(Query1[[#This Row],[company_name]],'Org Mapping'!$B:$I,8,FALSE)</f>
        <v>Prathap Sagar</v>
      </c>
      <c r="O37" s="30" t="str">
        <f>TEXT(Query1[[#This Row],[last_work_day]],"mmm'yy")</f>
        <v>Feb'26</v>
      </c>
    </row>
    <row r="38" spans="1:15" x14ac:dyDescent="0.35">
      <c r="A38" s="30" t="s">
        <v>42</v>
      </c>
      <c r="B38" s="30" t="s">
        <v>18</v>
      </c>
      <c r="C38" s="30" t="s">
        <v>81</v>
      </c>
      <c r="D38">
        <v>6</v>
      </c>
      <c r="E38" s="30" t="s">
        <v>82</v>
      </c>
      <c r="F38" s="29">
        <v>44676</v>
      </c>
      <c r="G38">
        <v>35685</v>
      </c>
      <c r="H38">
        <v>5185</v>
      </c>
      <c r="I38" s="30" t="s">
        <v>16</v>
      </c>
      <c r="J38" s="30" t="s">
        <v>17</v>
      </c>
      <c r="K38">
        <v>6</v>
      </c>
      <c r="L38" s="29">
        <v>46131</v>
      </c>
      <c r="M38" s="29">
        <v>45516</v>
      </c>
      <c r="N38" s="30" t="str">
        <f>VLOOKUP(Query1[[#This Row],[company_name]],'Org Mapping'!$B:$I,8,FALSE)</f>
        <v>Jawad Ulla Khan</v>
      </c>
      <c r="O38" s="30" t="str">
        <f>TEXT(Query1[[#This Row],[last_work_day]],"mmm'yy")</f>
        <v>Apr'26</v>
      </c>
    </row>
    <row r="39" spans="1:15" x14ac:dyDescent="0.35">
      <c r="A39" s="30" t="s">
        <v>29</v>
      </c>
      <c r="B39" s="30" t="s">
        <v>18</v>
      </c>
      <c r="C39" s="30" t="s">
        <v>83</v>
      </c>
      <c r="D39">
        <v>6</v>
      </c>
      <c r="E39" s="30" t="s">
        <v>84</v>
      </c>
      <c r="F39" s="29">
        <v>44680</v>
      </c>
      <c r="G39">
        <v>35685</v>
      </c>
      <c r="H39">
        <v>5185</v>
      </c>
      <c r="I39" s="30" t="s">
        <v>16</v>
      </c>
      <c r="J39" s="30" t="s">
        <v>17</v>
      </c>
      <c r="K39">
        <v>6</v>
      </c>
      <c r="L39" s="29">
        <v>46140</v>
      </c>
      <c r="M39" s="29">
        <v>46041</v>
      </c>
      <c r="N39" s="30" t="str">
        <f>VLOOKUP(Query1[[#This Row],[company_name]],'Org Mapping'!$B:$I,8,FALSE)</f>
        <v>Jawad Ulla Khan</v>
      </c>
      <c r="O39" s="30" t="str">
        <f>TEXT(Query1[[#This Row],[last_work_day]],"mmm'yy")</f>
        <v>Apr'26</v>
      </c>
    </row>
    <row r="40" spans="1:15" x14ac:dyDescent="0.35">
      <c r="A40" s="30" t="s">
        <v>52</v>
      </c>
      <c r="B40" s="30" t="s">
        <v>18</v>
      </c>
      <c r="C40" s="30" t="s">
        <v>85</v>
      </c>
      <c r="D40">
        <v>6</v>
      </c>
      <c r="E40" s="30" t="s">
        <v>86</v>
      </c>
      <c r="F40" s="29">
        <v>44677</v>
      </c>
      <c r="G40">
        <v>42166.67</v>
      </c>
      <c r="H40">
        <v>3833.67</v>
      </c>
      <c r="I40" s="30" t="s">
        <v>16</v>
      </c>
      <c r="J40" s="30" t="s">
        <v>17</v>
      </c>
      <c r="K40">
        <v>6</v>
      </c>
      <c r="L40" s="29">
        <v>46138</v>
      </c>
      <c r="M40" s="29">
        <v>46139</v>
      </c>
      <c r="N40" s="30" t="str">
        <f>VLOOKUP(Query1[[#This Row],[company_name]],'Org Mapping'!$B:$I,8,FALSE)</f>
        <v>Jawad Ulla Khan</v>
      </c>
      <c r="O40" s="30" t="str">
        <f>TEXT(Query1[[#This Row],[last_work_day]],"mmm'yy")</f>
        <v>Apr'26</v>
      </c>
    </row>
    <row r="41" spans="1:15" x14ac:dyDescent="0.35">
      <c r="A41" s="30" t="s">
        <v>1348</v>
      </c>
      <c r="B41" s="30" t="s">
        <v>39</v>
      </c>
      <c r="C41" s="30" t="s">
        <v>1349</v>
      </c>
      <c r="D41">
        <v>2</v>
      </c>
      <c r="E41" s="30" t="s">
        <v>1350</v>
      </c>
      <c r="F41" s="29">
        <v>44687</v>
      </c>
      <c r="G41">
        <v>180540</v>
      </c>
      <c r="H41">
        <v>67140</v>
      </c>
      <c r="I41" s="30" t="s">
        <v>26</v>
      </c>
      <c r="J41" s="30" t="s">
        <v>40</v>
      </c>
      <c r="K41">
        <v>6</v>
      </c>
      <c r="L41" s="29">
        <v>46105</v>
      </c>
      <c r="M41" s="29">
        <v>46049</v>
      </c>
      <c r="N41" s="30" t="str">
        <f>VLOOKUP(Query1[[#This Row],[company_name]],'Org Mapping'!$B:$I,8,FALSE)</f>
        <v>Mehr Hashim</v>
      </c>
      <c r="O41" s="30" t="str">
        <f>TEXT(Query1[[#This Row],[last_work_day]],"mmm'yy")</f>
        <v>Mar'26</v>
      </c>
    </row>
    <row r="42" spans="1:15" x14ac:dyDescent="0.35">
      <c r="A42" s="30" t="s">
        <v>42</v>
      </c>
      <c r="B42" s="30" t="s">
        <v>18</v>
      </c>
      <c r="C42" s="30" t="s">
        <v>93</v>
      </c>
      <c r="D42">
        <v>6</v>
      </c>
      <c r="E42" s="30" t="s">
        <v>94</v>
      </c>
      <c r="F42" s="29">
        <v>44704</v>
      </c>
      <c r="G42">
        <v>35685</v>
      </c>
      <c r="H42">
        <v>5185</v>
      </c>
      <c r="I42" s="30" t="s">
        <v>16</v>
      </c>
      <c r="J42" s="30" t="s">
        <v>17</v>
      </c>
      <c r="K42">
        <v>6</v>
      </c>
      <c r="L42" s="29">
        <v>46164</v>
      </c>
      <c r="M42" s="29">
        <v>46115</v>
      </c>
      <c r="N42" s="30" t="str">
        <f>VLOOKUP(Query1[[#This Row],[company_name]],'Org Mapping'!$B:$I,8,FALSE)</f>
        <v>Jawad Ulla Khan</v>
      </c>
      <c r="O42" s="30" t="str">
        <f>TEXT(Query1[[#This Row],[last_work_day]],"mmm'yy")</f>
        <v>May'26</v>
      </c>
    </row>
    <row r="43" spans="1:15" x14ac:dyDescent="0.35">
      <c r="A43" s="30" t="s">
        <v>29</v>
      </c>
      <c r="B43" s="30" t="s">
        <v>18</v>
      </c>
      <c r="C43" s="30" t="s">
        <v>96</v>
      </c>
      <c r="D43">
        <v>6</v>
      </c>
      <c r="E43" s="30" t="s">
        <v>97</v>
      </c>
      <c r="F43" s="29">
        <v>44704</v>
      </c>
      <c r="G43">
        <v>35685</v>
      </c>
      <c r="H43">
        <v>5185</v>
      </c>
      <c r="I43" s="30" t="s">
        <v>16</v>
      </c>
      <c r="J43" s="30" t="s">
        <v>17</v>
      </c>
      <c r="K43">
        <v>6</v>
      </c>
      <c r="L43" s="29">
        <v>46164</v>
      </c>
      <c r="M43" s="29">
        <v>46115</v>
      </c>
      <c r="N43" s="30" t="str">
        <f>VLOOKUP(Query1[[#This Row],[company_name]],'Org Mapping'!$B:$I,8,FALSE)</f>
        <v>Jawad Ulla Khan</v>
      </c>
      <c r="O43" s="30" t="str">
        <f>TEXT(Query1[[#This Row],[last_work_day]],"mmm'yy")</f>
        <v>May'26</v>
      </c>
    </row>
    <row r="44" spans="1:15" x14ac:dyDescent="0.35">
      <c r="A44" s="30" t="s">
        <v>1348</v>
      </c>
      <c r="B44" s="30" t="s">
        <v>39</v>
      </c>
      <c r="C44" s="30" t="s">
        <v>1351</v>
      </c>
      <c r="D44">
        <v>2</v>
      </c>
      <c r="E44" s="30" t="s">
        <v>1352</v>
      </c>
      <c r="F44" s="29">
        <v>44725</v>
      </c>
      <c r="G44">
        <v>207975</v>
      </c>
      <c r="H44">
        <v>116309</v>
      </c>
      <c r="I44" s="30" t="s">
        <v>26</v>
      </c>
      <c r="J44" s="30" t="s">
        <v>40</v>
      </c>
      <c r="K44">
        <v>6</v>
      </c>
      <c r="L44" s="29">
        <v>46086</v>
      </c>
      <c r="M44" s="29">
        <v>46045</v>
      </c>
      <c r="N44" s="30" t="str">
        <f>VLOOKUP(Query1[[#This Row],[company_name]],'Org Mapping'!$B:$I,8,FALSE)</f>
        <v>Mehr Hashim</v>
      </c>
      <c r="O44" s="30" t="str">
        <f>TEXT(Query1[[#This Row],[last_work_day]],"mmm'yy")</f>
        <v>Mar'26</v>
      </c>
    </row>
    <row r="45" spans="1:15" x14ac:dyDescent="0.35">
      <c r="A45" s="30" t="s">
        <v>1353</v>
      </c>
      <c r="B45" s="30" t="s">
        <v>1354</v>
      </c>
      <c r="C45" s="30" t="s">
        <v>1355</v>
      </c>
      <c r="D45">
        <v>4</v>
      </c>
      <c r="E45" s="30" t="s">
        <v>1356</v>
      </c>
      <c r="F45" s="29">
        <v>44718</v>
      </c>
      <c r="G45">
        <v>26000</v>
      </c>
      <c r="H45">
        <v>3410</v>
      </c>
      <c r="I45" s="30" t="s">
        <v>37</v>
      </c>
      <c r="J45" s="30" t="s">
        <v>27</v>
      </c>
      <c r="K45">
        <v>6</v>
      </c>
      <c r="L45" s="29">
        <v>46080</v>
      </c>
      <c r="M45" s="29">
        <v>45362</v>
      </c>
      <c r="N45" s="30" t="str">
        <f>VLOOKUP(Query1[[#This Row],[company_name]],'Org Mapping'!$B:$I,8,FALSE)</f>
        <v>TBA</v>
      </c>
      <c r="O45" s="30" t="str">
        <f>TEXT(Query1[[#This Row],[last_work_day]],"mmm'yy")</f>
        <v>Feb'26</v>
      </c>
    </row>
    <row r="46" spans="1:15" x14ac:dyDescent="0.35">
      <c r="A46" s="30" t="s">
        <v>1357</v>
      </c>
      <c r="B46" s="30" t="s">
        <v>1358</v>
      </c>
      <c r="C46" s="30" t="s">
        <v>1359</v>
      </c>
      <c r="D46">
        <v>2</v>
      </c>
      <c r="E46" s="30" t="s">
        <v>1360</v>
      </c>
      <c r="F46" s="29">
        <v>44739</v>
      </c>
      <c r="G46">
        <v>425000</v>
      </c>
      <c r="H46">
        <v>300000</v>
      </c>
      <c r="I46" s="30" t="s">
        <v>26</v>
      </c>
      <c r="J46" s="30" t="s">
        <v>99</v>
      </c>
      <c r="K46">
        <v>6</v>
      </c>
      <c r="L46" s="29">
        <v>46127</v>
      </c>
      <c r="M46" s="29">
        <v>46084</v>
      </c>
      <c r="N46" s="30" t="str">
        <f>VLOOKUP(Query1[[#This Row],[company_name]],'Org Mapping'!$B:$I,8,FALSE)</f>
        <v>TBA</v>
      </c>
      <c r="O46" s="30" t="str">
        <f>TEXT(Query1[[#This Row],[last_work_day]],"mmm'yy")</f>
        <v>Apr'26</v>
      </c>
    </row>
    <row r="47" spans="1:15" x14ac:dyDescent="0.35">
      <c r="A47" s="30" t="s">
        <v>43</v>
      </c>
      <c r="B47" s="30" t="s">
        <v>18</v>
      </c>
      <c r="C47" s="30" t="s">
        <v>100</v>
      </c>
      <c r="D47">
        <v>6</v>
      </c>
      <c r="E47" s="30" t="s">
        <v>101</v>
      </c>
      <c r="F47" s="29">
        <v>44742</v>
      </c>
      <c r="G47">
        <v>35685</v>
      </c>
      <c r="H47">
        <v>5185</v>
      </c>
      <c r="I47" s="30" t="s">
        <v>16</v>
      </c>
      <c r="J47" s="30" t="s">
        <v>17</v>
      </c>
      <c r="K47">
        <v>6</v>
      </c>
      <c r="L47" s="29">
        <v>46155</v>
      </c>
      <c r="M47" s="29">
        <v>46115</v>
      </c>
      <c r="N47" s="30" t="str">
        <f>VLOOKUP(Query1[[#This Row],[company_name]],'Org Mapping'!$B:$I,8,FALSE)</f>
        <v>Jawad Ulla Khan</v>
      </c>
      <c r="O47" s="30" t="str">
        <f>TEXT(Query1[[#This Row],[last_work_day]],"mmm'yy")</f>
        <v>May'26</v>
      </c>
    </row>
    <row r="48" spans="1:15" x14ac:dyDescent="0.35">
      <c r="A48" s="30" t="s">
        <v>1361</v>
      </c>
      <c r="B48" s="30" t="s">
        <v>39</v>
      </c>
      <c r="C48" s="30" t="s">
        <v>104</v>
      </c>
      <c r="D48">
        <v>2</v>
      </c>
      <c r="E48" s="30" t="s">
        <v>1362</v>
      </c>
      <c r="F48" s="29">
        <v>44750</v>
      </c>
      <c r="G48">
        <v>420000</v>
      </c>
      <c r="H48">
        <v>84334</v>
      </c>
      <c r="I48" s="30" t="s">
        <v>16</v>
      </c>
      <c r="J48" s="30" t="s">
        <v>64</v>
      </c>
      <c r="K48">
        <v>6</v>
      </c>
      <c r="L48" s="29">
        <v>46112</v>
      </c>
      <c r="M48" s="29">
        <v>46077</v>
      </c>
      <c r="N48" s="30" t="str">
        <f>VLOOKUP(Query1[[#This Row],[company_name]],'Org Mapping'!$B:$I,8,FALSE)</f>
        <v>Mehr Hashim</v>
      </c>
      <c r="O48" s="30" t="str">
        <f>TEXT(Query1[[#This Row],[last_work_day]],"mmm'yy")</f>
        <v>Mar'26</v>
      </c>
    </row>
    <row r="49" spans="1:15" x14ac:dyDescent="0.35">
      <c r="A49" s="30" t="s">
        <v>1363</v>
      </c>
      <c r="B49" s="30" t="s">
        <v>1364</v>
      </c>
      <c r="C49" s="30" t="s">
        <v>1365</v>
      </c>
      <c r="D49">
        <v>2</v>
      </c>
      <c r="E49" s="30" t="s">
        <v>1366</v>
      </c>
      <c r="F49" s="29">
        <v>44767</v>
      </c>
      <c r="G49">
        <v>385000</v>
      </c>
      <c r="H49">
        <v>68334</v>
      </c>
      <c r="I49" s="30" t="s">
        <v>16</v>
      </c>
      <c r="J49" s="30" t="s">
        <v>106</v>
      </c>
      <c r="K49">
        <v>6</v>
      </c>
      <c r="L49" s="29">
        <v>46112</v>
      </c>
      <c r="M49" s="29">
        <v>46070</v>
      </c>
      <c r="N49" s="30" t="str">
        <f>VLOOKUP(Query1[[#This Row],[company_name]],'Org Mapping'!$B:$I,8,FALSE)</f>
        <v>Sadhna Shukla</v>
      </c>
      <c r="O49" s="30" t="str">
        <f>TEXT(Query1[[#This Row],[last_work_day]],"mmm'yy")</f>
        <v>Mar'26</v>
      </c>
    </row>
    <row r="50" spans="1:15" x14ac:dyDescent="0.35">
      <c r="A50" s="30" t="s">
        <v>1367</v>
      </c>
      <c r="B50" s="30" t="s">
        <v>1368</v>
      </c>
      <c r="C50" s="30" t="s">
        <v>1369</v>
      </c>
      <c r="D50">
        <v>2</v>
      </c>
      <c r="E50" s="30" t="s">
        <v>1370</v>
      </c>
      <c r="F50" s="29">
        <v>44791</v>
      </c>
      <c r="G50">
        <v>125506</v>
      </c>
      <c r="H50">
        <v>39256</v>
      </c>
      <c r="I50" s="30" t="s">
        <v>21</v>
      </c>
      <c r="J50" s="30" t="s">
        <v>108</v>
      </c>
      <c r="K50">
        <v>6</v>
      </c>
      <c r="L50" s="29">
        <v>46119</v>
      </c>
      <c r="M50" s="29">
        <v>44958</v>
      </c>
      <c r="N50" s="30" t="str">
        <f>VLOOKUP(Query1[[#This Row],[company_name]],'Org Mapping'!$B:$I,8,FALSE)</f>
        <v>Anuradha</v>
      </c>
      <c r="O50" s="30" t="str">
        <f>TEXT(Query1[[#This Row],[last_work_day]],"mmm'yy")</f>
        <v>Apr'26</v>
      </c>
    </row>
    <row r="51" spans="1:15" x14ac:dyDescent="0.35">
      <c r="A51" s="30" t="s">
        <v>1371</v>
      </c>
      <c r="B51" s="30" t="s">
        <v>1368</v>
      </c>
      <c r="C51" s="30" t="s">
        <v>1372</v>
      </c>
      <c r="D51">
        <v>2</v>
      </c>
      <c r="E51" s="30" t="s">
        <v>1373</v>
      </c>
      <c r="F51" s="29">
        <v>44798</v>
      </c>
      <c r="G51">
        <v>125506</v>
      </c>
      <c r="H51">
        <v>42131</v>
      </c>
      <c r="I51" s="30" t="s">
        <v>26</v>
      </c>
      <c r="J51" s="30" t="s">
        <v>108</v>
      </c>
      <c r="K51">
        <v>6</v>
      </c>
      <c r="L51" s="29">
        <v>46079</v>
      </c>
      <c r="M51" s="29">
        <v>46066</v>
      </c>
      <c r="N51" s="30" t="str">
        <f>VLOOKUP(Query1[[#This Row],[company_name]],'Org Mapping'!$B:$I,8,FALSE)</f>
        <v>Anuradha</v>
      </c>
      <c r="O51" s="30" t="str">
        <f>TEXT(Query1[[#This Row],[last_work_day]],"mmm'yy")</f>
        <v>Feb'26</v>
      </c>
    </row>
    <row r="52" spans="1:15" x14ac:dyDescent="0.35">
      <c r="A52" s="30" t="s">
        <v>1348</v>
      </c>
      <c r="B52" s="30" t="s">
        <v>39</v>
      </c>
      <c r="C52" s="30" t="s">
        <v>1374</v>
      </c>
      <c r="D52">
        <v>2</v>
      </c>
      <c r="E52" s="30" t="s">
        <v>1375</v>
      </c>
      <c r="F52" s="29">
        <v>44798</v>
      </c>
      <c r="G52">
        <v>100000</v>
      </c>
      <c r="H52">
        <v>12500</v>
      </c>
      <c r="I52" s="30" t="s">
        <v>26</v>
      </c>
      <c r="J52" s="30" t="s">
        <v>49</v>
      </c>
      <c r="K52">
        <v>6</v>
      </c>
      <c r="L52" s="29">
        <v>46142</v>
      </c>
      <c r="M52" s="29">
        <v>45002</v>
      </c>
      <c r="N52" s="30" t="str">
        <f>VLOOKUP(Query1[[#This Row],[company_name]],'Org Mapping'!$B:$I,8,FALSE)</f>
        <v>Mehr Hashim</v>
      </c>
      <c r="O52" s="30" t="str">
        <f>TEXT(Query1[[#This Row],[last_work_day]],"mmm'yy")</f>
        <v>Apr'26</v>
      </c>
    </row>
    <row r="53" spans="1:15" x14ac:dyDescent="0.35">
      <c r="A53" s="30" t="s">
        <v>1376</v>
      </c>
      <c r="B53" s="30" t="s">
        <v>1377</v>
      </c>
      <c r="C53" s="30" t="s">
        <v>1378</v>
      </c>
      <c r="D53">
        <v>7</v>
      </c>
      <c r="E53" s="30" t="s">
        <v>1379</v>
      </c>
      <c r="F53" s="29">
        <v>44805</v>
      </c>
      <c r="G53">
        <v>60860.800000000003</v>
      </c>
      <c r="H53">
        <v>5620.8</v>
      </c>
      <c r="I53" s="30" t="s">
        <v>26</v>
      </c>
      <c r="J53" s="30" t="s">
        <v>28</v>
      </c>
      <c r="K53">
        <v>6</v>
      </c>
      <c r="L53" s="29">
        <v>46127</v>
      </c>
      <c r="M53" s="29">
        <v>46150</v>
      </c>
      <c r="N53" s="30" t="str">
        <f>VLOOKUP(Query1[[#This Row],[company_name]],'Org Mapping'!$B:$I,8,FALSE)</f>
        <v>TBA</v>
      </c>
      <c r="O53" s="30" t="str">
        <f>TEXT(Query1[[#This Row],[last_work_day]],"mmm'yy")</f>
        <v>Apr'26</v>
      </c>
    </row>
    <row r="54" spans="1:15" x14ac:dyDescent="0.35">
      <c r="A54" s="30" t="s">
        <v>29</v>
      </c>
      <c r="B54" s="30" t="s">
        <v>18</v>
      </c>
      <c r="C54" s="30" t="s">
        <v>111</v>
      </c>
      <c r="D54">
        <v>6</v>
      </c>
      <c r="E54" s="30" t="s">
        <v>112</v>
      </c>
      <c r="F54" s="29">
        <v>44809</v>
      </c>
      <c r="G54">
        <v>41037.75</v>
      </c>
      <c r="H54">
        <v>5962.75</v>
      </c>
      <c r="I54" s="30" t="s">
        <v>21</v>
      </c>
      <c r="J54" s="30" t="s">
        <v>17</v>
      </c>
      <c r="K54">
        <v>6</v>
      </c>
      <c r="L54" s="29">
        <v>46148</v>
      </c>
      <c r="M54" s="29">
        <v>46120</v>
      </c>
      <c r="N54" s="30" t="str">
        <f>VLOOKUP(Query1[[#This Row],[company_name]],'Org Mapping'!$B:$I,8,FALSE)</f>
        <v>Jawad Ulla Khan</v>
      </c>
      <c r="O54" s="30" t="str">
        <f>TEXT(Query1[[#This Row],[last_work_day]],"mmm'yy")</f>
        <v>May'26</v>
      </c>
    </row>
    <row r="55" spans="1:15" x14ac:dyDescent="0.35">
      <c r="A55" s="30" t="s">
        <v>1380</v>
      </c>
      <c r="B55" s="30" t="s">
        <v>1381</v>
      </c>
      <c r="C55" s="30" t="s">
        <v>1382</v>
      </c>
      <c r="D55">
        <v>1</v>
      </c>
      <c r="E55" s="30" t="s">
        <v>1383</v>
      </c>
      <c r="F55" s="29">
        <v>44834</v>
      </c>
      <c r="G55">
        <v>220000</v>
      </c>
      <c r="H55">
        <v>219999</v>
      </c>
      <c r="I55" s="30" t="s">
        <v>37</v>
      </c>
      <c r="J55" s="30" t="s">
        <v>116</v>
      </c>
      <c r="K55">
        <v>6</v>
      </c>
      <c r="L55" s="29">
        <v>46129</v>
      </c>
      <c r="M55" s="29">
        <v>46104</v>
      </c>
      <c r="N55" s="30" t="str">
        <f>VLOOKUP(Query1[[#This Row],[company_name]],'Org Mapping'!$B:$I,8,FALSE)</f>
        <v>Mehr Hashim</v>
      </c>
      <c r="O55" s="30" t="str">
        <f>TEXT(Query1[[#This Row],[last_work_day]],"mmm'yy")</f>
        <v>Apr'26</v>
      </c>
    </row>
    <row r="56" spans="1:15" x14ac:dyDescent="0.35">
      <c r="A56" s="30" t="s">
        <v>123</v>
      </c>
      <c r="B56" s="30" t="s">
        <v>18</v>
      </c>
      <c r="C56" s="30" t="s">
        <v>124</v>
      </c>
      <c r="D56">
        <v>6</v>
      </c>
      <c r="E56" s="30" t="s">
        <v>125</v>
      </c>
      <c r="F56" s="29">
        <v>44883</v>
      </c>
      <c r="G56">
        <v>35685</v>
      </c>
      <c r="H56">
        <v>5185</v>
      </c>
      <c r="I56" s="30" t="s">
        <v>26</v>
      </c>
      <c r="J56" s="30" t="s">
        <v>17</v>
      </c>
      <c r="K56">
        <v>6</v>
      </c>
      <c r="L56" s="29">
        <v>46157</v>
      </c>
      <c r="M56" s="29">
        <v>46154</v>
      </c>
      <c r="N56" s="30" t="str">
        <f>VLOOKUP(Query1[[#This Row],[company_name]],'Org Mapping'!$B:$I,8,FALSE)</f>
        <v>Jawad Ulla Khan</v>
      </c>
      <c r="O56" s="30" t="str">
        <f>TEXT(Query1[[#This Row],[last_work_day]],"mmm'yy")</f>
        <v>May'26</v>
      </c>
    </row>
    <row r="57" spans="1:15" x14ac:dyDescent="0.35">
      <c r="A57" s="30" t="s">
        <v>1384</v>
      </c>
      <c r="B57" s="30" t="s">
        <v>1377</v>
      </c>
      <c r="C57" s="30" t="s">
        <v>1385</v>
      </c>
      <c r="D57">
        <v>2</v>
      </c>
      <c r="E57" s="30" t="s">
        <v>1386</v>
      </c>
      <c r="F57" s="29">
        <v>44921</v>
      </c>
      <c r="G57">
        <v>137392.5</v>
      </c>
      <c r="H57">
        <v>74892.5</v>
      </c>
      <c r="I57" s="30" t="s">
        <v>16</v>
      </c>
      <c r="J57" s="30" t="s">
        <v>48</v>
      </c>
      <c r="K57">
        <v>6</v>
      </c>
      <c r="L57" s="29">
        <v>46066</v>
      </c>
      <c r="M57" s="29">
        <v>46035</v>
      </c>
      <c r="N57" s="30" t="str">
        <f>VLOOKUP(Query1[[#This Row],[company_name]],'Org Mapping'!$B:$I,8,FALSE)</f>
        <v>Prathap Sagar</v>
      </c>
      <c r="O57" s="30" t="str">
        <f>TEXT(Query1[[#This Row],[last_work_day]],"mmm'yy")</f>
        <v>Feb'26</v>
      </c>
    </row>
    <row r="58" spans="1:15" x14ac:dyDescent="0.35">
      <c r="A58" s="30" t="s">
        <v>88</v>
      </c>
      <c r="B58" s="30" t="s">
        <v>65</v>
      </c>
      <c r="C58" s="30" t="s">
        <v>127</v>
      </c>
      <c r="D58">
        <v>2</v>
      </c>
      <c r="E58" s="30" t="s">
        <v>128</v>
      </c>
      <c r="F58" s="29">
        <v>44928</v>
      </c>
      <c r="G58">
        <v>36040</v>
      </c>
      <c r="H58">
        <v>8498</v>
      </c>
      <c r="I58" s="30" t="s">
        <v>16</v>
      </c>
      <c r="J58" s="30" t="s">
        <v>76</v>
      </c>
      <c r="K58">
        <v>6</v>
      </c>
      <c r="L58" s="29">
        <v>46023</v>
      </c>
      <c r="M58" s="29">
        <v>45995</v>
      </c>
      <c r="N58" s="30" t="str">
        <f>VLOOKUP(Query1[[#This Row],[company_name]],'Org Mapping'!$B:$I,8,FALSE)</f>
        <v>Jawad Ulla Khan</v>
      </c>
      <c r="O58" s="30" t="str">
        <f>TEXT(Query1[[#This Row],[last_work_day]],"mmm'yy")</f>
        <v>Jan'26</v>
      </c>
    </row>
    <row r="59" spans="1:15" x14ac:dyDescent="0.35">
      <c r="A59" s="30" t="s">
        <v>75</v>
      </c>
      <c r="B59" s="30" t="s">
        <v>65</v>
      </c>
      <c r="C59" s="30" t="s">
        <v>129</v>
      </c>
      <c r="D59">
        <v>2</v>
      </c>
      <c r="E59" s="30" t="s">
        <v>130</v>
      </c>
      <c r="F59" s="29">
        <v>44935</v>
      </c>
      <c r="G59">
        <v>25580.04</v>
      </c>
      <c r="H59">
        <v>5970.04</v>
      </c>
      <c r="I59" s="30" t="s">
        <v>16</v>
      </c>
      <c r="J59" s="30" t="s">
        <v>76</v>
      </c>
      <c r="K59">
        <v>6</v>
      </c>
      <c r="L59" s="29">
        <v>46030</v>
      </c>
      <c r="M59" s="29">
        <v>45483</v>
      </c>
      <c r="N59" s="30" t="str">
        <f>VLOOKUP(Query1[[#This Row],[company_name]],'Org Mapping'!$B:$I,8,FALSE)</f>
        <v>Jawad Ulla Khan</v>
      </c>
      <c r="O59" s="30" t="str">
        <f>TEXT(Query1[[#This Row],[last_work_day]],"mmm'yy")</f>
        <v>Jan'26</v>
      </c>
    </row>
    <row r="60" spans="1:15" x14ac:dyDescent="0.35">
      <c r="A60" s="30" t="s">
        <v>98</v>
      </c>
      <c r="B60" s="30" t="s">
        <v>65</v>
      </c>
      <c r="C60" s="30" t="s">
        <v>131</v>
      </c>
      <c r="D60">
        <v>2</v>
      </c>
      <c r="E60" s="30" t="s">
        <v>132</v>
      </c>
      <c r="F60" s="29">
        <v>44935</v>
      </c>
      <c r="G60">
        <v>25580.04</v>
      </c>
      <c r="H60">
        <v>5981.04</v>
      </c>
      <c r="I60" s="30" t="s">
        <v>21</v>
      </c>
      <c r="J60" s="30" t="s">
        <v>76</v>
      </c>
      <c r="K60">
        <v>6</v>
      </c>
      <c r="L60" s="29">
        <v>46028</v>
      </c>
      <c r="M60" s="29">
        <v>45483</v>
      </c>
      <c r="N60" s="30" t="str">
        <f>VLOOKUP(Query1[[#This Row],[company_name]],'Org Mapping'!$B:$I,8,FALSE)</f>
        <v>Jawad Ulla Khan</v>
      </c>
      <c r="O60" s="30" t="str">
        <f>TEXT(Query1[[#This Row],[last_work_day]],"mmm'yy")</f>
        <v>Jan'26</v>
      </c>
    </row>
    <row r="61" spans="1:15" x14ac:dyDescent="0.35">
      <c r="A61" s="30" t="s">
        <v>98</v>
      </c>
      <c r="B61" s="30" t="s">
        <v>65</v>
      </c>
      <c r="C61" s="30" t="s">
        <v>133</v>
      </c>
      <c r="D61">
        <v>2</v>
      </c>
      <c r="E61" s="30" t="s">
        <v>134</v>
      </c>
      <c r="F61" s="29">
        <v>44935</v>
      </c>
      <c r="G61">
        <v>23684.959999999999</v>
      </c>
      <c r="H61">
        <v>3612.96</v>
      </c>
      <c r="I61" s="30" t="s">
        <v>21</v>
      </c>
      <c r="J61" s="30" t="s">
        <v>76</v>
      </c>
      <c r="K61">
        <v>6</v>
      </c>
      <c r="L61" s="29">
        <v>46028</v>
      </c>
      <c r="M61" s="29">
        <v>45483</v>
      </c>
      <c r="N61" s="30" t="str">
        <f>VLOOKUP(Query1[[#This Row],[company_name]],'Org Mapping'!$B:$I,8,FALSE)</f>
        <v>Jawad Ulla Khan</v>
      </c>
      <c r="O61" s="30" t="str">
        <f>TEXT(Query1[[#This Row],[last_work_day]],"mmm'yy")</f>
        <v>Jan'26</v>
      </c>
    </row>
    <row r="62" spans="1:15" x14ac:dyDescent="0.35">
      <c r="A62" s="30" t="s">
        <v>1387</v>
      </c>
      <c r="B62" s="30" t="s">
        <v>39</v>
      </c>
      <c r="C62" s="30" t="s">
        <v>1388</v>
      </c>
      <c r="D62">
        <v>2</v>
      </c>
      <c r="E62" s="30" t="s">
        <v>1389</v>
      </c>
      <c r="F62" s="29">
        <v>44942</v>
      </c>
      <c r="G62">
        <v>97350</v>
      </c>
      <c r="H62">
        <v>16100</v>
      </c>
      <c r="I62" s="30" t="s">
        <v>16</v>
      </c>
      <c r="J62" s="30" t="s">
        <v>40</v>
      </c>
      <c r="K62">
        <v>6</v>
      </c>
      <c r="L62" s="29">
        <v>46107</v>
      </c>
      <c r="M62" s="29">
        <v>46038</v>
      </c>
      <c r="N62" s="30" t="str">
        <f>VLOOKUP(Query1[[#This Row],[company_name]],'Org Mapping'!$B:$I,8,FALSE)</f>
        <v>Mehr Hashim</v>
      </c>
      <c r="O62" s="30" t="str">
        <f>TEXT(Query1[[#This Row],[last_work_day]],"mmm'yy")</f>
        <v>Mar'26</v>
      </c>
    </row>
    <row r="63" spans="1:15" x14ac:dyDescent="0.35">
      <c r="A63" s="30" t="s">
        <v>1345</v>
      </c>
      <c r="B63" s="30" t="s">
        <v>1345</v>
      </c>
      <c r="C63" s="30" t="s">
        <v>1390</v>
      </c>
      <c r="D63">
        <v>2</v>
      </c>
      <c r="E63" s="30" t="s">
        <v>1391</v>
      </c>
      <c r="F63" s="29">
        <v>44945</v>
      </c>
      <c r="G63">
        <v>176634</v>
      </c>
      <c r="H63">
        <v>84968</v>
      </c>
      <c r="I63" s="30" t="s">
        <v>37</v>
      </c>
      <c r="J63" s="30" t="s">
        <v>136</v>
      </c>
      <c r="K63">
        <v>6</v>
      </c>
      <c r="L63" s="29">
        <v>46039</v>
      </c>
      <c r="M63" s="29">
        <v>45457</v>
      </c>
      <c r="N63" s="30" t="str">
        <f>VLOOKUP(Query1[[#This Row],[company_name]],'Org Mapping'!$B:$I,8,FALSE)</f>
        <v>Jawad Ulla Khan</v>
      </c>
      <c r="O63" s="30" t="str">
        <f>TEXT(Query1[[#This Row],[last_work_day]],"mmm'yy")</f>
        <v>Jan'26</v>
      </c>
    </row>
    <row r="64" spans="1:15" x14ac:dyDescent="0.35">
      <c r="A64" s="30" t="s">
        <v>75</v>
      </c>
      <c r="B64" s="30" t="s">
        <v>65</v>
      </c>
      <c r="C64" s="30" t="s">
        <v>137</v>
      </c>
      <c r="D64">
        <v>2</v>
      </c>
      <c r="E64" s="30" t="s">
        <v>138</v>
      </c>
      <c r="F64" s="29">
        <v>44957</v>
      </c>
      <c r="G64">
        <v>170100</v>
      </c>
      <c r="H64">
        <v>38850</v>
      </c>
      <c r="I64" s="30" t="s">
        <v>16</v>
      </c>
      <c r="J64" s="30" t="s">
        <v>76</v>
      </c>
      <c r="K64">
        <v>6</v>
      </c>
      <c r="L64" s="29">
        <v>46052</v>
      </c>
      <c r="M64" s="29">
        <v>46008</v>
      </c>
      <c r="N64" s="30" t="str">
        <f>VLOOKUP(Query1[[#This Row],[company_name]],'Org Mapping'!$B:$I,8,FALSE)</f>
        <v>Jawad Ulla Khan</v>
      </c>
      <c r="O64" s="30" t="str">
        <f>TEXT(Query1[[#This Row],[last_work_day]],"mmm'yy")</f>
        <v>Jan'26</v>
      </c>
    </row>
    <row r="65" spans="1:15" x14ac:dyDescent="0.35">
      <c r="A65" s="30" t="s">
        <v>1392</v>
      </c>
      <c r="B65" s="30" t="s">
        <v>1364</v>
      </c>
      <c r="C65" s="30" t="s">
        <v>1393</v>
      </c>
      <c r="D65">
        <v>2</v>
      </c>
      <c r="E65" s="30" t="s">
        <v>1394</v>
      </c>
      <c r="F65" s="29">
        <v>44959</v>
      </c>
      <c r="G65">
        <v>235000</v>
      </c>
      <c r="H65">
        <v>44334</v>
      </c>
      <c r="I65" s="30" t="s">
        <v>37</v>
      </c>
      <c r="J65" s="30" t="s">
        <v>139</v>
      </c>
      <c r="K65">
        <v>6</v>
      </c>
      <c r="L65" s="29">
        <v>46101</v>
      </c>
      <c r="M65" s="29">
        <v>46042</v>
      </c>
      <c r="N65" s="30" t="str">
        <f>VLOOKUP(Query1[[#This Row],[company_name]],'Org Mapping'!$B:$I,8,FALSE)</f>
        <v>Sadhna Shukla</v>
      </c>
      <c r="O65" s="30" t="str">
        <f>TEXT(Query1[[#This Row],[last_work_day]],"mmm'yy")</f>
        <v>Mar'26</v>
      </c>
    </row>
    <row r="66" spans="1:15" x14ac:dyDescent="0.35">
      <c r="A66" s="30" t="s">
        <v>98</v>
      </c>
      <c r="B66" s="30" t="s">
        <v>65</v>
      </c>
      <c r="C66" s="30" t="s">
        <v>140</v>
      </c>
      <c r="D66">
        <v>2</v>
      </c>
      <c r="E66" s="30" t="s">
        <v>141</v>
      </c>
      <c r="F66" s="29">
        <v>44957</v>
      </c>
      <c r="G66">
        <v>48384</v>
      </c>
      <c r="H66">
        <v>12384</v>
      </c>
      <c r="I66" s="30" t="s">
        <v>21</v>
      </c>
      <c r="J66" s="30" t="s">
        <v>90</v>
      </c>
      <c r="K66">
        <v>6</v>
      </c>
      <c r="L66" s="29">
        <v>46065</v>
      </c>
      <c r="M66" s="29">
        <v>46062</v>
      </c>
      <c r="N66" s="30" t="str">
        <f>VLOOKUP(Query1[[#This Row],[company_name]],'Org Mapping'!$B:$I,8,FALSE)</f>
        <v>Jawad Ulla Khan</v>
      </c>
      <c r="O66" s="30" t="str">
        <f>TEXT(Query1[[#This Row],[last_work_day]],"mmm'yy")</f>
        <v>Feb'26</v>
      </c>
    </row>
    <row r="67" spans="1:15" x14ac:dyDescent="0.35">
      <c r="A67" s="30" t="s">
        <v>122</v>
      </c>
      <c r="B67" s="30" t="s">
        <v>65</v>
      </c>
      <c r="C67" s="30" t="s">
        <v>143</v>
      </c>
      <c r="D67">
        <v>2</v>
      </c>
      <c r="E67" s="30" t="s">
        <v>144</v>
      </c>
      <c r="F67" s="29">
        <v>44972</v>
      </c>
      <c r="G67">
        <v>21956.26</v>
      </c>
      <c r="H67">
        <v>6956.26</v>
      </c>
      <c r="I67" s="30" t="s">
        <v>16</v>
      </c>
      <c r="J67" s="30" t="s">
        <v>76</v>
      </c>
      <c r="K67">
        <v>6</v>
      </c>
      <c r="L67" s="29">
        <v>46067</v>
      </c>
      <c r="M67" s="29">
        <v>46030</v>
      </c>
      <c r="N67" s="30" t="str">
        <f>VLOOKUP(Query1[[#This Row],[company_name]],'Org Mapping'!$B:$I,8,FALSE)</f>
        <v>Jawad Ulla Khan</v>
      </c>
      <c r="O67" s="30" t="str">
        <f>TEXT(Query1[[#This Row],[last_work_day]],"mmm'yy")</f>
        <v>Feb'26</v>
      </c>
    </row>
    <row r="68" spans="1:15" x14ac:dyDescent="0.35">
      <c r="A68" s="30" t="s">
        <v>1395</v>
      </c>
      <c r="B68" s="30" t="s">
        <v>1364</v>
      </c>
      <c r="C68" s="30" t="s">
        <v>1396</v>
      </c>
      <c r="D68">
        <v>2</v>
      </c>
      <c r="E68" s="30" t="s">
        <v>1397</v>
      </c>
      <c r="F68" s="29">
        <v>44986</v>
      </c>
      <c r="G68">
        <v>368500</v>
      </c>
      <c r="H68">
        <v>17188</v>
      </c>
      <c r="I68" s="30" t="s">
        <v>16</v>
      </c>
      <c r="J68" s="30" t="s">
        <v>139</v>
      </c>
      <c r="K68">
        <v>6</v>
      </c>
      <c r="L68" s="29">
        <v>46101</v>
      </c>
      <c r="M68" s="29">
        <v>46044</v>
      </c>
      <c r="N68" s="30" t="str">
        <f>VLOOKUP(Query1[[#This Row],[company_name]],'Org Mapping'!$B:$I,8,FALSE)</f>
        <v>Sadhna Shukla</v>
      </c>
      <c r="O68" s="30" t="str">
        <f>TEXT(Query1[[#This Row],[last_work_day]],"mmm'yy")</f>
        <v>Mar'26</v>
      </c>
    </row>
    <row r="69" spans="1:15" x14ac:dyDescent="0.35">
      <c r="A69" s="30" t="s">
        <v>1398</v>
      </c>
      <c r="B69" s="30" t="s">
        <v>114</v>
      </c>
      <c r="C69" s="30" t="s">
        <v>1399</v>
      </c>
      <c r="D69">
        <v>2</v>
      </c>
      <c r="E69" s="30" t="s">
        <v>1400</v>
      </c>
      <c r="F69" s="29">
        <v>44977</v>
      </c>
      <c r="G69">
        <v>99792</v>
      </c>
      <c r="H69">
        <v>31042</v>
      </c>
      <c r="I69" s="30" t="s">
        <v>16</v>
      </c>
      <c r="J69" s="30" t="s">
        <v>50</v>
      </c>
      <c r="K69">
        <v>6</v>
      </c>
      <c r="L69" s="29">
        <v>46080</v>
      </c>
      <c r="M69" s="29">
        <v>46062</v>
      </c>
      <c r="N69" s="30" t="str">
        <f>VLOOKUP(Query1[[#This Row],[company_name]],'Org Mapping'!$B:$I,8,FALSE)</f>
        <v>TBA</v>
      </c>
      <c r="O69" s="30" t="str">
        <f>TEXT(Query1[[#This Row],[last_work_day]],"mmm'yy")</f>
        <v>Feb'26</v>
      </c>
    </row>
    <row r="70" spans="1:15" x14ac:dyDescent="0.35">
      <c r="A70" s="30" t="s">
        <v>42</v>
      </c>
      <c r="B70" s="30" t="s">
        <v>18</v>
      </c>
      <c r="C70" s="30" t="s">
        <v>146</v>
      </c>
      <c r="D70">
        <v>6</v>
      </c>
      <c r="E70" s="30" t="s">
        <v>147</v>
      </c>
      <c r="F70" s="29">
        <v>44984</v>
      </c>
      <c r="G70">
        <v>35685</v>
      </c>
      <c r="H70">
        <v>5185</v>
      </c>
      <c r="I70" s="30" t="s">
        <v>26</v>
      </c>
      <c r="J70" s="30" t="s">
        <v>17</v>
      </c>
      <c r="K70">
        <v>6</v>
      </c>
      <c r="L70" s="29">
        <v>46030</v>
      </c>
      <c r="M70" s="29">
        <v>46009</v>
      </c>
      <c r="N70" s="30" t="str">
        <f>VLOOKUP(Query1[[#This Row],[company_name]],'Org Mapping'!$B:$I,8,FALSE)</f>
        <v>Jawad Ulla Khan</v>
      </c>
      <c r="O70" s="30" t="str">
        <f>TEXT(Query1[[#This Row],[last_work_day]],"mmm'yy")</f>
        <v>Jan'26</v>
      </c>
    </row>
    <row r="71" spans="1:15" x14ac:dyDescent="0.35">
      <c r="A71" s="30" t="s">
        <v>51</v>
      </c>
      <c r="B71" s="30" t="s">
        <v>18</v>
      </c>
      <c r="C71" s="30" t="s">
        <v>148</v>
      </c>
      <c r="D71">
        <v>6</v>
      </c>
      <c r="E71" s="30" t="s">
        <v>149</v>
      </c>
      <c r="F71" s="29">
        <v>44986</v>
      </c>
      <c r="G71">
        <v>35685</v>
      </c>
      <c r="H71">
        <v>5185</v>
      </c>
      <c r="I71" s="30" t="s">
        <v>91</v>
      </c>
      <c r="J71" s="30" t="s">
        <v>17</v>
      </c>
      <c r="K71">
        <v>6</v>
      </c>
      <c r="L71" s="29">
        <v>46121</v>
      </c>
      <c r="M71" s="29">
        <v>46121</v>
      </c>
      <c r="N71" s="30" t="str">
        <f>VLOOKUP(Query1[[#This Row],[company_name]],'Org Mapping'!$B:$I,8,FALSE)</f>
        <v>Jawad Ulla Khan</v>
      </c>
      <c r="O71" s="30" t="str">
        <f>TEXT(Query1[[#This Row],[last_work_day]],"mmm'yy")</f>
        <v>Apr'26</v>
      </c>
    </row>
    <row r="72" spans="1:15" x14ac:dyDescent="0.35">
      <c r="A72" s="30" t="s">
        <v>152</v>
      </c>
      <c r="B72" s="30" t="s">
        <v>65</v>
      </c>
      <c r="C72" s="30" t="s">
        <v>153</v>
      </c>
      <c r="D72">
        <v>2</v>
      </c>
      <c r="E72" s="30" t="s">
        <v>154</v>
      </c>
      <c r="F72" s="29">
        <v>44993</v>
      </c>
      <c r="G72">
        <v>72374.399999999994</v>
      </c>
      <c r="H72">
        <v>10769.4</v>
      </c>
      <c r="I72" s="30" t="s">
        <v>16</v>
      </c>
      <c r="J72" s="30" t="s">
        <v>76</v>
      </c>
      <c r="K72">
        <v>6</v>
      </c>
      <c r="L72" s="29">
        <v>46088</v>
      </c>
      <c r="M72" s="29">
        <v>45568</v>
      </c>
      <c r="N72" s="30" t="str">
        <f>VLOOKUP(Query1[[#This Row],[company_name]],'Org Mapping'!$B:$I,8,FALSE)</f>
        <v>Jawad Ulla Khan</v>
      </c>
      <c r="O72" s="30" t="str">
        <f>TEXT(Query1[[#This Row],[last_work_day]],"mmm'yy")</f>
        <v>Mar'26</v>
      </c>
    </row>
    <row r="73" spans="1:15" x14ac:dyDescent="0.35">
      <c r="A73" s="30" t="s">
        <v>109</v>
      </c>
      <c r="B73" s="30" t="s">
        <v>65</v>
      </c>
      <c r="C73" s="30" t="s">
        <v>155</v>
      </c>
      <c r="D73">
        <v>2</v>
      </c>
      <c r="E73" s="30" t="s">
        <v>156</v>
      </c>
      <c r="F73" s="29">
        <v>44992</v>
      </c>
      <c r="G73">
        <v>50976</v>
      </c>
      <c r="H73">
        <v>10976</v>
      </c>
      <c r="I73" s="30" t="s">
        <v>16</v>
      </c>
      <c r="J73" s="30" t="s">
        <v>76</v>
      </c>
      <c r="K73">
        <v>6</v>
      </c>
      <c r="L73" s="29">
        <v>46087</v>
      </c>
      <c r="M73" s="29">
        <v>46055</v>
      </c>
      <c r="N73" s="30" t="str">
        <f>VLOOKUP(Query1[[#This Row],[company_name]],'Org Mapping'!$B:$I,8,FALSE)</f>
        <v>Jawad Ulla Khan</v>
      </c>
      <c r="O73" s="30" t="str">
        <f>TEXT(Query1[[#This Row],[last_work_day]],"mmm'yy")</f>
        <v>Mar'26</v>
      </c>
    </row>
    <row r="74" spans="1:15" x14ac:dyDescent="0.35">
      <c r="A74" s="30" t="s">
        <v>1401</v>
      </c>
      <c r="B74" s="30" t="s">
        <v>39</v>
      </c>
      <c r="C74" s="30" t="s">
        <v>1402</v>
      </c>
      <c r="D74">
        <v>2</v>
      </c>
      <c r="E74" s="30" t="s">
        <v>1403</v>
      </c>
      <c r="F74" s="29">
        <v>45002</v>
      </c>
      <c r="G74">
        <v>220000</v>
      </c>
      <c r="H74">
        <v>98542</v>
      </c>
      <c r="I74" s="30" t="s">
        <v>37</v>
      </c>
      <c r="J74" s="30" t="s">
        <v>116</v>
      </c>
      <c r="K74">
        <v>6</v>
      </c>
      <c r="L74" s="29">
        <v>46111</v>
      </c>
      <c r="M74" s="29">
        <v>46078</v>
      </c>
      <c r="N74" s="30" t="str">
        <f>VLOOKUP(Query1[[#This Row],[company_name]],'Org Mapping'!$B:$I,8,FALSE)</f>
        <v>Mehr Hashim</v>
      </c>
      <c r="O74" s="30" t="str">
        <f>TEXT(Query1[[#This Row],[last_work_day]],"mmm'yy")</f>
        <v>Mar'26</v>
      </c>
    </row>
    <row r="75" spans="1:15" x14ac:dyDescent="0.35">
      <c r="A75" s="30" t="s">
        <v>152</v>
      </c>
      <c r="B75" s="30" t="s">
        <v>65</v>
      </c>
      <c r="C75" s="30" t="s">
        <v>157</v>
      </c>
      <c r="D75">
        <v>2</v>
      </c>
      <c r="E75" s="30" t="s">
        <v>158</v>
      </c>
      <c r="F75" s="29">
        <v>45009</v>
      </c>
      <c r="G75">
        <v>95580</v>
      </c>
      <c r="H75">
        <v>33080</v>
      </c>
      <c r="I75" s="30" t="s">
        <v>21</v>
      </c>
      <c r="J75" s="30" t="s">
        <v>76</v>
      </c>
      <c r="K75">
        <v>6</v>
      </c>
      <c r="L75" s="29">
        <v>46101</v>
      </c>
      <c r="M75" s="29">
        <v>46058</v>
      </c>
      <c r="N75" s="30" t="str">
        <f>VLOOKUP(Query1[[#This Row],[company_name]],'Org Mapping'!$B:$I,8,FALSE)</f>
        <v>Jawad Ulla Khan</v>
      </c>
      <c r="O75" s="30" t="str">
        <f>TEXT(Query1[[#This Row],[last_work_day]],"mmm'yy")</f>
        <v>Mar'26</v>
      </c>
    </row>
    <row r="76" spans="1:15" x14ac:dyDescent="0.35">
      <c r="A76" s="30" t="s">
        <v>42</v>
      </c>
      <c r="B76" s="30" t="s">
        <v>43</v>
      </c>
      <c r="C76" s="30" t="s">
        <v>159</v>
      </c>
      <c r="D76">
        <v>6</v>
      </c>
      <c r="E76" s="30" t="s">
        <v>160</v>
      </c>
      <c r="F76" s="29">
        <v>45013</v>
      </c>
      <c r="G76">
        <v>35685</v>
      </c>
      <c r="H76">
        <v>5185</v>
      </c>
      <c r="I76" s="30" t="s">
        <v>26</v>
      </c>
      <c r="J76" s="30" t="s">
        <v>17</v>
      </c>
      <c r="K76">
        <v>6</v>
      </c>
      <c r="L76" s="29">
        <v>46140</v>
      </c>
      <c r="M76" s="29">
        <v>46111</v>
      </c>
      <c r="N76" s="30" t="str">
        <f>VLOOKUP(Query1[[#This Row],[company_name]],'Org Mapping'!$B:$I,8,FALSE)</f>
        <v>Jawad Ulla Khan</v>
      </c>
      <c r="O76" s="30" t="str">
        <f>TEXT(Query1[[#This Row],[last_work_day]],"mmm'yy")</f>
        <v>Apr'26</v>
      </c>
    </row>
    <row r="77" spans="1:15" x14ac:dyDescent="0.35">
      <c r="A77" s="30" t="s">
        <v>123</v>
      </c>
      <c r="B77" s="30" t="s">
        <v>43</v>
      </c>
      <c r="C77" s="30" t="s">
        <v>162</v>
      </c>
      <c r="D77">
        <v>6</v>
      </c>
      <c r="E77" s="30" t="s">
        <v>163</v>
      </c>
      <c r="F77" s="29">
        <v>45026</v>
      </c>
      <c r="G77">
        <v>35685</v>
      </c>
      <c r="H77">
        <v>5185</v>
      </c>
      <c r="I77" s="30" t="s">
        <v>26</v>
      </c>
      <c r="J77" s="30" t="s">
        <v>17</v>
      </c>
      <c r="K77">
        <v>6</v>
      </c>
      <c r="L77" s="29">
        <v>46076</v>
      </c>
      <c r="M77" s="29">
        <v>46050</v>
      </c>
      <c r="N77" s="30" t="str">
        <f>VLOOKUP(Query1[[#This Row],[company_name]],'Org Mapping'!$B:$I,8,FALSE)</f>
        <v>Jawad Ulla Khan</v>
      </c>
      <c r="O77" s="30" t="str">
        <f>TEXT(Query1[[#This Row],[last_work_day]],"mmm'yy")</f>
        <v>Feb'26</v>
      </c>
    </row>
    <row r="78" spans="1:15" x14ac:dyDescent="0.35">
      <c r="A78" s="30" t="s">
        <v>1404</v>
      </c>
      <c r="B78" s="30" t="s">
        <v>39</v>
      </c>
      <c r="C78" s="30" t="s">
        <v>1405</v>
      </c>
      <c r="D78">
        <v>2</v>
      </c>
      <c r="E78" s="30" t="s">
        <v>1406</v>
      </c>
      <c r="F78" s="29">
        <v>45036</v>
      </c>
      <c r="G78">
        <v>86730</v>
      </c>
      <c r="H78">
        <v>31080</v>
      </c>
      <c r="I78" s="30" t="s">
        <v>26</v>
      </c>
      <c r="J78" s="30" t="s">
        <v>31</v>
      </c>
      <c r="K78">
        <v>6</v>
      </c>
      <c r="L78" s="29">
        <v>46038</v>
      </c>
      <c r="M78" s="29">
        <v>45980</v>
      </c>
      <c r="N78" s="30" t="str">
        <f>VLOOKUP(Query1[[#This Row],[company_name]],'Org Mapping'!$B:$I,8,FALSE)</f>
        <v>Mehr Hashim</v>
      </c>
      <c r="O78" s="30" t="str">
        <f>TEXT(Query1[[#This Row],[last_work_day]],"mmm'yy")</f>
        <v>Jan'26</v>
      </c>
    </row>
    <row r="79" spans="1:15" x14ac:dyDescent="0.35">
      <c r="A79" s="30" t="s">
        <v>151</v>
      </c>
      <c r="B79" s="30" t="s">
        <v>65</v>
      </c>
      <c r="C79" s="30" t="s">
        <v>164</v>
      </c>
      <c r="D79">
        <v>2</v>
      </c>
      <c r="E79" s="30" t="s">
        <v>165</v>
      </c>
      <c r="F79" s="29">
        <v>45044</v>
      </c>
      <c r="G79">
        <v>51840</v>
      </c>
      <c r="H79">
        <v>11840</v>
      </c>
      <c r="I79" s="30" t="s">
        <v>21</v>
      </c>
      <c r="J79" s="30" t="s">
        <v>90</v>
      </c>
      <c r="K79">
        <v>6</v>
      </c>
      <c r="L79" s="29">
        <v>46135</v>
      </c>
      <c r="M79" s="29">
        <v>45204</v>
      </c>
      <c r="N79" s="30" t="str">
        <f>VLOOKUP(Query1[[#This Row],[company_name]],'Org Mapping'!$B:$I,8,FALSE)</f>
        <v>Jawad Ulla Khan</v>
      </c>
      <c r="O79" s="30" t="str">
        <f>TEXT(Query1[[#This Row],[last_work_day]],"mmm'yy")</f>
        <v>Apr'26</v>
      </c>
    </row>
    <row r="80" spans="1:15" x14ac:dyDescent="0.35">
      <c r="A80" s="30" t="s">
        <v>167</v>
      </c>
      <c r="B80" s="30" t="s">
        <v>65</v>
      </c>
      <c r="C80" s="30" t="s">
        <v>168</v>
      </c>
      <c r="D80">
        <v>2</v>
      </c>
      <c r="E80" s="30" t="s">
        <v>169</v>
      </c>
      <c r="F80" s="29">
        <v>45069</v>
      </c>
      <c r="G80">
        <v>29500</v>
      </c>
      <c r="H80">
        <v>4500</v>
      </c>
      <c r="I80" s="30" t="s">
        <v>16</v>
      </c>
      <c r="J80" s="30" t="s">
        <v>76</v>
      </c>
      <c r="K80">
        <v>6</v>
      </c>
      <c r="L80" s="29">
        <v>46164</v>
      </c>
      <c r="M80" s="29">
        <v>46127</v>
      </c>
      <c r="N80" s="30" t="str">
        <f>VLOOKUP(Query1[[#This Row],[company_name]],'Org Mapping'!$B:$I,8,FALSE)</f>
        <v>Jawad Ulla Khan</v>
      </c>
      <c r="O80" s="30" t="str">
        <f>TEXT(Query1[[#This Row],[last_work_day]],"mmm'yy")</f>
        <v>May'26</v>
      </c>
    </row>
    <row r="81" spans="1:15" x14ac:dyDescent="0.35">
      <c r="A81" s="30" t="s">
        <v>110</v>
      </c>
      <c r="B81" s="30" t="s">
        <v>65</v>
      </c>
      <c r="C81" s="30" t="s">
        <v>171</v>
      </c>
      <c r="D81">
        <v>2</v>
      </c>
      <c r="E81" s="30" t="s">
        <v>172</v>
      </c>
      <c r="F81" s="29">
        <v>45075</v>
      </c>
      <c r="G81">
        <v>21956.26</v>
      </c>
      <c r="H81">
        <v>6956.26</v>
      </c>
      <c r="I81" s="30" t="s">
        <v>21</v>
      </c>
      <c r="J81" s="30" t="s">
        <v>76</v>
      </c>
      <c r="K81">
        <v>6</v>
      </c>
      <c r="L81" s="29">
        <v>46111</v>
      </c>
      <c r="M81" s="29">
        <v>46112</v>
      </c>
      <c r="N81" s="30" t="str">
        <f>VLOOKUP(Query1[[#This Row],[company_name]],'Org Mapping'!$B:$I,8,FALSE)</f>
        <v>Jawad Ulla Khan</v>
      </c>
      <c r="O81" s="30" t="str">
        <f>TEXT(Query1[[#This Row],[last_work_day]],"mmm'yy")</f>
        <v>Mar'26</v>
      </c>
    </row>
    <row r="82" spans="1:15" x14ac:dyDescent="0.35">
      <c r="A82" s="30" t="s">
        <v>1407</v>
      </c>
      <c r="B82" s="30" t="s">
        <v>1408</v>
      </c>
      <c r="C82" s="30" t="s">
        <v>1409</v>
      </c>
      <c r="D82">
        <v>2</v>
      </c>
      <c r="E82" s="30" t="s">
        <v>1410</v>
      </c>
      <c r="F82" s="29">
        <v>45082</v>
      </c>
      <c r="G82">
        <v>60000</v>
      </c>
      <c r="H82">
        <v>5834</v>
      </c>
      <c r="I82" s="30" t="s">
        <v>26</v>
      </c>
      <c r="J82" s="30" t="s">
        <v>73</v>
      </c>
      <c r="K82">
        <v>6</v>
      </c>
      <c r="L82" s="29">
        <v>46136</v>
      </c>
      <c r="M82" s="29">
        <v>46083</v>
      </c>
      <c r="N82" s="30" t="str">
        <f>VLOOKUP(Query1[[#This Row],[company_name]],'Org Mapping'!$B:$I,8,FALSE)</f>
        <v>Prathap Sagar</v>
      </c>
      <c r="O82" s="30" t="str">
        <f>TEXT(Query1[[#This Row],[last_work_day]],"mmm'yy")</f>
        <v>Apr'26</v>
      </c>
    </row>
    <row r="83" spans="1:15" x14ac:dyDescent="0.35">
      <c r="A83" s="30" t="s">
        <v>103</v>
      </c>
      <c r="B83" s="30" t="s">
        <v>65</v>
      </c>
      <c r="C83" s="30" t="s">
        <v>173</v>
      </c>
      <c r="D83">
        <v>2</v>
      </c>
      <c r="E83" s="30" t="s">
        <v>174</v>
      </c>
      <c r="F83" s="29">
        <v>45078</v>
      </c>
      <c r="G83">
        <v>36449.019999999997</v>
      </c>
      <c r="H83">
        <v>5560.02</v>
      </c>
      <c r="I83" s="30" t="s">
        <v>16</v>
      </c>
      <c r="J83" s="30" t="s">
        <v>90</v>
      </c>
      <c r="K83">
        <v>6</v>
      </c>
      <c r="L83" s="29">
        <v>46171</v>
      </c>
      <c r="M83" s="29">
        <v>45229</v>
      </c>
      <c r="N83" s="30" t="str">
        <f>VLOOKUP(Query1[[#This Row],[company_name]],'Org Mapping'!$B:$I,8,FALSE)</f>
        <v>Jawad Ulla Khan</v>
      </c>
      <c r="O83" s="30" t="str">
        <f>TEXT(Query1[[#This Row],[last_work_day]],"mmm'yy")</f>
        <v>May'26</v>
      </c>
    </row>
    <row r="84" spans="1:15" x14ac:dyDescent="0.35">
      <c r="A84" s="30" t="s">
        <v>1411</v>
      </c>
      <c r="B84" s="30" t="s">
        <v>39</v>
      </c>
      <c r="C84" s="30" t="s">
        <v>1412</v>
      </c>
      <c r="D84">
        <v>2</v>
      </c>
      <c r="E84" s="30" t="s">
        <v>1413</v>
      </c>
      <c r="F84" s="29">
        <v>45086</v>
      </c>
      <c r="G84">
        <v>126500</v>
      </c>
      <c r="H84">
        <v>51620</v>
      </c>
      <c r="I84" s="30" t="s">
        <v>37</v>
      </c>
      <c r="J84" s="30" t="s">
        <v>116</v>
      </c>
      <c r="K84">
        <v>6</v>
      </c>
      <c r="L84" s="29">
        <v>46112</v>
      </c>
      <c r="M84" s="29">
        <v>46079</v>
      </c>
      <c r="N84" s="30" t="str">
        <f>VLOOKUP(Query1[[#This Row],[company_name]],'Org Mapping'!$B:$I,8,FALSE)</f>
        <v>Mehr Hashim</v>
      </c>
      <c r="O84" s="30" t="str">
        <f>TEXT(Query1[[#This Row],[last_work_day]],"mmm'yy")</f>
        <v>Mar'26</v>
      </c>
    </row>
    <row r="85" spans="1:15" x14ac:dyDescent="0.35">
      <c r="A85" s="30" t="s">
        <v>178</v>
      </c>
      <c r="B85" s="30" t="s">
        <v>65</v>
      </c>
      <c r="C85" s="30" t="s">
        <v>179</v>
      </c>
      <c r="D85">
        <v>2</v>
      </c>
      <c r="E85" s="30" t="s">
        <v>180</v>
      </c>
      <c r="F85" s="29">
        <v>45121</v>
      </c>
      <c r="G85">
        <v>42055.199999999997</v>
      </c>
      <c r="H85">
        <v>6415.2</v>
      </c>
      <c r="I85" s="30" t="s">
        <v>26</v>
      </c>
      <c r="J85" s="30" t="s">
        <v>90</v>
      </c>
      <c r="K85">
        <v>6</v>
      </c>
      <c r="L85" s="29">
        <v>46083</v>
      </c>
      <c r="M85" s="29">
        <v>46057</v>
      </c>
      <c r="N85" s="30" t="str">
        <f>VLOOKUP(Query1[[#This Row],[company_name]],'Org Mapping'!$B:$I,8,FALSE)</f>
        <v>Jawad Ulla Khan</v>
      </c>
      <c r="O85" s="30" t="str">
        <f>TEXT(Query1[[#This Row],[last_work_day]],"mmm'yy")</f>
        <v>Mar'26</v>
      </c>
    </row>
    <row r="86" spans="1:15" x14ac:dyDescent="0.35">
      <c r="A86" s="30" t="s">
        <v>175</v>
      </c>
      <c r="B86" s="30" t="s">
        <v>65</v>
      </c>
      <c r="C86" s="30" t="s">
        <v>181</v>
      </c>
      <c r="D86">
        <v>2</v>
      </c>
      <c r="E86" s="30" t="s">
        <v>182</v>
      </c>
      <c r="F86" s="29">
        <v>45096</v>
      </c>
      <c r="G86">
        <v>50400</v>
      </c>
      <c r="H86">
        <v>10400</v>
      </c>
      <c r="I86" s="30" t="s">
        <v>21</v>
      </c>
      <c r="J86" s="30" t="s">
        <v>90</v>
      </c>
      <c r="K86">
        <v>6</v>
      </c>
      <c r="L86" s="29">
        <v>46049</v>
      </c>
      <c r="M86" s="29">
        <v>46035</v>
      </c>
      <c r="N86" s="30" t="str">
        <f>VLOOKUP(Query1[[#This Row],[company_name]],'Org Mapping'!$B:$I,8,FALSE)</f>
        <v>Jawad Ulla Khan</v>
      </c>
      <c r="O86" s="30" t="str">
        <f>TEXT(Query1[[#This Row],[last_work_day]],"mmm'yy")</f>
        <v>Jan'26</v>
      </c>
    </row>
    <row r="87" spans="1:15" x14ac:dyDescent="0.35">
      <c r="A87" s="30" t="s">
        <v>110</v>
      </c>
      <c r="B87" s="30" t="s">
        <v>65</v>
      </c>
      <c r="C87" s="30" t="s">
        <v>184</v>
      </c>
      <c r="D87">
        <v>2</v>
      </c>
      <c r="E87" s="30" t="s">
        <v>185</v>
      </c>
      <c r="F87" s="29">
        <v>45120</v>
      </c>
      <c r="G87">
        <v>21956.26</v>
      </c>
      <c r="H87">
        <v>6956.26</v>
      </c>
      <c r="I87" s="30" t="s">
        <v>21</v>
      </c>
      <c r="J87" s="30" t="s">
        <v>76</v>
      </c>
      <c r="K87">
        <v>6</v>
      </c>
      <c r="L87" s="29">
        <v>46079</v>
      </c>
      <c r="M87" s="29">
        <v>46079</v>
      </c>
      <c r="N87" s="30" t="str">
        <f>VLOOKUP(Query1[[#This Row],[company_name]],'Org Mapping'!$B:$I,8,FALSE)</f>
        <v>Jawad Ulla Khan</v>
      </c>
      <c r="O87" s="30" t="str">
        <f>TEXT(Query1[[#This Row],[last_work_day]],"mmm'yy")</f>
        <v>Feb'26</v>
      </c>
    </row>
    <row r="88" spans="1:15" x14ac:dyDescent="0.35">
      <c r="A88" s="30" t="s">
        <v>98</v>
      </c>
      <c r="B88" s="30" t="s">
        <v>65</v>
      </c>
      <c r="C88" s="30" t="s">
        <v>187</v>
      </c>
      <c r="D88">
        <v>2</v>
      </c>
      <c r="E88" s="30" t="s">
        <v>188</v>
      </c>
      <c r="F88" s="29">
        <v>45170</v>
      </c>
      <c r="G88">
        <v>35750</v>
      </c>
      <c r="H88">
        <v>8250</v>
      </c>
      <c r="I88" s="30" t="s">
        <v>26</v>
      </c>
      <c r="J88" s="30" t="s">
        <v>90</v>
      </c>
      <c r="K88">
        <v>6</v>
      </c>
      <c r="L88" s="29">
        <v>46023</v>
      </c>
      <c r="M88" s="29">
        <v>46002</v>
      </c>
      <c r="N88" s="30" t="str">
        <f>VLOOKUP(Query1[[#This Row],[company_name]],'Org Mapping'!$B:$I,8,FALSE)</f>
        <v>Jawad Ulla Khan</v>
      </c>
      <c r="O88" s="30" t="str">
        <f>TEXT(Query1[[#This Row],[last_work_day]],"mmm'yy")</f>
        <v>Jan'26</v>
      </c>
    </row>
    <row r="89" spans="1:15" x14ac:dyDescent="0.35">
      <c r="A89" s="30" t="s">
        <v>152</v>
      </c>
      <c r="B89" s="30" t="s">
        <v>65</v>
      </c>
      <c r="C89" s="30" t="s">
        <v>189</v>
      </c>
      <c r="D89">
        <v>2</v>
      </c>
      <c r="E89" s="30" t="s">
        <v>190</v>
      </c>
      <c r="F89" s="29">
        <v>45131</v>
      </c>
      <c r="G89">
        <v>47250</v>
      </c>
      <c r="H89">
        <v>7875</v>
      </c>
      <c r="I89" s="30" t="s">
        <v>21</v>
      </c>
      <c r="J89" s="30" t="s">
        <v>90</v>
      </c>
      <c r="K89">
        <v>6</v>
      </c>
      <c r="L89" s="29">
        <v>46051</v>
      </c>
      <c r="M89" s="29">
        <v>46045</v>
      </c>
      <c r="N89" s="30" t="str">
        <f>VLOOKUP(Query1[[#This Row],[company_name]],'Org Mapping'!$B:$I,8,FALSE)</f>
        <v>Jawad Ulla Khan</v>
      </c>
      <c r="O89" s="30" t="str">
        <f>TEXT(Query1[[#This Row],[last_work_day]],"mmm'yy")</f>
        <v>Jan'26</v>
      </c>
    </row>
    <row r="90" spans="1:15" x14ac:dyDescent="0.35">
      <c r="A90" s="30" t="s">
        <v>191</v>
      </c>
      <c r="B90" s="30" t="s">
        <v>43</v>
      </c>
      <c r="C90" s="30" t="s">
        <v>192</v>
      </c>
      <c r="D90">
        <v>6</v>
      </c>
      <c r="E90" s="30" t="s">
        <v>193</v>
      </c>
      <c r="F90" s="29">
        <v>45133</v>
      </c>
      <c r="G90">
        <v>35685</v>
      </c>
      <c r="H90">
        <v>5185</v>
      </c>
      <c r="I90" s="30" t="s">
        <v>26</v>
      </c>
      <c r="J90" s="30" t="s">
        <v>17</v>
      </c>
      <c r="K90">
        <v>6</v>
      </c>
      <c r="L90" s="29">
        <v>46073</v>
      </c>
      <c r="M90" s="29">
        <v>46043</v>
      </c>
      <c r="N90" s="30" t="str">
        <f>VLOOKUP(Query1[[#This Row],[company_name]],'Org Mapping'!$B:$I,8,FALSE)</f>
        <v>Jawad Ulla Khan</v>
      </c>
      <c r="O90" s="30" t="str">
        <f>TEXT(Query1[[#This Row],[last_work_day]],"mmm'yy")</f>
        <v>Feb'26</v>
      </c>
    </row>
    <row r="91" spans="1:15" x14ac:dyDescent="0.35">
      <c r="A91" s="30" t="s">
        <v>194</v>
      </c>
      <c r="B91" s="30" t="s">
        <v>65</v>
      </c>
      <c r="C91" s="30" t="s">
        <v>195</v>
      </c>
      <c r="D91">
        <v>2</v>
      </c>
      <c r="E91" s="30" t="s">
        <v>196</v>
      </c>
      <c r="F91" s="29">
        <v>45135</v>
      </c>
      <c r="G91">
        <v>27546.14</v>
      </c>
      <c r="H91">
        <v>6446.14</v>
      </c>
      <c r="I91" s="30" t="s">
        <v>37</v>
      </c>
      <c r="J91" s="30" t="s">
        <v>76</v>
      </c>
      <c r="K91">
        <v>6</v>
      </c>
      <c r="L91" s="29">
        <v>46093</v>
      </c>
      <c r="M91" s="29">
        <v>46070</v>
      </c>
      <c r="N91" s="30" t="str">
        <f>VLOOKUP(Query1[[#This Row],[company_name]],'Org Mapping'!$B:$I,8,FALSE)</f>
        <v>Jawad Ulla Khan</v>
      </c>
      <c r="O91" s="30" t="str">
        <f>TEXT(Query1[[#This Row],[last_work_day]],"mmm'yy")</f>
        <v>Mar'26</v>
      </c>
    </row>
    <row r="92" spans="1:15" x14ac:dyDescent="0.35">
      <c r="A92" s="30" t="s">
        <v>167</v>
      </c>
      <c r="B92" s="30" t="s">
        <v>65</v>
      </c>
      <c r="C92" s="30" t="s">
        <v>197</v>
      </c>
      <c r="D92">
        <v>2</v>
      </c>
      <c r="E92" s="30" t="s">
        <v>198</v>
      </c>
      <c r="F92" s="29">
        <v>45140</v>
      </c>
      <c r="G92">
        <v>35100</v>
      </c>
      <c r="H92">
        <v>8100</v>
      </c>
      <c r="I92" s="30" t="s">
        <v>26</v>
      </c>
      <c r="J92" s="30" t="s">
        <v>90</v>
      </c>
      <c r="K92">
        <v>6</v>
      </c>
      <c r="L92" s="29">
        <v>46087</v>
      </c>
      <c r="M92" s="29">
        <v>45609</v>
      </c>
      <c r="N92" s="30" t="str">
        <f>VLOOKUP(Query1[[#This Row],[company_name]],'Org Mapping'!$B:$I,8,FALSE)</f>
        <v>Jawad Ulla Khan</v>
      </c>
      <c r="O92" s="30" t="str">
        <f>TEXT(Query1[[#This Row],[last_work_day]],"mmm'yy")</f>
        <v>Mar'26</v>
      </c>
    </row>
    <row r="93" spans="1:15" x14ac:dyDescent="0.35">
      <c r="A93" s="30" t="s">
        <v>1414</v>
      </c>
      <c r="B93" s="30" t="s">
        <v>114</v>
      </c>
      <c r="C93" s="30" t="s">
        <v>1415</v>
      </c>
      <c r="D93">
        <v>2</v>
      </c>
      <c r="E93" s="30" t="s">
        <v>1416</v>
      </c>
      <c r="F93" s="29">
        <v>45141</v>
      </c>
      <c r="G93">
        <v>140049</v>
      </c>
      <c r="H93">
        <v>71299</v>
      </c>
      <c r="I93" s="30" t="s">
        <v>16</v>
      </c>
      <c r="J93" s="30" t="s">
        <v>119</v>
      </c>
      <c r="K93">
        <v>6</v>
      </c>
      <c r="L93" s="29">
        <v>46076</v>
      </c>
      <c r="M93" s="29">
        <v>46045</v>
      </c>
      <c r="N93" s="30" t="str">
        <f>VLOOKUP(Query1[[#This Row],[company_name]],'Org Mapping'!$B:$I,8,FALSE)</f>
        <v>Anuradha</v>
      </c>
      <c r="O93" s="30" t="str">
        <f>TEXT(Query1[[#This Row],[last_work_day]],"mmm'yy")</f>
        <v>Feb'26</v>
      </c>
    </row>
    <row r="94" spans="1:15" x14ac:dyDescent="0.35">
      <c r="A94" s="30" t="s">
        <v>1417</v>
      </c>
      <c r="B94" s="30" t="s">
        <v>1418</v>
      </c>
      <c r="C94" s="30" t="s">
        <v>1419</v>
      </c>
      <c r="D94">
        <v>1</v>
      </c>
      <c r="E94" s="30" t="s">
        <v>1420</v>
      </c>
      <c r="F94" s="29">
        <v>45140</v>
      </c>
      <c r="G94">
        <v>262521</v>
      </c>
      <c r="H94">
        <v>29188</v>
      </c>
      <c r="I94" s="30" t="s">
        <v>16</v>
      </c>
      <c r="J94" s="30" t="s">
        <v>199</v>
      </c>
      <c r="K94">
        <v>6</v>
      </c>
      <c r="L94" s="29">
        <v>46112</v>
      </c>
      <c r="M94" s="29">
        <v>45405</v>
      </c>
      <c r="N94" s="30" t="str">
        <f>VLOOKUP(Query1[[#This Row],[company_name]],'Org Mapping'!$B:$I,8,FALSE)</f>
        <v>Prathap Sagar</v>
      </c>
      <c r="O94" s="30" t="str">
        <f>TEXT(Query1[[#This Row],[last_work_day]],"mmm'yy")</f>
        <v>Mar'26</v>
      </c>
    </row>
    <row r="95" spans="1:15" x14ac:dyDescent="0.35">
      <c r="A95" s="30" t="s">
        <v>170</v>
      </c>
      <c r="B95" s="30" t="s">
        <v>65</v>
      </c>
      <c r="C95" s="30" t="s">
        <v>200</v>
      </c>
      <c r="D95">
        <v>2</v>
      </c>
      <c r="E95" s="30" t="s">
        <v>201</v>
      </c>
      <c r="F95" s="29">
        <v>45154</v>
      </c>
      <c r="G95">
        <v>29748.98</v>
      </c>
      <c r="H95">
        <v>4537.9799999999996</v>
      </c>
      <c r="I95" s="30" t="s">
        <v>21</v>
      </c>
      <c r="J95" s="30" t="s">
        <v>76</v>
      </c>
      <c r="K95">
        <v>6</v>
      </c>
      <c r="L95" s="29">
        <v>46108</v>
      </c>
      <c r="M95" s="29">
        <v>46107</v>
      </c>
      <c r="N95" s="30" t="str">
        <f>VLOOKUP(Query1[[#This Row],[company_name]],'Org Mapping'!$B:$I,8,FALSE)</f>
        <v>Jawad Ulla Khan</v>
      </c>
      <c r="O95" s="30" t="str">
        <f>TEXT(Query1[[#This Row],[last_work_day]],"mmm'yy")</f>
        <v>Mar'26</v>
      </c>
    </row>
    <row r="96" spans="1:15" x14ac:dyDescent="0.35">
      <c r="A96" s="30" t="s">
        <v>1421</v>
      </c>
      <c r="B96" s="30" t="s">
        <v>117</v>
      </c>
      <c r="C96" s="30" t="s">
        <v>1422</v>
      </c>
      <c r="D96">
        <v>1</v>
      </c>
      <c r="E96" s="30" t="s">
        <v>1423</v>
      </c>
      <c r="F96" s="29">
        <v>45162</v>
      </c>
      <c r="G96">
        <v>78624</v>
      </c>
      <c r="H96">
        <v>24624</v>
      </c>
      <c r="I96" s="30" t="s">
        <v>26</v>
      </c>
      <c r="J96" s="30" t="s">
        <v>119</v>
      </c>
      <c r="K96">
        <v>6</v>
      </c>
      <c r="L96" s="29">
        <v>46062</v>
      </c>
      <c r="M96" s="29">
        <v>46030</v>
      </c>
      <c r="N96" s="30" t="str">
        <f>VLOOKUP(Query1[[#This Row],[company_name]],'Org Mapping'!$B:$I,8,FALSE)</f>
        <v>Anuradha</v>
      </c>
      <c r="O96" s="30" t="str">
        <f>TEXT(Query1[[#This Row],[last_work_day]],"mmm'yy")</f>
        <v>Feb'26</v>
      </c>
    </row>
    <row r="97" spans="1:15" x14ac:dyDescent="0.35">
      <c r="A97" s="30" t="s">
        <v>1424</v>
      </c>
      <c r="B97" s="30" t="s">
        <v>39</v>
      </c>
      <c r="C97" s="30" t="s">
        <v>1425</v>
      </c>
      <c r="D97">
        <v>2</v>
      </c>
      <c r="E97" s="30" t="s">
        <v>1426</v>
      </c>
      <c r="F97" s="29">
        <v>45155</v>
      </c>
      <c r="G97">
        <v>302400</v>
      </c>
      <c r="H97">
        <v>136150</v>
      </c>
      <c r="I97" s="30" t="s">
        <v>26</v>
      </c>
      <c r="J97" s="30" t="s">
        <v>49</v>
      </c>
      <c r="K97">
        <v>6</v>
      </c>
      <c r="L97" s="29">
        <v>46174</v>
      </c>
      <c r="M97" s="29">
        <v>46112</v>
      </c>
      <c r="N97" s="30" t="str">
        <f>VLOOKUP(Query1[[#This Row],[company_name]],'Org Mapping'!$B:$I,8,FALSE)</f>
        <v>Mehr Hashim</v>
      </c>
      <c r="O97" s="30" t="str">
        <f>TEXT(Query1[[#This Row],[last_work_day]],"mmm'yy")</f>
        <v>Jun'26</v>
      </c>
    </row>
    <row r="98" spans="1:15" x14ac:dyDescent="0.35">
      <c r="A98" s="30" t="s">
        <v>151</v>
      </c>
      <c r="B98" s="30" t="s">
        <v>65</v>
      </c>
      <c r="C98" s="30" t="s">
        <v>202</v>
      </c>
      <c r="D98">
        <v>2</v>
      </c>
      <c r="E98" s="30" t="s">
        <v>203</v>
      </c>
      <c r="F98" s="29">
        <v>45160</v>
      </c>
      <c r="G98">
        <v>48000</v>
      </c>
      <c r="H98">
        <v>8000</v>
      </c>
      <c r="I98" s="30" t="s">
        <v>21</v>
      </c>
      <c r="J98" s="30" t="s">
        <v>90</v>
      </c>
      <c r="K98">
        <v>6</v>
      </c>
      <c r="L98" s="29">
        <v>46027</v>
      </c>
      <c r="M98" s="29">
        <v>46022</v>
      </c>
      <c r="N98" s="30" t="str">
        <f>VLOOKUP(Query1[[#This Row],[company_name]],'Org Mapping'!$B:$I,8,FALSE)</f>
        <v>Jawad Ulla Khan</v>
      </c>
      <c r="O98" s="30" t="str">
        <f>TEXT(Query1[[#This Row],[last_work_day]],"mmm'yy")</f>
        <v>Jan'26</v>
      </c>
    </row>
    <row r="99" spans="1:15" x14ac:dyDescent="0.35">
      <c r="A99" s="30" t="s">
        <v>103</v>
      </c>
      <c r="B99" s="30" t="s">
        <v>65</v>
      </c>
      <c r="C99" s="30" t="s">
        <v>204</v>
      </c>
      <c r="D99">
        <v>2</v>
      </c>
      <c r="E99" s="30" t="s">
        <v>205</v>
      </c>
      <c r="F99" s="29">
        <v>45161</v>
      </c>
      <c r="G99">
        <v>30385</v>
      </c>
      <c r="H99">
        <v>4635</v>
      </c>
      <c r="I99" s="30" t="s">
        <v>21</v>
      </c>
      <c r="J99" s="30" t="s">
        <v>76</v>
      </c>
      <c r="K99">
        <v>6</v>
      </c>
      <c r="L99" s="29">
        <v>46097</v>
      </c>
      <c r="M99" s="29">
        <v>46034</v>
      </c>
      <c r="N99" s="30" t="str">
        <f>VLOOKUP(Query1[[#This Row],[company_name]],'Org Mapping'!$B:$I,8,FALSE)</f>
        <v>Jawad Ulla Khan</v>
      </c>
      <c r="O99" s="30" t="str">
        <f>TEXT(Query1[[#This Row],[last_work_day]],"mmm'yy")</f>
        <v>Mar'26</v>
      </c>
    </row>
    <row r="100" spans="1:15" x14ac:dyDescent="0.35">
      <c r="A100" s="30" t="s">
        <v>1427</v>
      </c>
      <c r="B100" s="30" t="s">
        <v>1377</v>
      </c>
      <c r="C100" s="30" t="s">
        <v>1428</v>
      </c>
      <c r="D100">
        <v>7</v>
      </c>
      <c r="E100" s="30" t="s">
        <v>1429</v>
      </c>
      <c r="F100" s="29">
        <v>45167</v>
      </c>
      <c r="G100">
        <v>51926.05</v>
      </c>
      <c r="H100">
        <v>2236.0500000000002</v>
      </c>
      <c r="I100" s="30" t="s">
        <v>26</v>
      </c>
      <c r="J100" s="30" t="s">
        <v>28</v>
      </c>
      <c r="K100">
        <v>6</v>
      </c>
      <c r="L100" s="29">
        <v>46127</v>
      </c>
      <c r="M100" s="29">
        <v>46150</v>
      </c>
      <c r="N100" s="30" t="str">
        <f>VLOOKUP(Query1[[#This Row],[company_name]],'Org Mapping'!$B:$I,8,FALSE)</f>
        <v>TBA</v>
      </c>
      <c r="O100" s="30" t="str">
        <f>TEXT(Query1[[#This Row],[last_work_day]],"mmm'yy")</f>
        <v>Apr'26</v>
      </c>
    </row>
    <row r="101" spans="1:15" x14ac:dyDescent="0.35">
      <c r="A101" s="30" t="s">
        <v>122</v>
      </c>
      <c r="B101" s="30" t="s">
        <v>65</v>
      </c>
      <c r="C101" s="30" t="s">
        <v>208</v>
      </c>
      <c r="D101">
        <v>2</v>
      </c>
      <c r="E101" s="30" t="s">
        <v>209</v>
      </c>
      <c r="F101" s="29">
        <v>45182</v>
      </c>
      <c r="G101">
        <v>37908</v>
      </c>
      <c r="H101">
        <v>12908</v>
      </c>
      <c r="I101" s="30" t="s">
        <v>21</v>
      </c>
      <c r="J101" s="30" t="s">
        <v>76</v>
      </c>
      <c r="K101">
        <v>6</v>
      </c>
      <c r="L101" s="29">
        <v>46065</v>
      </c>
      <c r="M101" s="29">
        <v>46064</v>
      </c>
      <c r="N101" s="30" t="str">
        <f>VLOOKUP(Query1[[#This Row],[company_name]],'Org Mapping'!$B:$I,8,FALSE)</f>
        <v>Jawad Ulla Khan</v>
      </c>
      <c r="O101" s="30" t="str">
        <f>TEXT(Query1[[#This Row],[last_work_day]],"mmm'yy")</f>
        <v>Feb'26</v>
      </c>
    </row>
    <row r="102" spans="1:15" x14ac:dyDescent="0.35">
      <c r="A102" s="30" t="s">
        <v>1430</v>
      </c>
      <c r="B102" s="30" t="s">
        <v>1377</v>
      </c>
      <c r="C102" s="30" t="s">
        <v>1431</v>
      </c>
      <c r="D102">
        <v>2</v>
      </c>
      <c r="E102" s="30" t="s">
        <v>1432</v>
      </c>
      <c r="F102" s="29">
        <v>45226</v>
      </c>
      <c r="G102">
        <v>157500</v>
      </c>
      <c r="H102">
        <v>40834</v>
      </c>
      <c r="I102" s="30" t="s">
        <v>37</v>
      </c>
      <c r="J102" s="30" t="s">
        <v>48</v>
      </c>
      <c r="K102">
        <v>6</v>
      </c>
      <c r="L102" s="29">
        <v>46112</v>
      </c>
      <c r="M102" s="29">
        <v>46091</v>
      </c>
      <c r="N102" s="30" t="str">
        <f>VLOOKUP(Query1[[#This Row],[company_name]],'Org Mapping'!$B:$I,8,FALSE)</f>
        <v>Prathap Sagar</v>
      </c>
      <c r="O102" s="30" t="str">
        <f>TEXT(Query1[[#This Row],[last_work_day]],"mmm'yy")</f>
        <v>Mar'26</v>
      </c>
    </row>
    <row r="103" spans="1:15" x14ac:dyDescent="0.35">
      <c r="A103" s="30" t="s">
        <v>104</v>
      </c>
      <c r="B103" s="30" t="s">
        <v>39</v>
      </c>
      <c r="C103" s="30" t="s">
        <v>1433</v>
      </c>
      <c r="D103">
        <v>1</v>
      </c>
      <c r="E103" s="30" t="s">
        <v>1434</v>
      </c>
      <c r="F103" s="29">
        <v>45194</v>
      </c>
      <c r="G103">
        <v>436800</v>
      </c>
      <c r="H103">
        <v>31800</v>
      </c>
      <c r="I103" s="30" t="s">
        <v>26</v>
      </c>
      <c r="J103" s="30" t="s">
        <v>49</v>
      </c>
      <c r="K103">
        <v>6</v>
      </c>
      <c r="L103" s="29">
        <v>46034</v>
      </c>
      <c r="M103" s="29">
        <v>45976</v>
      </c>
      <c r="N103" s="30" t="str">
        <f>VLOOKUP(Query1[[#This Row],[company_name]],'Org Mapping'!$B:$I,8,FALSE)</f>
        <v>Mehr Hashim</v>
      </c>
      <c r="O103" s="30" t="str">
        <f>TEXT(Query1[[#This Row],[last_work_day]],"mmm'yy")</f>
        <v>Jan'26</v>
      </c>
    </row>
    <row r="104" spans="1:15" x14ac:dyDescent="0.35">
      <c r="A104" s="30" t="s">
        <v>1435</v>
      </c>
      <c r="B104" s="30" t="s">
        <v>39</v>
      </c>
      <c r="C104" s="30" t="s">
        <v>1436</v>
      </c>
      <c r="D104">
        <v>2</v>
      </c>
      <c r="E104" s="30" t="s">
        <v>1437</v>
      </c>
      <c r="F104" s="29">
        <v>45198</v>
      </c>
      <c r="G104">
        <v>250000</v>
      </c>
      <c r="H104">
        <v>13750</v>
      </c>
      <c r="I104" s="30" t="s">
        <v>37</v>
      </c>
      <c r="J104" s="30" t="s">
        <v>139</v>
      </c>
      <c r="K104">
        <v>6</v>
      </c>
      <c r="L104" s="29">
        <v>46052</v>
      </c>
      <c r="M104" s="29">
        <v>45992</v>
      </c>
      <c r="N104" s="30" t="str">
        <f>VLOOKUP(Query1[[#This Row],[company_name]],'Org Mapping'!$B:$I,8,FALSE)</f>
        <v>Sadhna Shukla</v>
      </c>
      <c r="O104" s="30" t="str">
        <f>TEXT(Query1[[#This Row],[last_work_day]],"mmm'yy")</f>
        <v>Jan'26</v>
      </c>
    </row>
    <row r="105" spans="1:15" x14ac:dyDescent="0.35">
      <c r="A105" s="30" t="s">
        <v>122</v>
      </c>
      <c r="B105" s="30" t="s">
        <v>65</v>
      </c>
      <c r="C105" s="30" t="s">
        <v>210</v>
      </c>
      <c r="D105">
        <v>2</v>
      </c>
      <c r="E105" s="30" t="s">
        <v>211</v>
      </c>
      <c r="F105" s="29">
        <v>45208</v>
      </c>
      <c r="G105">
        <v>26151.16</v>
      </c>
      <c r="H105">
        <v>5631.16</v>
      </c>
      <c r="I105" s="30" t="s">
        <v>21</v>
      </c>
      <c r="J105" s="30" t="s">
        <v>76</v>
      </c>
      <c r="K105">
        <v>6</v>
      </c>
      <c r="L105" s="29">
        <v>46029</v>
      </c>
      <c r="M105" s="29">
        <v>46028</v>
      </c>
      <c r="N105" s="30" t="str">
        <f>VLOOKUP(Query1[[#This Row],[company_name]],'Org Mapping'!$B:$I,8,FALSE)</f>
        <v>Jawad Ulla Khan</v>
      </c>
      <c r="O105" s="30" t="str">
        <f>TEXT(Query1[[#This Row],[last_work_day]],"mmm'yy")</f>
        <v>Jan'26</v>
      </c>
    </row>
    <row r="106" spans="1:15" x14ac:dyDescent="0.35">
      <c r="A106" s="30" t="s">
        <v>1438</v>
      </c>
      <c r="B106" s="30" t="s">
        <v>114</v>
      </c>
      <c r="C106" s="30" t="s">
        <v>1439</v>
      </c>
      <c r="D106">
        <v>1</v>
      </c>
      <c r="E106" s="30" t="s">
        <v>1440</v>
      </c>
      <c r="F106" s="29">
        <v>45208</v>
      </c>
      <c r="G106">
        <v>103194</v>
      </c>
      <c r="H106">
        <v>22944</v>
      </c>
      <c r="I106" s="30" t="s">
        <v>26</v>
      </c>
      <c r="J106" s="30" t="s">
        <v>119</v>
      </c>
      <c r="K106">
        <v>6</v>
      </c>
      <c r="L106" s="29">
        <v>46087</v>
      </c>
      <c r="M106" s="29">
        <v>46063</v>
      </c>
      <c r="N106" s="30" t="str">
        <f>VLOOKUP(Query1[[#This Row],[company_name]],'Org Mapping'!$B:$I,8,FALSE)</f>
        <v>Anuradha</v>
      </c>
      <c r="O106" s="30" t="str">
        <f>TEXT(Query1[[#This Row],[last_work_day]],"mmm'yy")</f>
        <v>Mar'26</v>
      </c>
    </row>
    <row r="107" spans="1:15" x14ac:dyDescent="0.35">
      <c r="A107" s="30" t="s">
        <v>103</v>
      </c>
      <c r="B107" s="30" t="s">
        <v>65</v>
      </c>
      <c r="C107" s="30" t="s">
        <v>212</v>
      </c>
      <c r="D107">
        <v>2</v>
      </c>
      <c r="E107" s="30" t="s">
        <v>213</v>
      </c>
      <c r="F107" s="29">
        <v>45215</v>
      </c>
      <c r="G107">
        <v>26151.16</v>
      </c>
      <c r="H107">
        <v>7151.16</v>
      </c>
      <c r="I107" s="30" t="s">
        <v>26</v>
      </c>
      <c r="J107" s="30" t="s">
        <v>76</v>
      </c>
      <c r="K107">
        <v>6</v>
      </c>
      <c r="L107" s="29">
        <v>46135</v>
      </c>
      <c r="M107" s="29">
        <v>46112</v>
      </c>
      <c r="N107" s="30" t="str">
        <f>VLOOKUP(Query1[[#This Row],[company_name]],'Org Mapping'!$B:$I,8,FALSE)</f>
        <v>Jawad Ulla Khan</v>
      </c>
      <c r="O107" s="30" t="str">
        <f>TEXT(Query1[[#This Row],[last_work_day]],"mmm'yy")</f>
        <v>Apr'26</v>
      </c>
    </row>
    <row r="108" spans="1:15" x14ac:dyDescent="0.35">
      <c r="A108" s="30" t="s">
        <v>110</v>
      </c>
      <c r="B108" s="30" t="s">
        <v>65</v>
      </c>
      <c r="C108" s="30" t="s">
        <v>214</v>
      </c>
      <c r="D108">
        <v>2</v>
      </c>
      <c r="E108" s="30" t="s">
        <v>215</v>
      </c>
      <c r="F108" s="29">
        <v>45209</v>
      </c>
      <c r="G108">
        <v>24214</v>
      </c>
      <c r="H108">
        <v>5214</v>
      </c>
      <c r="I108" s="30" t="s">
        <v>21</v>
      </c>
      <c r="J108" s="30" t="s">
        <v>76</v>
      </c>
      <c r="K108">
        <v>6</v>
      </c>
      <c r="L108" s="29">
        <v>46037</v>
      </c>
      <c r="M108" s="29">
        <v>45238</v>
      </c>
      <c r="N108" s="30" t="str">
        <f>VLOOKUP(Query1[[#This Row],[company_name]],'Org Mapping'!$B:$I,8,FALSE)</f>
        <v>Jawad Ulla Khan</v>
      </c>
      <c r="O108" s="30" t="str">
        <f>TEXT(Query1[[#This Row],[last_work_day]],"mmm'yy")</f>
        <v>Jan'26</v>
      </c>
    </row>
    <row r="109" spans="1:15" x14ac:dyDescent="0.35">
      <c r="A109" s="30" t="s">
        <v>1427</v>
      </c>
      <c r="B109" s="30" t="s">
        <v>1377</v>
      </c>
      <c r="C109" s="30" t="s">
        <v>1441</v>
      </c>
      <c r="D109">
        <v>2</v>
      </c>
      <c r="E109" s="30" t="s">
        <v>1442</v>
      </c>
      <c r="F109" s="29">
        <v>45222</v>
      </c>
      <c r="G109">
        <v>277200</v>
      </c>
      <c r="H109">
        <v>2200</v>
      </c>
      <c r="I109" s="30" t="s">
        <v>16</v>
      </c>
      <c r="J109" s="30" t="s">
        <v>48</v>
      </c>
      <c r="K109">
        <v>6</v>
      </c>
      <c r="L109" s="29">
        <v>46087</v>
      </c>
      <c r="M109" s="29">
        <v>46072</v>
      </c>
      <c r="N109" s="30" t="str">
        <f>VLOOKUP(Query1[[#This Row],[company_name]],'Org Mapping'!$B:$I,8,FALSE)</f>
        <v>Prathap Sagar</v>
      </c>
      <c r="O109" s="30" t="str">
        <f>TEXT(Query1[[#This Row],[last_work_day]],"mmm'yy")</f>
        <v>Mar'26</v>
      </c>
    </row>
    <row r="110" spans="1:15" x14ac:dyDescent="0.35">
      <c r="A110" s="30" t="s">
        <v>1443</v>
      </c>
      <c r="B110" s="30" t="s">
        <v>1444</v>
      </c>
      <c r="C110" s="30" t="s">
        <v>1445</v>
      </c>
      <c r="D110">
        <v>2</v>
      </c>
      <c r="E110" s="30" t="s">
        <v>1446</v>
      </c>
      <c r="F110" s="29">
        <v>45218</v>
      </c>
      <c r="G110">
        <v>156492</v>
      </c>
      <c r="H110">
        <v>44992</v>
      </c>
      <c r="I110" s="30" t="s">
        <v>16</v>
      </c>
      <c r="J110" s="30" t="s">
        <v>54</v>
      </c>
      <c r="K110">
        <v>6</v>
      </c>
      <c r="L110" s="29">
        <v>46142</v>
      </c>
      <c r="M110" s="29">
        <v>46119</v>
      </c>
      <c r="N110" s="30" t="str">
        <f>VLOOKUP(Query1[[#This Row],[company_name]],'Org Mapping'!$B:$I,8,FALSE)</f>
        <v>TBA</v>
      </c>
      <c r="O110" s="30" t="str">
        <f>TEXT(Query1[[#This Row],[last_work_day]],"mmm'yy")</f>
        <v>Apr'26</v>
      </c>
    </row>
    <row r="111" spans="1:15" x14ac:dyDescent="0.35">
      <c r="A111" s="30" t="s">
        <v>1447</v>
      </c>
      <c r="B111" s="30" t="s">
        <v>39</v>
      </c>
      <c r="C111" s="30" t="s">
        <v>1448</v>
      </c>
      <c r="D111">
        <v>2</v>
      </c>
      <c r="E111" s="30" t="s">
        <v>1449</v>
      </c>
      <c r="F111" s="29">
        <v>45217</v>
      </c>
      <c r="G111">
        <v>436800</v>
      </c>
      <c r="H111">
        <v>120134</v>
      </c>
      <c r="I111" s="30" t="s">
        <v>21</v>
      </c>
      <c r="J111" s="30" t="s">
        <v>49</v>
      </c>
      <c r="K111">
        <v>6</v>
      </c>
      <c r="L111" s="29">
        <v>46038</v>
      </c>
      <c r="M111" s="29">
        <v>46003</v>
      </c>
      <c r="N111" s="30" t="str">
        <f>VLOOKUP(Query1[[#This Row],[company_name]],'Org Mapping'!$B:$I,8,FALSE)</f>
        <v>Mehr Hashim</v>
      </c>
      <c r="O111" s="30" t="str">
        <f>TEXT(Query1[[#This Row],[last_work_day]],"mmm'yy")</f>
        <v>Jan'26</v>
      </c>
    </row>
    <row r="112" spans="1:15" x14ac:dyDescent="0.35">
      <c r="A112" s="30" t="s">
        <v>75</v>
      </c>
      <c r="B112" s="30" t="s">
        <v>65</v>
      </c>
      <c r="C112" s="30" t="s">
        <v>216</v>
      </c>
      <c r="D112">
        <v>2</v>
      </c>
      <c r="E112" s="30" t="s">
        <v>217</v>
      </c>
      <c r="F112" s="29">
        <v>45226</v>
      </c>
      <c r="G112">
        <v>23684.959999999999</v>
      </c>
      <c r="H112">
        <v>4784.96</v>
      </c>
      <c r="I112" s="30" t="s">
        <v>21</v>
      </c>
      <c r="J112" s="30" t="s">
        <v>76</v>
      </c>
      <c r="K112">
        <v>6</v>
      </c>
      <c r="L112" s="29">
        <v>46043</v>
      </c>
      <c r="M112" s="29">
        <v>46042</v>
      </c>
      <c r="N112" s="30" t="str">
        <f>VLOOKUP(Query1[[#This Row],[company_name]],'Org Mapping'!$B:$I,8,FALSE)</f>
        <v>Jawad Ulla Khan</v>
      </c>
      <c r="O112" s="30" t="str">
        <f>TEXT(Query1[[#This Row],[last_work_day]],"mmm'yy")</f>
        <v>Jan'26</v>
      </c>
    </row>
    <row r="113" spans="1:15" x14ac:dyDescent="0.35">
      <c r="A113" s="30" t="s">
        <v>75</v>
      </c>
      <c r="B113" s="30" t="s">
        <v>65</v>
      </c>
      <c r="C113" s="30" t="s">
        <v>218</v>
      </c>
      <c r="D113">
        <v>2</v>
      </c>
      <c r="E113" s="30" t="s">
        <v>219</v>
      </c>
      <c r="F113" s="29">
        <v>45224</v>
      </c>
      <c r="G113">
        <v>21956.26</v>
      </c>
      <c r="H113">
        <v>6956.26</v>
      </c>
      <c r="I113" s="30" t="s">
        <v>21</v>
      </c>
      <c r="J113" s="30" t="s">
        <v>76</v>
      </c>
      <c r="K113">
        <v>6</v>
      </c>
      <c r="L113" s="29">
        <v>46041</v>
      </c>
      <c r="M113" s="29">
        <v>46041</v>
      </c>
      <c r="N113" s="30" t="str">
        <f>VLOOKUP(Query1[[#This Row],[company_name]],'Org Mapping'!$B:$I,8,FALSE)</f>
        <v>Jawad Ulla Khan</v>
      </c>
      <c r="O113" s="30" t="str">
        <f>TEXT(Query1[[#This Row],[last_work_day]],"mmm'yy")</f>
        <v>Jan'26</v>
      </c>
    </row>
    <row r="114" spans="1:15" x14ac:dyDescent="0.35">
      <c r="A114" s="30" t="s">
        <v>75</v>
      </c>
      <c r="B114" s="30" t="s">
        <v>65</v>
      </c>
      <c r="C114" s="30" t="s">
        <v>221</v>
      </c>
      <c r="D114">
        <v>2</v>
      </c>
      <c r="E114" s="30" t="s">
        <v>222</v>
      </c>
      <c r="F114" s="29">
        <v>45230</v>
      </c>
      <c r="G114">
        <v>23684.959999999999</v>
      </c>
      <c r="H114">
        <v>4784.96</v>
      </c>
      <c r="I114" s="30" t="s">
        <v>21</v>
      </c>
      <c r="J114" s="30" t="s">
        <v>76</v>
      </c>
      <c r="K114">
        <v>6</v>
      </c>
      <c r="L114" s="29">
        <v>46043</v>
      </c>
      <c r="M114" s="29">
        <v>45483</v>
      </c>
      <c r="N114" s="30" t="str">
        <f>VLOOKUP(Query1[[#This Row],[company_name]],'Org Mapping'!$B:$I,8,FALSE)</f>
        <v>Jawad Ulla Khan</v>
      </c>
      <c r="O114" s="30" t="str">
        <f>TEXT(Query1[[#This Row],[last_work_day]],"mmm'yy")</f>
        <v>Jan'26</v>
      </c>
    </row>
    <row r="115" spans="1:15" x14ac:dyDescent="0.35">
      <c r="A115" s="30" t="s">
        <v>1450</v>
      </c>
      <c r="B115" s="30" t="s">
        <v>1377</v>
      </c>
      <c r="C115" s="30" t="s">
        <v>1451</v>
      </c>
      <c r="D115">
        <v>7</v>
      </c>
      <c r="E115" s="30" t="s">
        <v>1452</v>
      </c>
      <c r="F115" s="29">
        <v>45232</v>
      </c>
      <c r="G115">
        <v>172362.3</v>
      </c>
      <c r="H115">
        <v>7422.3</v>
      </c>
      <c r="I115" s="30" t="s">
        <v>26</v>
      </c>
      <c r="J115" s="30" t="s">
        <v>28</v>
      </c>
      <c r="K115">
        <v>6</v>
      </c>
      <c r="L115" s="29">
        <v>46111</v>
      </c>
      <c r="M115" s="29">
        <v>46083</v>
      </c>
      <c r="N115" s="30" t="str">
        <f>VLOOKUP(Query1[[#This Row],[company_name]],'Org Mapping'!$B:$I,8,FALSE)</f>
        <v>TBA</v>
      </c>
      <c r="O115" s="30" t="str">
        <f>TEXT(Query1[[#This Row],[last_work_day]],"mmm'yy")</f>
        <v>Mar'26</v>
      </c>
    </row>
    <row r="116" spans="1:15" x14ac:dyDescent="0.35">
      <c r="A116" s="30" t="s">
        <v>51</v>
      </c>
      <c r="B116" s="30" t="s">
        <v>43</v>
      </c>
      <c r="C116" s="30" t="s">
        <v>223</v>
      </c>
      <c r="D116">
        <v>6</v>
      </c>
      <c r="E116" s="30" t="s">
        <v>224</v>
      </c>
      <c r="F116" s="29">
        <v>45232</v>
      </c>
      <c r="G116">
        <v>35685</v>
      </c>
      <c r="H116">
        <v>5185</v>
      </c>
      <c r="I116" s="30" t="s">
        <v>26</v>
      </c>
      <c r="J116" s="30" t="s">
        <v>17</v>
      </c>
      <c r="K116">
        <v>6</v>
      </c>
      <c r="L116" s="29">
        <v>46080</v>
      </c>
      <c r="M116" s="29">
        <v>46050</v>
      </c>
      <c r="N116" s="30" t="str">
        <f>VLOOKUP(Query1[[#This Row],[company_name]],'Org Mapping'!$B:$I,8,FALSE)</f>
        <v>Jawad Ulla Khan</v>
      </c>
      <c r="O116" s="30" t="str">
        <f>TEXT(Query1[[#This Row],[last_work_day]],"mmm'yy")</f>
        <v>Feb'26</v>
      </c>
    </row>
    <row r="117" spans="1:15" x14ac:dyDescent="0.35">
      <c r="A117" s="30" t="s">
        <v>75</v>
      </c>
      <c r="B117" s="30" t="s">
        <v>65</v>
      </c>
      <c r="C117" s="30" t="s">
        <v>225</v>
      </c>
      <c r="D117">
        <v>2</v>
      </c>
      <c r="E117" s="30" t="s">
        <v>226</v>
      </c>
      <c r="F117" s="29">
        <v>45238</v>
      </c>
      <c r="G117">
        <v>22125</v>
      </c>
      <c r="H117">
        <v>3375</v>
      </c>
      <c r="I117" s="30" t="s">
        <v>26</v>
      </c>
      <c r="J117" s="30" t="s">
        <v>76</v>
      </c>
      <c r="K117">
        <v>6</v>
      </c>
      <c r="L117" s="29">
        <v>46101</v>
      </c>
      <c r="M117" s="29">
        <v>46072</v>
      </c>
      <c r="N117" s="30" t="str">
        <f>VLOOKUP(Query1[[#This Row],[company_name]],'Org Mapping'!$B:$I,8,FALSE)</f>
        <v>Jawad Ulla Khan</v>
      </c>
      <c r="O117" s="30" t="str">
        <f>TEXT(Query1[[#This Row],[last_work_day]],"mmm'yy")</f>
        <v>Mar'26</v>
      </c>
    </row>
    <row r="118" spans="1:15" x14ac:dyDescent="0.35">
      <c r="A118" s="30" t="s">
        <v>75</v>
      </c>
      <c r="B118" s="30" t="s">
        <v>65</v>
      </c>
      <c r="C118" s="30" t="s">
        <v>227</v>
      </c>
      <c r="D118">
        <v>2</v>
      </c>
      <c r="E118" s="30" t="s">
        <v>228</v>
      </c>
      <c r="F118" s="29">
        <v>45238</v>
      </c>
      <c r="G118">
        <v>56160</v>
      </c>
      <c r="H118">
        <v>11160</v>
      </c>
      <c r="I118" s="30" t="s">
        <v>16</v>
      </c>
      <c r="J118" s="30" t="s">
        <v>90</v>
      </c>
      <c r="K118">
        <v>6</v>
      </c>
      <c r="L118" s="29">
        <v>46076</v>
      </c>
      <c r="M118" s="29">
        <v>45303</v>
      </c>
      <c r="N118" s="30" t="str">
        <f>VLOOKUP(Query1[[#This Row],[company_name]],'Org Mapping'!$B:$I,8,FALSE)</f>
        <v>Jawad Ulla Khan</v>
      </c>
      <c r="O118" s="30" t="str">
        <f>TEXT(Query1[[#This Row],[last_work_day]],"mmm'yy")</f>
        <v>Feb'26</v>
      </c>
    </row>
    <row r="119" spans="1:15" x14ac:dyDescent="0.35">
      <c r="A119" s="30" t="s">
        <v>110</v>
      </c>
      <c r="B119" s="30" t="s">
        <v>65</v>
      </c>
      <c r="C119" s="30" t="s">
        <v>229</v>
      </c>
      <c r="D119">
        <v>2</v>
      </c>
      <c r="E119" s="30" t="s">
        <v>230</v>
      </c>
      <c r="F119" s="29">
        <v>45240</v>
      </c>
      <c r="G119">
        <v>21956.26</v>
      </c>
      <c r="H119">
        <v>6956.26</v>
      </c>
      <c r="I119" s="30" t="s">
        <v>21</v>
      </c>
      <c r="J119" s="30" t="s">
        <v>76</v>
      </c>
      <c r="K119">
        <v>6</v>
      </c>
      <c r="L119" s="29">
        <v>46029</v>
      </c>
      <c r="M119" s="29">
        <v>45329</v>
      </c>
      <c r="N119" s="30" t="str">
        <f>VLOOKUP(Query1[[#This Row],[company_name]],'Org Mapping'!$B:$I,8,FALSE)</f>
        <v>Jawad Ulla Khan</v>
      </c>
      <c r="O119" s="30" t="str">
        <f>TEXT(Query1[[#This Row],[last_work_day]],"mmm'yy")</f>
        <v>Jan'26</v>
      </c>
    </row>
    <row r="120" spans="1:15" x14ac:dyDescent="0.35">
      <c r="A120" s="30" t="s">
        <v>110</v>
      </c>
      <c r="B120" s="30" t="s">
        <v>65</v>
      </c>
      <c r="C120" s="30" t="s">
        <v>231</v>
      </c>
      <c r="D120">
        <v>2</v>
      </c>
      <c r="E120" s="30" t="s">
        <v>232</v>
      </c>
      <c r="F120" s="29">
        <v>45257</v>
      </c>
      <c r="G120">
        <v>26151.16</v>
      </c>
      <c r="H120">
        <v>3989.16</v>
      </c>
      <c r="I120" s="30" t="s">
        <v>21</v>
      </c>
      <c r="J120" s="30" t="s">
        <v>76</v>
      </c>
      <c r="K120">
        <v>6</v>
      </c>
      <c r="L120" s="29">
        <v>46043</v>
      </c>
      <c r="M120" s="29">
        <v>46042</v>
      </c>
      <c r="N120" s="30" t="str">
        <f>VLOOKUP(Query1[[#This Row],[company_name]],'Org Mapping'!$B:$I,8,FALSE)</f>
        <v>Jawad Ulla Khan</v>
      </c>
      <c r="O120" s="30" t="str">
        <f>TEXT(Query1[[#This Row],[last_work_day]],"mmm'yy")</f>
        <v>Jan'26</v>
      </c>
    </row>
    <row r="121" spans="1:15" x14ac:dyDescent="0.35">
      <c r="A121" s="30" t="s">
        <v>234</v>
      </c>
      <c r="B121" s="30" t="s">
        <v>65</v>
      </c>
      <c r="C121" s="30" t="s">
        <v>235</v>
      </c>
      <c r="D121">
        <v>2</v>
      </c>
      <c r="E121" s="30" t="s">
        <v>236</v>
      </c>
      <c r="F121" s="29">
        <v>45260</v>
      </c>
      <c r="G121">
        <v>41536</v>
      </c>
      <c r="H121">
        <v>9536</v>
      </c>
      <c r="I121" s="30" t="s">
        <v>21</v>
      </c>
      <c r="J121" s="30" t="s">
        <v>76</v>
      </c>
      <c r="K121">
        <v>6</v>
      </c>
      <c r="L121" s="29">
        <v>46085</v>
      </c>
      <c r="M121" s="29">
        <v>45303</v>
      </c>
      <c r="N121" s="30" t="str">
        <f>VLOOKUP(Query1[[#This Row],[company_name]],'Org Mapping'!$B:$I,8,FALSE)</f>
        <v>Jawad Ulla Khan</v>
      </c>
      <c r="O121" s="30" t="str">
        <f>TEXT(Query1[[#This Row],[last_work_day]],"mmm'yy")</f>
        <v>Mar'26</v>
      </c>
    </row>
    <row r="122" spans="1:15" x14ac:dyDescent="0.35">
      <c r="A122" s="30" t="s">
        <v>170</v>
      </c>
      <c r="B122" s="30" t="s">
        <v>65</v>
      </c>
      <c r="C122" s="30" t="s">
        <v>237</v>
      </c>
      <c r="D122">
        <v>2</v>
      </c>
      <c r="E122" s="30" t="s">
        <v>238</v>
      </c>
      <c r="F122" s="29">
        <v>45268</v>
      </c>
      <c r="G122">
        <v>29500</v>
      </c>
      <c r="H122">
        <v>4500</v>
      </c>
      <c r="I122" s="30" t="s">
        <v>21</v>
      </c>
      <c r="J122" s="30" t="s">
        <v>76</v>
      </c>
      <c r="K122">
        <v>6</v>
      </c>
      <c r="L122" s="29">
        <v>46129</v>
      </c>
      <c r="M122" s="29">
        <v>45310</v>
      </c>
      <c r="N122" s="30" t="str">
        <f>VLOOKUP(Query1[[#This Row],[company_name]],'Org Mapping'!$B:$I,8,FALSE)</f>
        <v>Jawad Ulla Khan</v>
      </c>
      <c r="O122" s="30" t="str">
        <f>TEXT(Query1[[#This Row],[last_work_day]],"mmm'yy")</f>
        <v>Apr'26</v>
      </c>
    </row>
    <row r="123" spans="1:15" x14ac:dyDescent="0.35">
      <c r="A123" s="30" t="s">
        <v>123</v>
      </c>
      <c r="B123" s="30" t="s">
        <v>43</v>
      </c>
      <c r="C123" s="30" t="s">
        <v>239</v>
      </c>
      <c r="D123">
        <v>2</v>
      </c>
      <c r="E123" s="30" t="s">
        <v>240</v>
      </c>
      <c r="F123" s="29">
        <v>45271</v>
      </c>
      <c r="G123">
        <v>66950</v>
      </c>
      <c r="H123">
        <v>15450</v>
      </c>
      <c r="I123" s="30" t="s">
        <v>21</v>
      </c>
      <c r="J123" s="30" t="s">
        <v>90</v>
      </c>
      <c r="K123">
        <v>6</v>
      </c>
      <c r="L123" s="29">
        <v>46170</v>
      </c>
      <c r="M123" s="29">
        <v>45283</v>
      </c>
      <c r="N123" s="30" t="str">
        <f>VLOOKUP(Query1[[#This Row],[company_name]],'Org Mapping'!$B:$I,8,FALSE)</f>
        <v>Jawad Ulla Khan</v>
      </c>
      <c r="O123" s="30" t="str">
        <f>TEXT(Query1[[#This Row],[last_work_day]],"mmm'yy")</f>
        <v>May'26</v>
      </c>
    </row>
    <row r="124" spans="1:15" x14ac:dyDescent="0.35">
      <c r="A124" s="30" t="s">
        <v>75</v>
      </c>
      <c r="B124" s="30" t="s">
        <v>65</v>
      </c>
      <c r="C124" s="30" t="s">
        <v>241</v>
      </c>
      <c r="D124">
        <v>2</v>
      </c>
      <c r="E124" s="30" t="s">
        <v>242</v>
      </c>
      <c r="F124" s="29">
        <v>45268</v>
      </c>
      <c r="G124">
        <v>29500</v>
      </c>
      <c r="H124">
        <v>4500</v>
      </c>
      <c r="I124" s="30" t="s">
        <v>21</v>
      </c>
      <c r="J124" s="30" t="s">
        <v>76</v>
      </c>
      <c r="K124">
        <v>6</v>
      </c>
      <c r="L124" s="29">
        <v>46167</v>
      </c>
      <c r="M124" s="29">
        <v>46135</v>
      </c>
      <c r="N124" s="30" t="str">
        <f>VLOOKUP(Query1[[#This Row],[company_name]],'Org Mapping'!$B:$I,8,FALSE)</f>
        <v>Jawad Ulla Khan</v>
      </c>
      <c r="O124" s="30" t="str">
        <f>TEXT(Query1[[#This Row],[last_work_day]],"mmm'yy")</f>
        <v>May'26</v>
      </c>
    </row>
    <row r="125" spans="1:15" x14ac:dyDescent="0.35">
      <c r="A125" s="30" t="s">
        <v>123</v>
      </c>
      <c r="B125" s="30" t="s">
        <v>43</v>
      </c>
      <c r="C125" s="30" t="s">
        <v>243</v>
      </c>
      <c r="D125">
        <v>6</v>
      </c>
      <c r="E125" s="30" t="s">
        <v>244</v>
      </c>
      <c r="F125" s="29">
        <v>45273</v>
      </c>
      <c r="G125">
        <v>39253.5</v>
      </c>
      <c r="H125">
        <v>5703.5</v>
      </c>
      <c r="I125" s="30" t="s">
        <v>26</v>
      </c>
      <c r="J125" s="30" t="s">
        <v>17</v>
      </c>
      <c r="K125">
        <v>6</v>
      </c>
      <c r="L125" s="29">
        <v>46092</v>
      </c>
      <c r="M125" s="29">
        <v>46063</v>
      </c>
      <c r="N125" s="30" t="str">
        <f>VLOOKUP(Query1[[#This Row],[company_name]],'Org Mapping'!$B:$I,8,FALSE)</f>
        <v>Jawad Ulla Khan</v>
      </c>
      <c r="O125" s="30" t="str">
        <f>TEXT(Query1[[#This Row],[last_work_day]],"mmm'yy")</f>
        <v>Mar'26</v>
      </c>
    </row>
    <row r="126" spans="1:15" x14ac:dyDescent="0.35">
      <c r="A126" s="30" t="s">
        <v>220</v>
      </c>
      <c r="B126" s="30" t="s">
        <v>43</v>
      </c>
      <c r="C126" s="30" t="s">
        <v>245</v>
      </c>
      <c r="D126">
        <v>2</v>
      </c>
      <c r="E126" s="30" t="s">
        <v>246</v>
      </c>
      <c r="F126" s="29">
        <v>45286</v>
      </c>
      <c r="G126">
        <v>64272</v>
      </c>
      <c r="H126">
        <v>14832</v>
      </c>
      <c r="I126" s="30" t="s">
        <v>16</v>
      </c>
      <c r="J126" s="30" t="s">
        <v>90</v>
      </c>
      <c r="K126">
        <v>6</v>
      </c>
      <c r="L126" s="29">
        <v>46053</v>
      </c>
      <c r="M126" s="29">
        <v>45329</v>
      </c>
      <c r="N126" s="30" t="str">
        <f>VLOOKUP(Query1[[#This Row],[company_name]],'Org Mapping'!$B:$I,8,FALSE)</f>
        <v>Jawad Ulla Khan</v>
      </c>
      <c r="O126" s="30" t="str">
        <f>TEXT(Query1[[#This Row],[last_work_day]],"mmm'yy")</f>
        <v>Jan'26</v>
      </c>
    </row>
    <row r="127" spans="1:15" x14ac:dyDescent="0.35">
      <c r="A127" s="30" t="s">
        <v>1453</v>
      </c>
      <c r="B127" s="30" t="s">
        <v>39</v>
      </c>
      <c r="C127" s="30" t="s">
        <v>1454</v>
      </c>
      <c r="D127">
        <v>2</v>
      </c>
      <c r="E127" s="30" t="s">
        <v>1455</v>
      </c>
      <c r="F127" s="29">
        <v>45280</v>
      </c>
      <c r="G127">
        <v>173250</v>
      </c>
      <c r="H127">
        <v>173250</v>
      </c>
      <c r="I127" s="30" t="s">
        <v>16</v>
      </c>
      <c r="J127" s="30" t="s">
        <v>247</v>
      </c>
      <c r="K127">
        <v>6</v>
      </c>
      <c r="L127" s="29">
        <v>46059</v>
      </c>
      <c r="M127" s="29">
        <v>46030</v>
      </c>
      <c r="N127" s="30" t="str">
        <f>VLOOKUP(Query1[[#This Row],[company_name]],'Org Mapping'!$B:$I,8,FALSE)</f>
        <v>Anuradha</v>
      </c>
      <c r="O127" s="30" t="str">
        <f>TEXT(Query1[[#This Row],[last_work_day]],"mmm'yy")</f>
        <v>Feb'26</v>
      </c>
    </row>
    <row r="128" spans="1:15" x14ac:dyDescent="0.35">
      <c r="A128" s="30" t="s">
        <v>1456</v>
      </c>
      <c r="B128" s="30" t="s">
        <v>39</v>
      </c>
      <c r="C128" s="30" t="s">
        <v>1457</v>
      </c>
      <c r="D128">
        <v>2</v>
      </c>
      <c r="E128" s="30" t="s">
        <v>1458</v>
      </c>
      <c r="F128" s="29">
        <v>45282</v>
      </c>
      <c r="G128">
        <v>64000</v>
      </c>
      <c r="H128">
        <v>9834</v>
      </c>
      <c r="I128" s="30" t="s">
        <v>21</v>
      </c>
      <c r="J128" s="30" t="s">
        <v>248</v>
      </c>
      <c r="K128">
        <v>6</v>
      </c>
      <c r="L128" s="29">
        <v>46024</v>
      </c>
      <c r="M128" s="29">
        <v>45988</v>
      </c>
      <c r="N128" s="30" t="str">
        <f>VLOOKUP(Query1[[#This Row],[company_name]],'Org Mapping'!$B:$I,8,FALSE)</f>
        <v>Sadhna Shukla</v>
      </c>
      <c r="O128" s="30" t="str">
        <f>TEXT(Query1[[#This Row],[last_work_day]],"mmm'yy")</f>
        <v>Jan'26</v>
      </c>
    </row>
    <row r="129" spans="1:15" x14ac:dyDescent="0.35">
      <c r="A129" s="30" t="s">
        <v>1459</v>
      </c>
      <c r="B129" s="30" t="s">
        <v>114</v>
      </c>
      <c r="C129" s="30" t="s">
        <v>1460</v>
      </c>
      <c r="D129">
        <v>2</v>
      </c>
      <c r="E129" s="30" t="s">
        <v>1461</v>
      </c>
      <c r="F129" s="29">
        <v>45323</v>
      </c>
      <c r="G129">
        <v>208845</v>
      </c>
      <c r="H129">
        <v>48345</v>
      </c>
      <c r="I129" s="30" t="s">
        <v>21</v>
      </c>
      <c r="J129" s="30" t="s">
        <v>119</v>
      </c>
      <c r="K129">
        <v>6</v>
      </c>
      <c r="L129" s="29">
        <v>46113</v>
      </c>
      <c r="M129" s="29">
        <v>46099</v>
      </c>
      <c r="N129" s="30" t="str">
        <f>VLOOKUP(Query1[[#This Row],[company_name]],'Org Mapping'!$B:$I,8,FALSE)</f>
        <v>Anuradha</v>
      </c>
      <c r="O129" s="30" t="str">
        <f>TEXT(Query1[[#This Row],[last_work_day]],"mmm'yy")</f>
        <v>Apr'26</v>
      </c>
    </row>
    <row r="130" spans="1:15" x14ac:dyDescent="0.35">
      <c r="A130" s="30" t="s">
        <v>1453</v>
      </c>
      <c r="B130" s="30" t="s">
        <v>39</v>
      </c>
      <c r="C130" s="30" t="s">
        <v>1462</v>
      </c>
      <c r="D130">
        <v>2</v>
      </c>
      <c r="E130" s="30" t="s">
        <v>1463</v>
      </c>
      <c r="F130" s="29">
        <v>45303</v>
      </c>
      <c r="G130">
        <v>378000</v>
      </c>
      <c r="H130">
        <v>194250</v>
      </c>
      <c r="I130" s="30" t="s">
        <v>37</v>
      </c>
      <c r="J130" s="30" t="s">
        <v>116</v>
      </c>
      <c r="K130">
        <v>6</v>
      </c>
      <c r="L130" s="29">
        <v>46112</v>
      </c>
      <c r="M130" s="29">
        <v>46076</v>
      </c>
      <c r="N130" s="30" t="str">
        <f>VLOOKUP(Query1[[#This Row],[company_name]],'Org Mapping'!$B:$I,8,FALSE)</f>
        <v>Mehr Hashim</v>
      </c>
      <c r="O130" s="30" t="str">
        <f>TEXT(Query1[[#This Row],[last_work_day]],"mmm'yy")</f>
        <v>Mar'26</v>
      </c>
    </row>
    <row r="131" spans="1:15" x14ac:dyDescent="0.35">
      <c r="A131" s="30" t="s">
        <v>1464</v>
      </c>
      <c r="B131" s="30" t="s">
        <v>39</v>
      </c>
      <c r="C131" s="30" t="s">
        <v>1465</v>
      </c>
      <c r="D131">
        <v>2</v>
      </c>
      <c r="E131" s="30" t="s">
        <v>1466</v>
      </c>
      <c r="F131" s="29">
        <v>45303</v>
      </c>
      <c r="G131">
        <v>200000</v>
      </c>
      <c r="H131">
        <v>33750</v>
      </c>
      <c r="I131" s="30" t="s">
        <v>26</v>
      </c>
      <c r="J131" s="30" t="s">
        <v>116</v>
      </c>
      <c r="K131">
        <v>6</v>
      </c>
      <c r="L131" s="29">
        <v>46036</v>
      </c>
      <c r="M131" s="29">
        <v>45915</v>
      </c>
      <c r="N131" s="30" t="str">
        <f>VLOOKUP(Query1[[#This Row],[company_name]],'Org Mapping'!$B:$I,8,FALSE)</f>
        <v>Mehr Hashim</v>
      </c>
      <c r="O131" s="30" t="str">
        <f>TEXT(Query1[[#This Row],[last_work_day]],"mmm'yy")</f>
        <v>Jan'26</v>
      </c>
    </row>
    <row r="132" spans="1:15" x14ac:dyDescent="0.35">
      <c r="A132" s="30" t="s">
        <v>250</v>
      </c>
      <c r="B132" s="30" t="s">
        <v>65</v>
      </c>
      <c r="C132" s="30" t="s">
        <v>251</v>
      </c>
      <c r="D132">
        <v>2</v>
      </c>
      <c r="E132" s="30" t="s">
        <v>252</v>
      </c>
      <c r="F132" s="29">
        <v>45313</v>
      </c>
      <c r="G132">
        <v>26387.16</v>
      </c>
      <c r="H132">
        <v>7387.16</v>
      </c>
      <c r="I132" s="30" t="s">
        <v>21</v>
      </c>
      <c r="J132" s="30" t="s">
        <v>76</v>
      </c>
      <c r="K132">
        <v>6</v>
      </c>
      <c r="L132" s="29">
        <v>46100</v>
      </c>
      <c r="M132" s="29">
        <v>46099</v>
      </c>
      <c r="N132" s="30" t="str">
        <f>VLOOKUP(Query1[[#This Row],[company_name]],'Org Mapping'!$B:$I,8,FALSE)</f>
        <v>Jawad Ulla Khan</v>
      </c>
      <c r="O132" s="30" t="str">
        <f>TEXT(Query1[[#This Row],[last_work_day]],"mmm'yy")</f>
        <v>Mar'26</v>
      </c>
    </row>
    <row r="133" spans="1:15" x14ac:dyDescent="0.35">
      <c r="A133" s="30" t="s">
        <v>75</v>
      </c>
      <c r="B133" s="30" t="s">
        <v>65</v>
      </c>
      <c r="C133" s="30" t="s">
        <v>253</v>
      </c>
      <c r="D133">
        <v>2</v>
      </c>
      <c r="E133" s="30" t="s">
        <v>254</v>
      </c>
      <c r="F133" s="29">
        <v>45320</v>
      </c>
      <c r="G133">
        <v>23684.959999999999</v>
      </c>
      <c r="H133">
        <v>4684.96</v>
      </c>
      <c r="I133" s="30" t="s">
        <v>21</v>
      </c>
      <c r="J133" s="30" t="s">
        <v>76</v>
      </c>
      <c r="K133">
        <v>6</v>
      </c>
      <c r="L133" s="29">
        <v>46041</v>
      </c>
      <c r="M133" s="29">
        <v>45483</v>
      </c>
      <c r="N133" s="30" t="str">
        <f>VLOOKUP(Query1[[#This Row],[company_name]],'Org Mapping'!$B:$I,8,FALSE)</f>
        <v>Jawad Ulla Khan</v>
      </c>
      <c r="O133" s="30" t="str">
        <f>TEXT(Query1[[#This Row],[last_work_day]],"mmm'yy")</f>
        <v>Jan'26</v>
      </c>
    </row>
    <row r="134" spans="1:15" x14ac:dyDescent="0.35">
      <c r="A134" s="30" t="s">
        <v>250</v>
      </c>
      <c r="B134" s="30" t="s">
        <v>65</v>
      </c>
      <c r="C134" s="30" t="s">
        <v>255</v>
      </c>
      <c r="D134">
        <v>2</v>
      </c>
      <c r="E134" s="30" t="s">
        <v>256</v>
      </c>
      <c r="F134" s="29">
        <v>45316</v>
      </c>
      <c r="G134">
        <v>24213.599999999999</v>
      </c>
      <c r="H134">
        <v>5213.6000000000004</v>
      </c>
      <c r="I134" s="30" t="s">
        <v>21</v>
      </c>
      <c r="J134" s="30" t="s">
        <v>76</v>
      </c>
      <c r="K134">
        <v>6</v>
      </c>
      <c r="L134" s="29">
        <v>46043</v>
      </c>
      <c r="M134" s="29">
        <v>46042</v>
      </c>
      <c r="N134" s="30" t="str">
        <f>VLOOKUP(Query1[[#This Row],[company_name]],'Org Mapping'!$B:$I,8,FALSE)</f>
        <v>Jawad Ulla Khan</v>
      </c>
      <c r="O134" s="30" t="str">
        <f>TEXT(Query1[[#This Row],[last_work_day]],"mmm'yy")</f>
        <v>Jan'26</v>
      </c>
    </row>
    <row r="135" spans="1:15" x14ac:dyDescent="0.35">
      <c r="A135" s="30" t="s">
        <v>1450</v>
      </c>
      <c r="B135" s="30" t="s">
        <v>1377</v>
      </c>
      <c r="C135" s="30" t="s">
        <v>1467</v>
      </c>
      <c r="D135">
        <v>2</v>
      </c>
      <c r="E135" s="30" t="s">
        <v>1468</v>
      </c>
      <c r="F135" s="29">
        <v>45334</v>
      </c>
      <c r="G135">
        <v>256200</v>
      </c>
      <c r="H135">
        <v>28700</v>
      </c>
      <c r="I135" s="30" t="s">
        <v>16</v>
      </c>
      <c r="J135" s="30" t="s">
        <v>48</v>
      </c>
      <c r="K135">
        <v>6</v>
      </c>
      <c r="L135" s="29">
        <v>46112</v>
      </c>
      <c r="M135" s="29">
        <v>46084</v>
      </c>
      <c r="N135" s="30" t="str">
        <f>VLOOKUP(Query1[[#This Row],[company_name]],'Org Mapping'!$B:$I,8,FALSE)</f>
        <v>Prathap Sagar</v>
      </c>
      <c r="O135" s="30" t="str">
        <f>TEXT(Query1[[#This Row],[last_work_day]],"mmm'yy")</f>
        <v>Mar'26</v>
      </c>
    </row>
    <row r="136" spans="1:15" x14ac:dyDescent="0.35">
      <c r="A136" s="30" t="s">
        <v>122</v>
      </c>
      <c r="B136" s="30" t="s">
        <v>65</v>
      </c>
      <c r="C136" s="30" t="s">
        <v>258</v>
      </c>
      <c r="D136">
        <v>2</v>
      </c>
      <c r="E136" s="30" t="s">
        <v>259</v>
      </c>
      <c r="F136" s="29">
        <v>45328</v>
      </c>
      <c r="G136">
        <v>26150.69</v>
      </c>
      <c r="H136">
        <v>5630.69</v>
      </c>
      <c r="I136" s="30" t="s">
        <v>21</v>
      </c>
      <c r="J136" s="30" t="s">
        <v>76</v>
      </c>
      <c r="K136">
        <v>6</v>
      </c>
      <c r="L136" s="29">
        <v>46077</v>
      </c>
      <c r="M136" s="29">
        <v>46076</v>
      </c>
      <c r="N136" s="30" t="str">
        <f>VLOOKUP(Query1[[#This Row],[company_name]],'Org Mapping'!$B:$I,8,FALSE)</f>
        <v>Jawad Ulla Khan</v>
      </c>
      <c r="O136" s="30" t="str">
        <f>TEXT(Query1[[#This Row],[last_work_day]],"mmm'yy")</f>
        <v>Feb'26</v>
      </c>
    </row>
    <row r="137" spans="1:15" x14ac:dyDescent="0.35">
      <c r="A137" s="30" t="s">
        <v>110</v>
      </c>
      <c r="B137" s="30" t="s">
        <v>65</v>
      </c>
      <c r="C137" s="30" t="s">
        <v>260</v>
      </c>
      <c r="D137">
        <v>2</v>
      </c>
      <c r="E137" s="30" t="s">
        <v>261</v>
      </c>
      <c r="F137" s="29">
        <v>45327</v>
      </c>
      <c r="G137">
        <v>27105.78</v>
      </c>
      <c r="H137">
        <v>6005.78</v>
      </c>
      <c r="I137" s="30" t="s">
        <v>21</v>
      </c>
      <c r="J137" s="30" t="s">
        <v>76</v>
      </c>
      <c r="K137">
        <v>6</v>
      </c>
      <c r="L137" s="29">
        <v>46174</v>
      </c>
      <c r="M137" s="29">
        <v>46168</v>
      </c>
      <c r="N137" s="30" t="str">
        <f>VLOOKUP(Query1[[#This Row],[company_name]],'Org Mapping'!$B:$I,8,FALSE)</f>
        <v>Jawad Ulla Khan</v>
      </c>
      <c r="O137" s="30" t="str">
        <f>TEXT(Query1[[#This Row],[last_work_day]],"mmm'yy")</f>
        <v>Jun'26</v>
      </c>
    </row>
    <row r="138" spans="1:15" x14ac:dyDescent="0.35">
      <c r="A138" s="30" t="s">
        <v>75</v>
      </c>
      <c r="B138" s="30" t="s">
        <v>65</v>
      </c>
      <c r="C138" s="30" t="s">
        <v>262</v>
      </c>
      <c r="D138">
        <v>2</v>
      </c>
      <c r="E138" s="30" t="s">
        <v>263</v>
      </c>
      <c r="F138" s="29">
        <v>45331</v>
      </c>
      <c r="G138">
        <v>64900</v>
      </c>
      <c r="H138">
        <v>9900</v>
      </c>
      <c r="I138" s="30" t="s">
        <v>16</v>
      </c>
      <c r="J138" s="30" t="s">
        <v>76</v>
      </c>
      <c r="K138">
        <v>6</v>
      </c>
      <c r="L138" s="29">
        <v>46031</v>
      </c>
      <c r="M138" s="29">
        <v>46021</v>
      </c>
      <c r="N138" s="30" t="str">
        <f>VLOOKUP(Query1[[#This Row],[company_name]],'Org Mapping'!$B:$I,8,FALSE)</f>
        <v>Jawad Ulla Khan</v>
      </c>
      <c r="O138" s="30" t="str">
        <f>TEXT(Query1[[#This Row],[last_work_day]],"mmm'yy")</f>
        <v>Jan'26</v>
      </c>
    </row>
    <row r="139" spans="1:15" x14ac:dyDescent="0.35">
      <c r="A139" s="30" t="s">
        <v>103</v>
      </c>
      <c r="B139" s="30" t="s">
        <v>65</v>
      </c>
      <c r="C139" s="30" t="s">
        <v>264</v>
      </c>
      <c r="D139">
        <v>2</v>
      </c>
      <c r="E139" s="30" t="s">
        <v>265</v>
      </c>
      <c r="F139" s="29">
        <v>45337</v>
      </c>
      <c r="G139">
        <v>24213.599999999999</v>
      </c>
      <c r="H139">
        <v>5213.6000000000004</v>
      </c>
      <c r="I139" s="30" t="s">
        <v>21</v>
      </c>
      <c r="J139" s="30" t="s">
        <v>76</v>
      </c>
      <c r="K139">
        <v>6</v>
      </c>
      <c r="L139" s="29">
        <v>46051</v>
      </c>
      <c r="M139" s="29">
        <v>46050</v>
      </c>
      <c r="N139" s="30" t="str">
        <f>VLOOKUP(Query1[[#This Row],[company_name]],'Org Mapping'!$B:$I,8,FALSE)</f>
        <v>Jawad Ulla Khan</v>
      </c>
      <c r="O139" s="30" t="str">
        <f>TEXT(Query1[[#This Row],[last_work_day]],"mmm'yy")</f>
        <v>Jan'26</v>
      </c>
    </row>
    <row r="140" spans="1:15" x14ac:dyDescent="0.35">
      <c r="A140" s="30" t="s">
        <v>1469</v>
      </c>
      <c r="B140" s="30" t="s">
        <v>39</v>
      </c>
      <c r="C140" s="30" t="s">
        <v>1470</v>
      </c>
      <c r="D140">
        <v>2</v>
      </c>
      <c r="E140" s="30" t="s">
        <v>1471</v>
      </c>
      <c r="F140" s="29">
        <v>45336</v>
      </c>
      <c r="G140">
        <v>242781</v>
      </c>
      <c r="H140">
        <v>84448</v>
      </c>
      <c r="I140" s="30" t="s">
        <v>21</v>
      </c>
      <c r="J140" s="30" t="s">
        <v>36</v>
      </c>
      <c r="K140">
        <v>6</v>
      </c>
      <c r="L140" s="29">
        <v>46059</v>
      </c>
      <c r="M140" s="29">
        <v>46058</v>
      </c>
      <c r="N140" s="30" t="str">
        <f>VLOOKUP(Query1[[#This Row],[company_name]],'Org Mapping'!$B:$I,8,FALSE)</f>
        <v>Sadhna Shukla</v>
      </c>
      <c r="O140" s="30" t="str">
        <f>TEXT(Query1[[#This Row],[last_work_day]],"mmm'yy")</f>
        <v>Feb'26</v>
      </c>
    </row>
    <row r="141" spans="1:15" x14ac:dyDescent="0.35">
      <c r="A141" s="30" t="s">
        <v>1472</v>
      </c>
      <c r="B141" s="30" t="s">
        <v>186</v>
      </c>
      <c r="C141" s="30" t="s">
        <v>1473</v>
      </c>
      <c r="D141">
        <v>2</v>
      </c>
      <c r="E141" s="30" t="s">
        <v>1474</v>
      </c>
      <c r="F141" s="29">
        <v>45344</v>
      </c>
      <c r="G141">
        <v>205000</v>
      </c>
      <c r="H141">
        <v>13334</v>
      </c>
      <c r="I141" s="30" t="s">
        <v>37</v>
      </c>
      <c r="J141" s="30" t="s">
        <v>73</v>
      </c>
      <c r="K141">
        <v>6</v>
      </c>
      <c r="L141" s="29">
        <v>46125</v>
      </c>
      <c r="M141" s="29">
        <v>45387</v>
      </c>
      <c r="N141" s="30" t="str">
        <f>VLOOKUP(Query1[[#This Row],[company_name]],'Org Mapping'!$B:$I,8,FALSE)</f>
        <v>Prathap Sagar</v>
      </c>
      <c r="O141" s="30" t="str">
        <f>TEXT(Query1[[#This Row],[last_work_day]],"mmm'yy")</f>
        <v>Apr'26</v>
      </c>
    </row>
    <row r="142" spans="1:15" x14ac:dyDescent="0.35">
      <c r="A142" s="30" t="s">
        <v>103</v>
      </c>
      <c r="B142" s="30" t="s">
        <v>65</v>
      </c>
      <c r="C142" s="30" t="s">
        <v>268</v>
      </c>
      <c r="D142">
        <v>2</v>
      </c>
      <c r="E142" s="30" t="s">
        <v>269</v>
      </c>
      <c r="F142" s="29">
        <v>45342</v>
      </c>
      <c r="G142">
        <v>24213.599999999999</v>
      </c>
      <c r="H142">
        <v>5213.6000000000004</v>
      </c>
      <c r="I142" s="30" t="s">
        <v>21</v>
      </c>
      <c r="J142" s="30" t="s">
        <v>76</v>
      </c>
      <c r="K142">
        <v>6</v>
      </c>
      <c r="L142" s="29">
        <v>46044</v>
      </c>
      <c r="M142" s="29">
        <v>45387</v>
      </c>
      <c r="N142" s="30" t="str">
        <f>VLOOKUP(Query1[[#This Row],[company_name]],'Org Mapping'!$B:$I,8,FALSE)</f>
        <v>Jawad Ulla Khan</v>
      </c>
      <c r="O142" s="30" t="str">
        <f>TEXT(Query1[[#This Row],[last_work_day]],"mmm'yy")</f>
        <v>Jan'26</v>
      </c>
    </row>
    <row r="143" spans="1:15" x14ac:dyDescent="0.35">
      <c r="A143" s="30" t="s">
        <v>1475</v>
      </c>
      <c r="B143" s="30" t="s">
        <v>1476</v>
      </c>
      <c r="C143" s="30" t="s">
        <v>1477</v>
      </c>
      <c r="D143">
        <v>2</v>
      </c>
      <c r="E143" s="30" t="s">
        <v>1478</v>
      </c>
      <c r="F143" s="29">
        <v>45366</v>
      </c>
      <c r="G143">
        <v>120456</v>
      </c>
      <c r="H143">
        <v>28656</v>
      </c>
      <c r="I143" s="30" t="s">
        <v>26</v>
      </c>
      <c r="J143" s="30" t="s">
        <v>50</v>
      </c>
      <c r="K143">
        <v>6</v>
      </c>
      <c r="L143" s="29">
        <v>46142</v>
      </c>
      <c r="M143" s="29">
        <v>46126</v>
      </c>
      <c r="N143" s="30" t="str">
        <f>VLOOKUP(Query1[[#This Row],[company_name]],'Org Mapping'!$B:$I,8,FALSE)</f>
        <v>TBA</v>
      </c>
      <c r="O143" s="30" t="str">
        <f>TEXT(Query1[[#This Row],[last_work_day]],"mmm'yy")</f>
        <v>Apr'26</v>
      </c>
    </row>
    <row r="144" spans="1:15" x14ac:dyDescent="0.35">
      <c r="A144" s="30" t="s">
        <v>1479</v>
      </c>
      <c r="B144" s="30" t="s">
        <v>1377</v>
      </c>
      <c r="C144" s="30" t="s">
        <v>1480</v>
      </c>
      <c r="D144">
        <v>7</v>
      </c>
      <c r="E144" s="30" t="s">
        <v>1481</v>
      </c>
      <c r="F144" s="29">
        <v>45369</v>
      </c>
      <c r="G144">
        <v>60860.800000000003</v>
      </c>
      <c r="H144">
        <v>2620.8000000000002</v>
      </c>
      <c r="I144" s="30" t="s">
        <v>26</v>
      </c>
      <c r="J144" s="30" t="s">
        <v>28</v>
      </c>
      <c r="K144">
        <v>6</v>
      </c>
      <c r="L144" s="29">
        <v>46089</v>
      </c>
      <c r="M144" s="29">
        <v>46059</v>
      </c>
      <c r="N144" s="30" t="str">
        <f>VLOOKUP(Query1[[#This Row],[company_name]],'Org Mapping'!$B:$I,8,FALSE)</f>
        <v>TBA</v>
      </c>
      <c r="O144" s="30" t="str">
        <f>TEXT(Query1[[#This Row],[last_work_day]],"mmm'yy")</f>
        <v>Mar'26</v>
      </c>
    </row>
    <row r="145" spans="1:15" x14ac:dyDescent="0.35">
      <c r="A145" s="30" t="s">
        <v>1482</v>
      </c>
      <c r="B145" s="30" t="s">
        <v>39</v>
      </c>
      <c r="C145" s="30" t="s">
        <v>1483</v>
      </c>
      <c r="D145">
        <v>2</v>
      </c>
      <c r="E145" s="30" t="s">
        <v>1484</v>
      </c>
      <c r="F145" s="29">
        <v>45351</v>
      </c>
      <c r="G145">
        <v>285000.24</v>
      </c>
      <c r="H145">
        <v>60000.24</v>
      </c>
      <c r="I145" s="30" t="s">
        <v>26</v>
      </c>
      <c r="J145" s="30" t="s">
        <v>207</v>
      </c>
      <c r="K145">
        <v>6</v>
      </c>
      <c r="L145" s="29">
        <v>46135</v>
      </c>
      <c r="M145" s="29">
        <v>46094</v>
      </c>
      <c r="N145" s="30" t="str">
        <f>VLOOKUP(Query1[[#This Row],[company_name]],'Org Mapping'!$B:$I,8,FALSE)</f>
        <v>Mehr Hashim</v>
      </c>
      <c r="O145" s="30" t="str">
        <f>TEXT(Query1[[#This Row],[last_work_day]],"mmm'yy")</f>
        <v>Apr'26</v>
      </c>
    </row>
    <row r="146" spans="1:15" x14ac:dyDescent="0.35">
      <c r="A146" s="30" t="s">
        <v>1421</v>
      </c>
      <c r="B146" s="30" t="s">
        <v>117</v>
      </c>
      <c r="C146" s="30" t="s">
        <v>1485</v>
      </c>
      <c r="D146">
        <v>2</v>
      </c>
      <c r="E146" s="30" t="s">
        <v>1486</v>
      </c>
      <c r="F146" s="29">
        <v>45352</v>
      </c>
      <c r="G146">
        <v>37415</v>
      </c>
      <c r="H146">
        <v>37415</v>
      </c>
      <c r="I146" s="30" t="s">
        <v>16</v>
      </c>
      <c r="J146" s="30" t="s">
        <v>271</v>
      </c>
      <c r="K146">
        <v>6</v>
      </c>
      <c r="L146" s="29">
        <v>46171</v>
      </c>
      <c r="M146" s="29">
        <v>46161</v>
      </c>
      <c r="N146" s="30" t="str">
        <f>VLOOKUP(Query1[[#This Row],[company_name]],'Org Mapping'!$B:$I,8,FALSE)</f>
        <v>TBA</v>
      </c>
      <c r="O146" s="30" t="str">
        <f>TEXT(Query1[[#This Row],[last_work_day]],"mmm'yy")</f>
        <v>May'26</v>
      </c>
    </row>
    <row r="147" spans="1:15" x14ac:dyDescent="0.35">
      <c r="A147" s="30" t="s">
        <v>103</v>
      </c>
      <c r="B147" s="30" t="s">
        <v>65</v>
      </c>
      <c r="C147" s="30" t="s">
        <v>272</v>
      </c>
      <c r="D147">
        <v>2</v>
      </c>
      <c r="E147" s="30" t="s">
        <v>273</v>
      </c>
      <c r="F147" s="29">
        <v>45357</v>
      </c>
      <c r="G147">
        <v>24213.599999999999</v>
      </c>
      <c r="H147">
        <v>5213.6000000000004</v>
      </c>
      <c r="I147" s="30" t="s">
        <v>21</v>
      </c>
      <c r="J147" s="30" t="s">
        <v>76</v>
      </c>
      <c r="K147">
        <v>6</v>
      </c>
      <c r="L147" s="29">
        <v>46029</v>
      </c>
      <c r="M147" s="29">
        <v>45464</v>
      </c>
      <c r="N147" s="30" t="str">
        <f>VLOOKUP(Query1[[#This Row],[company_name]],'Org Mapping'!$B:$I,8,FALSE)</f>
        <v>Jawad Ulla Khan</v>
      </c>
      <c r="O147" s="30" t="str">
        <f>TEXT(Query1[[#This Row],[last_work_day]],"mmm'yy")</f>
        <v>Jan'26</v>
      </c>
    </row>
    <row r="148" spans="1:15" x14ac:dyDescent="0.35">
      <c r="A148" s="30" t="s">
        <v>151</v>
      </c>
      <c r="B148" s="30" t="s">
        <v>65</v>
      </c>
      <c r="C148" s="30" t="s">
        <v>275</v>
      </c>
      <c r="D148">
        <v>2</v>
      </c>
      <c r="E148" s="30" t="s">
        <v>276</v>
      </c>
      <c r="F148" s="29">
        <v>45369</v>
      </c>
      <c r="G148">
        <v>23684.959999999999</v>
      </c>
      <c r="H148">
        <v>4322.96</v>
      </c>
      <c r="I148" s="30" t="s">
        <v>21</v>
      </c>
      <c r="J148" s="30" t="s">
        <v>76</v>
      </c>
      <c r="K148">
        <v>6</v>
      </c>
      <c r="L148" s="29">
        <v>46078</v>
      </c>
      <c r="M148" s="29">
        <v>45483</v>
      </c>
      <c r="N148" s="30" t="str">
        <f>VLOOKUP(Query1[[#This Row],[company_name]],'Org Mapping'!$B:$I,8,FALSE)</f>
        <v>Jawad Ulla Khan</v>
      </c>
      <c r="O148" s="30" t="str">
        <f>TEXT(Query1[[#This Row],[last_work_day]],"mmm'yy")</f>
        <v>Feb'26</v>
      </c>
    </row>
    <row r="149" spans="1:15" x14ac:dyDescent="0.35">
      <c r="A149" s="30" t="s">
        <v>151</v>
      </c>
      <c r="B149" s="30" t="s">
        <v>65</v>
      </c>
      <c r="C149" s="30" t="s">
        <v>277</v>
      </c>
      <c r="D149">
        <v>2</v>
      </c>
      <c r="E149" s="30" t="s">
        <v>278</v>
      </c>
      <c r="F149" s="29">
        <v>45383</v>
      </c>
      <c r="G149">
        <v>23684.959999999999</v>
      </c>
      <c r="H149">
        <v>4322.96</v>
      </c>
      <c r="I149" s="30" t="s">
        <v>21</v>
      </c>
      <c r="J149" s="30" t="s">
        <v>76</v>
      </c>
      <c r="K149">
        <v>6</v>
      </c>
      <c r="L149" s="29">
        <v>46118</v>
      </c>
      <c r="M149" s="29">
        <v>45483</v>
      </c>
      <c r="N149" s="30" t="str">
        <f>VLOOKUP(Query1[[#This Row],[company_name]],'Org Mapping'!$B:$I,8,FALSE)</f>
        <v>Jawad Ulla Khan</v>
      </c>
      <c r="O149" s="30" t="str">
        <f>TEXT(Query1[[#This Row],[last_work_day]],"mmm'yy")</f>
        <v>Apr'26</v>
      </c>
    </row>
    <row r="150" spans="1:15" x14ac:dyDescent="0.35">
      <c r="A150" s="30" t="s">
        <v>279</v>
      </c>
      <c r="B150" s="30" t="s">
        <v>43</v>
      </c>
      <c r="C150" s="30" t="s">
        <v>280</v>
      </c>
      <c r="D150">
        <v>2</v>
      </c>
      <c r="E150" s="30" t="s">
        <v>281</v>
      </c>
      <c r="F150" s="29">
        <v>45384</v>
      </c>
      <c r="G150">
        <v>68250</v>
      </c>
      <c r="H150">
        <v>18250</v>
      </c>
      <c r="I150" s="30" t="s">
        <v>26</v>
      </c>
      <c r="J150" s="30" t="s">
        <v>90</v>
      </c>
      <c r="K150">
        <v>6</v>
      </c>
      <c r="L150" s="29">
        <v>46090</v>
      </c>
      <c r="M150" s="29">
        <v>45427</v>
      </c>
      <c r="N150" s="30" t="str">
        <f>VLOOKUP(Query1[[#This Row],[company_name]],'Org Mapping'!$B:$I,8,FALSE)</f>
        <v>Jawad Ulla Khan</v>
      </c>
      <c r="O150" s="30" t="str">
        <f>TEXT(Query1[[#This Row],[last_work_day]],"mmm'yy")</f>
        <v>Mar'26</v>
      </c>
    </row>
    <row r="151" spans="1:15" x14ac:dyDescent="0.35">
      <c r="A151" s="30" t="s">
        <v>270</v>
      </c>
      <c r="B151" s="30" t="s">
        <v>65</v>
      </c>
      <c r="C151" s="30" t="s">
        <v>282</v>
      </c>
      <c r="D151">
        <v>2</v>
      </c>
      <c r="E151" s="30" t="s">
        <v>283</v>
      </c>
      <c r="F151" s="29">
        <v>45385</v>
      </c>
      <c r="G151">
        <v>68250</v>
      </c>
      <c r="H151">
        <v>15750</v>
      </c>
      <c r="I151" s="30" t="s">
        <v>26</v>
      </c>
      <c r="J151" s="30" t="s">
        <v>90</v>
      </c>
      <c r="K151">
        <v>6</v>
      </c>
      <c r="L151" s="29">
        <v>46059</v>
      </c>
      <c r="M151" s="29">
        <v>45427</v>
      </c>
      <c r="N151" s="30" t="str">
        <f>VLOOKUP(Query1[[#This Row],[company_name]],'Org Mapping'!$B:$I,8,FALSE)</f>
        <v>Jawad Ulla Khan</v>
      </c>
      <c r="O151" s="30" t="str">
        <f>TEXT(Query1[[#This Row],[last_work_day]],"mmm'yy")</f>
        <v>Feb'26</v>
      </c>
    </row>
    <row r="152" spans="1:15" x14ac:dyDescent="0.35">
      <c r="A152" s="30" t="s">
        <v>274</v>
      </c>
      <c r="B152" s="30" t="s">
        <v>65</v>
      </c>
      <c r="C152" s="30" t="s">
        <v>284</v>
      </c>
      <c r="D152">
        <v>2</v>
      </c>
      <c r="E152" s="30" t="s">
        <v>285</v>
      </c>
      <c r="F152" s="29">
        <v>45376</v>
      </c>
      <c r="G152">
        <v>150000.4</v>
      </c>
      <c r="H152">
        <v>22881.4</v>
      </c>
      <c r="I152" s="30" t="s">
        <v>26</v>
      </c>
      <c r="J152" s="30" t="s">
        <v>76</v>
      </c>
      <c r="K152">
        <v>6</v>
      </c>
      <c r="L152" s="29">
        <v>46121</v>
      </c>
      <c r="M152" s="29">
        <v>46098</v>
      </c>
      <c r="N152" s="30" t="str">
        <f>VLOOKUP(Query1[[#This Row],[company_name]],'Org Mapping'!$B:$I,8,FALSE)</f>
        <v>Jawad Ulla Khan</v>
      </c>
      <c r="O152" s="30" t="str">
        <f>TEXT(Query1[[#This Row],[last_work_day]],"mmm'yy")</f>
        <v>Apr'26</v>
      </c>
    </row>
    <row r="153" spans="1:15" x14ac:dyDescent="0.35">
      <c r="A153" s="30" t="s">
        <v>1487</v>
      </c>
      <c r="B153" s="30" t="s">
        <v>39</v>
      </c>
      <c r="C153" s="30" t="s">
        <v>1488</v>
      </c>
      <c r="D153">
        <v>2</v>
      </c>
      <c r="E153" s="30" t="s">
        <v>1489</v>
      </c>
      <c r="F153" s="29">
        <v>45377</v>
      </c>
      <c r="G153">
        <v>54166.67</v>
      </c>
      <c r="H153">
        <v>10833.67</v>
      </c>
      <c r="I153" s="30" t="s">
        <v>91</v>
      </c>
      <c r="J153" s="30" t="s">
        <v>87</v>
      </c>
      <c r="K153">
        <v>6</v>
      </c>
      <c r="L153" s="29">
        <v>46092</v>
      </c>
      <c r="M153" s="29">
        <v>46058</v>
      </c>
      <c r="N153" s="30" t="str">
        <f>VLOOKUP(Query1[[#This Row],[company_name]],'Org Mapping'!$B:$I,8,FALSE)</f>
        <v>Mehr Hashim</v>
      </c>
      <c r="O153" s="30" t="str">
        <f>TEXT(Query1[[#This Row],[last_work_day]],"mmm'yy")</f>
        <v>Mar'26</v>
      </c>
    </row>
    <row r="154" spans="1:15" x14ac:dyDescent="0.35">
      <c r="A154" s="30" t="s">
        <v>62</v>
      </c>
      <c r="B154" s="30" t="s">
        <v>142</v>
      </c>
      <c r="C154" s="30" t="s">
        <v>288</v>
      </c>
      <c r="D154">
        <v>2</v>
      </c>
      <c r="E154" s="30" t="s">
        <v>289</v>
      </c>
      <c r="F154" s="29">
        <v>45384</v>
      </c>
      <c r="G154">
        <v>25580.04</v>
      </c>
      <c r="H154">
        <v>6218.04</v>
      </c>
      <c r="I154" s="30" t="s">
        <v>21</v>
      </c>
      <c r="J154" s="30" t="s">
        <v>76</v>
      </c>
      <c r="K154">
        <v>6</v>
      </c>
      <c r="L154" s="29">
        <v>46051</v>
      </c>
      <c r="M154" s="29">
        <v>46050</v>
      </c>
      <c r="N154" s="30" t="str">
        <f>VLOOKUP(Query1[[#This Row],[company_name]],'Org Mapping'!$B:$I,8,FALSE)</f>
        <v>Jawad Ulla Khan</v>
      </c>
      <c r="O154" s="30" t="str">
        <f>TEXT(Query1[[#This Row],[last_work_day]],"mmm'yy")</f>
        <v>Jan'26</v>
      </c>
    </row>
    <row r="155" spans="1:15" x14ac:dyDescent="0.35">
      <c r="A155" s="30" t="s">
        <v>75</v>
      </c>
      <c r="B155" s="30" t="s">
        <v>65</v>
      </c>
      <c r="C155" s="30" t="s">
        <v>290</v>
      </c>
      <c r="D155">
        <v>2</v>
      </c>
      <c r="E155" s="30" t="s">
        <v>291</v>
      </c>
      <c r="F155" s="29">
        <v>45380</v>
      </c>
      <c r="G155">
        <v>23684.959999999999</v>
      </c>
      <c r="H155">
        <v>4322.96</v>
      </c>
      <c r="I155" s="30" t="s">
        <v>21</v>
      </c>
      <c r="J155" s="30" t="s">
        <v>76</v>
      </c>
      <c r="K155">
        <v>6</v>
      </c>
      <c r="L155" s="29">
        <v>46104</v>
      </c>
      <c r="M155" s="29">
        <v>46101</v>
      </c>
      <c r="N155" s="30" t="str">
        <f>VLOOKUP(Query1[[#This Row],[company_name]],'Org Mapping'!$B:$I,8,FALSE)</f>
        <v>Jawad Ulla Khan</v>
      </c>
      <c r="O155" s="30" t="str">
        <f>TEXT(Query1[[#This Row],[last_work_day]],"mmm'yy")</f>
        <v>Mar'26</v>
      </c>
    </row>
    <row r="156" spans="1:15" x14ac:dyDescent="0.35">
      <c r="A156" s="30" t="s">
        <v>75</v>
      </c>
      <c r="B156" s="30" t="s">
        <v>65</v>
      </c>
      <c r="C156" s="30" t="s">
        <v>294</v>
      </c>
      <c r="D156">
        <v>2</v>
      </c>
      <c r="E156" s="30" t="s">
        <v>295</v>
      </c>
      <c r="F156" s="29">
        <v>45386</v>
      </c>
      <c r="G156">
        <v>25580.04</v>
      </c>
      <c r="H156">
        <v>6218.04</v>
      </c>
      <c r="I156" s="30" t="s">
        <v>26</v>
      </c>
      <c r="J156" s="30" t="s">
        <v>76</v>
      </c>
      <c r="K156">
        <v>6</v>
      </c>
      <c r="L156" s="29">
        <v>46087</v>
      </c>
      <c r="M156" s="29">
        <v>46043</v>
      </c>
      <c r="N156" s="30" t="str">
        <f>VLOOKUP(Query1[[#This Row],[company_name]],'Org Mapping'!$B:$I,8,FALSE)</f>
        <v>Jawad Ulla Khan</v>
      </c>
      <c r="O156" s="30" t="str">
        <f>TEXT(Query1[[#This Row],[last_work_day]],"mmm'yy")</f>
        <v>Mar'26</v>
      </c>
    </row>
    <row r="157" spans="1:15" x14ac:dyDescent="0.35">
      <c r="A157" s="30" t="s">
        <v>75</v>
      </c>
      <c r="B157" s="30" t="s">
        <v>65</v>
      </c>
      <c r="C157" s="30" t="s">
        <v>296</v>
      </c>
      <c r="D157">
        <v>2</v>
      </c>
      <c r="E157" s="30" t="s">
        <v>297</v>
      </c>
      <c r="F157" s="29">
        <v>45390</v>
      </c>
      <c r="G157">
        <v>25580.04</v>
      </c>
      <c r="H157">
        <v>6218.04</v>
      </c>
      <c r="I157" s="30" t="s">
        <v>37</v>
      </c>
      <c r="J157" s="30" t="s">
        <v>76</v>
      </c>
      <c r="K157">
        <v>6</v>
      </c>
      <c r="L157" s="29">
        <v>46122</v>
      </c>
      <c r="M157" s="29">
        <v>46093</v>
      </c>
      <c r="N157" s="30" t="str">
        <f>VLOOKUP(Query1[[#This Row],[company_name]],'Org Mapping'!$B:$I,8,FALSE)</f>
        <v>Jawad Ulla Khan</v>
      </c>
      <c r="O157" s="30" t="str">
        <f>TEXT(Query1[[#This Row],[last_work_day]],"mmm'yy")</f>
        <v>Apr'26</v>
      </c>
    </row>
    <row r="158" spans="1:15" x14ac:dyDescent="0.35">
      <c r="A158" s="30" t="s">
        <v>75</v>
      </c>
      <c r="B158" s="30" t="s">
        <v>65</v>
      </c>
      <c r="C158" s="30" t="s">
        <v>298</v>
      </c>
      <c r="D158">
        <v>2</v>
      </c>
      <c r="E158" s="30" t="s">
        <v>299</v>
      </c>
      <c r="F158" s="29">
        <v>45393</v>
      </c>
      <c r="G158">
        <v>27558.9</v>
      </c>
      <c r="H158">
        <v>4203.8999999999996</v>
      </c>
      <c r="I158" s="30" t="s">
        <v>21</v>
      </c>
      <c r="J158" s="30" t="s">
        <v>76</v>
      </c>
      <c r="K158">
        <v>6</v>
      </c>
      <c r="L158" s="29">
        <v>46174</v>
      </c>
      <c r="M158" s="29">
        <v>46149</v>
      </c>
      <c r="N158" s="30" t="str">
        <f>VLOOKUP(Query1[[#This Row],[company_name]],'Org Mapping'!$B:$I,8,FALSE)</f>
        <v>Jawad Ulla Khan</v>
      </c>
      <c r="O158" s="30" t="str">
        <f>TEXT(Query1[[#This Row],[last_work_day]],"mmm'yy")</f>
        <v>Jun'26</v>
      </c>
    </row>
    <row r="159" spans="1:15" x14ac:dyDescent="0.35">
      <c r="A159" s="30" t="s">
        <v>1490</v>
      </c>
      <c r="B159" s="30" t="s">
        <v>1377</v>
      </c>
      <c r="C159" s="30" t="s">
        <v>1491</v>
      </c>
      <c r="D159">
        <v>2</v>
      </c>
      <c r="E159" s="30" t="s">
        <v>1492</v>
      </c>
      <c r="F159" s="29">
        <v>45427</v>
      </c>
      <c r="G159">
        <v>220500</v>
      </c>
      <c r="H159">
        <v>37167</v>
      </c>
      <c r="I159" s="30" t="s">
        <v>37</v>
      </c>
      <c r="J159" s="30" t="s">
        <v>48</v>
      </c>
      <c r="K159">
        <v>6</v>
      </c>
      <c r="L159" s="29">
        <v>46112</v>
      </c>
      <c r="M159" s="29">
        <v>46084</v>
      </c>
      <c r="N159" s="30" t="str">
        <f>VLOOKUP(Query1[[#This Row],[company_name]],'Org Mapping'!$B:$I,8,FALSE)</f>
        <v>Prathap Sagar</v>
      </c>
      <c r="O159" s="30" t="str">
        <f>TEXT(Query1[[#This Row],[last_work_day]],"mmm'yy")</f>
        <v>Mar'26</v>
      </c>
    </row>
    <row r="160" spans="1:15" x14ac:dyDescent="0.35">
      <c r="A160" s="30" t="s">
        <v>110</v>
      </c>
      <c r="B160" s="30" t="s">
        <v>65</v>
      </c>
      <c r="C160" s="30" t="s">
        <v>300</v>
      </c>
      <c r="D160">
        <v>2</v>
      </c>
      <c r="E160" s="30" t="s">
        <v>301</v>
      </c>
      <c r="F160" s="29">
        <v>45398</v>
      </c>
      <c r="G160">
        <v>23684.959999999999</v>
      </c>
      <c r="H160">
        <v>4322.96</v>
      </c>
      <c r="I160" s="30" t="s">
        <v>21</v>
      </c>
      <c r="J160" s="30" t="s">
        <v>76</v>
      </c>
      <c r="K160">
        <v>6</v>
      </c>
      <c r="L160" s="29">
        <v>46085</v>
      </c>
      <c r="M160" s="29">
        <v>45846</v>
      </c>
      <c r="N160" s="30" t="str">
        <f>VLOOKUP(Query1[[#This Row],[company_name]],'Org Mapping'!$B:$I,8,FALSE)</f>
        <v>Jawad Ulla Khan</v>
      </c>
      <c r="O160" s="30" t="str">
        <f>TEXT(Query1[[#This Row],[last_work_day]],"mmm'yy")</f>
        <v>Mar'26</v>
      </c>
    </row>
    <row r="161" spans="1:15" x14ac:dyDescent="0.35">
      <c r="A161" s="30" t="s">
        <v>1493</v>
      </c>
      <c r="B161" s="30" t="s">
        <v>1494</v>
      </c>
      <c r="C161" s="30" t="s">
        <v>1495</v>
      </c>
      <c r="D161">
        <v>2</v>
      </c>
      <c r="E161" s="30" t="s">
        <v>1496</v>
      </c>
      <c r="F161" s="29">
        <v>45411</v>
      </c>
      <c r="G161">
        <v>180600</v>
      </c>
      <c r="H161">
        <v>88934</v>
      </c>
      <c r="I161" s="30" t="s">
        <v>16</v>
      </c>
      <c r="J161" s="30" t="s">
        <v>119</v>
      </c>
      <c r="K161">
        <v>6</v>
      </c>
      <c r="L161" s="29">
        <v>46052</v>
      </c>
      <c r="M161" s="29">
        <v>45629</v>
      </c>
      <c r="N161" s="30" t="str">
        <f>VLOOKUP(Query1[[#This Row],[company_name]],'Org Mapping'!$B:$I,8,FALSE)</f>
        <v>Anuradha</v>
      </c>
      <c r="O161" s="30" t="str">
        <f>TEXT(Query1[[#This Row],[last_work_day]],"mmm'yy")</f>
        <v>Jan'26</v>
      </c>
    </row>
    <row r="162" spans="1:15" x14ac:dyDescent="0.35">
      <c r="A162" s="30" t="s">
        <v>1497</v>
      </c>
      <c r="B162" s="30" t="s">
        <v>39</v>
      </c>
      <c r="C162" s="30" t="s">
        <v>1498</v>
      </c>
      <c r="D162">
        <v>2</v>
      </c>
      <c r="E162" s="30" t="s">
        <v>1499</v>
      </c>
      <c r="F162" s="29">
        <v>45400</v>
      </c>
      <c r="G162">
        <v>44333.61</v>
      </c>
      <c r="H162">
        <v>2509.61</v>
      </c>
      <c r="I162" s="30" t="s">
        <v>26</v>
      </c>
      <c r="J162" s="30" t="s">
        <v>31</v>
      </c>
      <c r="K162">
        <v>6</v>
      </c>
      <c r="L162" s="29">
        <v>46062</v>
      </c>
      <c r="M162" s="29">
        <v>46063</v>
      </c>
      <c r="N162" s="30" t="str">
        <f>VLOOKUP(Query1[[#This Row],[company_name]],'Org Mapping'!$B:$I,8,FALSE)</f>
        <v>Mehr Hashim</v>
      </c>
      <c r="O162" s="30" t="str">
        <f>TEXT(Query1[[#This Row],[last_work_day]],"mmm'yy")</f>
        <v>Feb'26</v>
      </c>
    </row>
    <row r="163" spans="1:15" x14ac:dyDescent="0.35">
      <c r="A163" s="30" t="s">
        <v>151</v>
      </c>
      <c r="B163" s="30" t="s">
        <v>65</v>
      </c>
      <c r="C163" s="30" t="s">
        <v>302</v>
      </c>
      <c r="D163">
        <v>2</v>
      </c>
      <c r="E163" s="30" t="s">
        <v>303</v>
      </c>
      <c r="F163" s="29">
        <v>45412</v>
      </c>
      <c r="G163">
        <v>46020</v>
      </c>
      <c r="H163">
        <v>7020</v>
      </c>
      <c r="I163" s="30" t="s">
        <v>21</v>
      </c>
      <c r="J163" s="30" t="s">
        <v>76</v>
      </c>
      <c r="K163">
        <v>6</v>
      </c>
      <c r="L163" s="29">
        <v>46038</v>
      </c>
      <c r="M163" s="29">
        <v>46027</v>
      </c>
      <c r="N163" s="30" t="str">
        <f>VLOOKUP(Query1[[#This Row],[company_name]],'Org Mapping'!$B:$I,8,FALSE)</f>
        <v>Jawad Ulla Khan</v>
      </c>
      <c r="O163" s="30" t="str">
        <f>TEXT(Query1[[#This Row],[last_work_day]],"mmm'yy")</f>
        <v>Jan'26</v>
      </c>
    </row>
    <row r="164" spans="1:15" x14ac:dyDescent="0.35">
      <c r="A164" s="30" t="s">
        <v>1500</v>
      </c>
      <c r="B164" s="30" t="s">
        <v>39</v>
      </c>
      <c r="C164" s="30" t="s">
        <v>1501</v>
      </c>
      <c r="D164">
        <v>2</v>
      </c>
      <c r="E164" s="30" t="s">
        <v>1502</v>
      </c>
      <c r="F164" s="29">
        <v>45404</v>
      </c>
      <c r="G164">
        <v>185000</v>
      </c>
      <c r="H164">
        <v>87834</v>
      </c>
      <c r="I164" s="30" t="s">
        <v>26</v>
      </c>
      <c r="J164" s="30" t="s">
        <v>116</v>
      </c>
      <c r="K164">
        <v>6</v>
      </c>
      <c r="L164" s="29">
        <v>46027</v>
      </c>
      <c r="M164" s="29">
        <v>45987</v>
      </c>
      <c r="N164" s="30" t="str">
        <f>VLOOKUP(Query1[[#This Row],[company_name]],'Org Mapping'!$B:$I,8,FALSE)</f>
        <v>Mehr Hashim</v>
      </c>
      <c r="O164" s="30" t="str">
        <f>TEXT(Query1[[#This Row],[last_work_day]],"mmm'yy")</f>
        <v>Jan'26</v>
      </c>
    </row>
    <row r="165" spans="1:15" x14ac:dyDescent="0.35">
      <c r="A165" s="30" t="s">
        <v>1503</v>
      </c>
      <c r="B165" s="30" t="s">
        <v>39</v>
      </c>
      <c r="C165" s="30" t="s">
        <v>1504</v>
      </c>
      <c r="D165">
        <v>2</v>
      </c>
      <c r="E165" s="30" t="s">
        <v>1505</v>
      </c>
      <c r="F165" s="29">
        <v>45407</v>
      </c>
      <c r="G165">
        <v>130000</v>
      </c>
      <c r="H165">
        <v>63334</v>
      </c>
      <c r="I165" s="30" t="s">
        <v>26</v>
      </c>
      <c r="J165" s="30" t="s">
        <v>49</v>
      </c>
      <c r="K165">
        <v>6</v>
      </c>
      <c r="L165" s="29">
        <v>46153</v>
      </c>
      <c r="M165" s="29">
        <v>46118</v>
      </c>
      <c r="N165" s="30" t="str">
        <f>VLOOKUP(Query1[[#This Row],[company_name]],'Org Mapping'!$B:$I,8,FALSE)</f>
        <v>Mehr Hashim</v>
      </c>
      <c r="O165" s="30" t="str">
        <f>TEXT(Query1[[#This Row],[last_work_day]],"mmm'yy")</f>
        <v>May'26</v>
      </c>
    </row>
    <row r="166" spans="1:15" x14ac:dyDescent="0.35">
      <c r="A166" s="30" t="s">
        <v>1506</v>
      </c>
      <c r="B166" s="30" t="s">
        <v>186</v>
      </c>
      <c r="C166" s="30" t="s">
        <v>1507</v>
      </c>
      <c r="D166">
        <v>2</v>
      </c>
      <c r="E166" s="30" t="s">
        <v>1508</v>
      </c>
      <c r="F166" s="29">
        <v>45414</v>
      </c>
      <c r="G166">
        <v>172991.9</v>
      </c>
      <c r="H166">
        <v>18825.900000000001</v>
      </c>
      <c r="I166" s="30" t="s">
        <v>37</v>
      </c>
      <c r="J166" s="30" t="s">
        <v>73</v>
      </c>
      <c r="K166">
        <v>6</v>
      </c>
      <c r="L166" s="29">
        <v>46098</v>
      </c>
      <c r="M166" s="29">
        <v>45678</v>
      </c>
      <c r="N166" s="30" t="str">
        <f>VLOOKUP(Query1[[#This Row],[company_name]],'Org Mapping'!$B:$I,8,FALSE)</f>
        <v>Prathap Sagar</v>
      </c>
      <c r="O166" s="30" t="str">
        <f>TEXT(Query1[[#This Row],[last_work_day]],"mmm'yy")</f>
        <v>Mar'26</v>
      </c>
    </row>
    <row r="167" spans="1:15" x14ac:dyDescent="0.35">
      <c r="A167" s="30" t="s">
        <v>1509</v>
      </c>
      <c r="B167" s="30" t="s">
        <v>1510</v>
      </c>
      <c r="C167" s="30" t="s">
        <v>1511</v>
      </c>
      <c r="D167">
        <v>1</v>
      </c>
      <c r="E167" s="30" t="s">
        <v>1512</v>
      </c>
      <c r="F167" s="29">
        <v>45418</v>
      </c>
      <c r="G167">
        <v>369043.29</v>
      </c>
      <c r="H167">
        <v>69043.289999999994</v>
      </c>
      <c r="I167" s="30" t="s">
        <v>26</v>
      </c>
      <c r="J167" s="30" t="s">
        <v>102</v>
      </c>
      <c r="K167">
        <v>6</v>
      </c>
      <c r="L167" s="29">
        <v>46153</v>
      </c>
      <c r="M167" s="29">
        <v>46127</v>
      </c>
      <c r="N167" s="30" t="str">
        <f>VLOOKUP(Query1[[#This Row],[company_name]],'Org Mapping'!$B:$I,8,FALSE)</f>
        <v>Mehr Hashim</v>
      </c>
      <c r="O167" s="30" t="str">
        <f>TEXT(Query1[[#This Row],[last_work_day]],"mmm'yy")</f>
        <v>May'26</v>
      </c>
    </row>
    <row r="168" spans="1:15" x14ac:dyDescent="0.35">
      <c r="A168" s="30" t="s">
        <v>152</v>
      </c>
      <c r="B168" s="30" t="s">
        <v>65</v>
      </c>
      <c r="C168" s="30" t="s">
        <v>304</v>
      </c>
      <c r="D168">
        <v>2</v>
      </c>
      <c r="E168" s="30" t="s">
        <v>305</v>
      </c>
      <c r="F168" s="29">
        <v>45412</v>
      </c>
      <c r="G168">
        <v>23684.959999999999</v>
      </c>
      <c r="H168">
        <v>4322.96</v>
      </c>
      <c r="I168" s="30" t="s">
        <v>21</v>
      </c>
      <c r="J168" s="30" t="s">
        <v>76</v>
      </c>
      <c r="K168">
        <v>6</v>
      </c>
      <c r="L168" s="29">
        <v>46112</v>
      </c>
      <c r="M168" s="29">
        <v>46104</v>
      </c>
      <c r="N168" s="30" t="str">
        <f>VLOOKUP(Query1[[#This Row],[company_name]],'Org Mapping'!$B:$I,8,FALSE)</f>
        <v>Jawad Ulla Khan</v>
      </c>
      <c r="O168" s="30" t="str">
        <f>TEXT(Query1[[#This Row],[last_work_day]],"mmm'yy")</f>
        <v>Mar'26</v>
      </c>
    </row>
    <row r="169" spans="1:15" x14ac:dyDescent="0.35">
      <c r="A169" s="30" t="s">
        <v>1513</v>
      </c>
      <c r="B169" s="30" t="s">
        <v>117</v>
      </c>
      <c r="C169" s="30" t="s">
        <v>1514</v>
      </c>
      <c r="D169">
        <v>2</v>
      </c>
      <c r="E169" s="30" t="s">
        <v>1515</v>
      </c>
      <c r="F169" s="29">
        <v>45415</v>
      </c>
      <c r="G169">
        <v>23500</v>
      </c>
      <c r="H169">
        <v>2000</v>
      </c>
      <c r="I169" s="30" t="s">
        <v>37</v>
      </c>
      <c r="J169" s="30" t="s">
        <v>271</v>
      </c>
      <c r="K169">
        <v>6</v>
      </c>
      <c r="L169" s="29">
        <v>46080</v>
      </c>
      <c r="M169" s="29">
        <v>46057</v>
      </c>
      <c r="N169" s="30" t="str">
        <f>VLOOKUP(Query1[[#This Row],[company_name]],'Org Mapping'!$B:$I,8,FALSE)</f>
        <v>TBA</v>
      </c>
      <c r="O169" s="30" t="str">
        <f>TEXT(Query1[[#This Row],[last_work_day]],"mmm'yy")</f>
        <v>Feb'26</v>
      </c>
    </row>
    <row r="170" spans="1:15" x14ac:dyDescent="0.35">
      <c r="A170" s="30" t="s">
        <v>270</v>
      </c>
      <c r="B170" s="30" t="s">
        <v>65</v>
      </c>
      <c r="C170" s="30" t="s">
        <v>1516</v>
      </c>
      <c r="D170">
        <v>2</v>
      </c>
      <c r="E170" s="30" t="s">
        <v>1517</v>
      </c>
      <c r="F170" s="29">
        <v>45422</v>
      </c>
      <c r="G170">
        <v>23500</v>
      </c>
      <c r="H170">
        <v>2167</v>
      </c>
      <c r="I170" s="30" t="s">
        <v>37</v>
      </c>
      <c r="J170" s="30" t="s">
        <v>271</v>
      </c>
      <c r="K170">
        <v>6</v>
      </c>
      <c r="L170" s="29">
        <v>46080</v>
      </c>
      <c r="M170" s="29">
        <v>46057</v>
      </c>
      <c r="N170" s="30" t="str">
        <f>VLOOKUP(Query1[[#This Row],[company_name]],'Org Mapping'!$B:$I,8,FALSE)</f>
        <v>TBA</v>
      </c>
      <c r="O170" s="30" t="str">
        <f>TEXT(Query1[[#This Row],[last_work_day]],"mmm'yy")</f>
        <v>Feb'26</v>
      </c>
    </row>
    <row r="171" spans="1:15" x14ac:dyDescent="0.35">
      <c r="A171" s="30" t="s">
        <v>152</v>
      </c>
      <c r="B171" s="30" t="s">
        <v>65</v>
      </c>
      <c r="C171" s="30" t="s">
        <v>307</v>
      </c>
      <c r="D171">
        <v>2</v>
      </c>
      <c r="E171" s="30" t="s">
        <v>308</v>
      </c>
      <c r="F171" s="29">
        <v>45425</v>
      </c>
      <c r="G171">
        <v>23684.959999999999</v>
      </c>
      <c r="H171">
        <v>3612.96</v>
      </c>
      <c r="I171" s="30" t="s">
        <v>21</v>
      </c>
      <c r="J171" s="30" t="s">
        <v>76</v>
      </c>
      <c r="K171">
        <v>6</v>
      </c>
      <c r="L171" s="29">
        <v>46112</v>
      </c>
      <c r="M171" s="29">
        <v>46104</v>
      </c>
      <c r="N171" s="30" t="str">
        <f>VLOOKUP(Query1[[#This Row],[company_name]],'Org Mapping'!$B:$I,8,FALSE)</f>
        <v>Jawad Ulla Khan</v>
      </c>
      <c r="O171" s="30" t="str">
        <f>TEXT(Query1[[#This Row],[last_work_day]],"mmm'yy")</f>
        <v>Mar'26</v>
      </c>
    </row>
    <row r="172" spans="1:15" x14ac:dyDescent="0.35">
      <c r="A172" s="30" t="s">
        <v>1518</v>
      </c>
      <c r="B172" s="30" t="s">
        <v>126</v>
      </c>
      <c r="C172" s="30" t="s">
        <v>1519</v>
      </c>
      <c r="D172">
        <v>2</v>
      </c>
      <c r="E172" s="30" t="s">
        <v>1520</v>
      </c>
      <c r="F172" s="29">
        <v>45433</v>
      </c>
      <c r="G172">
        <v>126017</v>
      </c>
      <c r="H172">
        <v>59351</v>
      </c>
      <c r="I172" s="30" t="s">
        <v>21</v>
      </c>
      <c r="J172" s="30" t="s">
        <v>73</v>
      </c>
      <c r="K172">
        <v>6</v>
      </c>
      <c r="L172" s="29">
        <v>46044</v>
      </c>
      <c r="M172" s="29">
        <v>46031</v>
      </c>
      <c r="N172" s="30" t="str">
        <f>VLOOKUP(Query1[[#This Row],[company_name]],'Org Mapping'!$B:$I,8,FALSE)</f>
        <v>Prathap Sagar</v>
      </c>
      <c r="O172" s="30" t="str">
        <f>TEXT(Query1[[#This Row],[last_work_day]],"mmm'yy")</f>
        <v>Jan'26</v>
      </c>
    </row>
    <row r="173" spans="1:15" x14ac:dyDescent="0.35">
      <c r="A173" s="30" t="s">
        <v>309</v>
      </c>
      <c r="B173" s="30" t="s">
        <v>43</v>
      </c>
      <c r="C173" s="30" t="s">
        <v>310</v>
      </c>
      <c r="D173">
        <v>6</v>
      </c>
      <c r="E173" s="30" t="s">
        <v>311</v>
      </c>
      <c r="F173" s="29">
        <v>45429</v>
      </c>
      <c r="G173">
        <v>35685</v>
      </c>
      <c r="H173">
        <v>5185</v>
      </c>
      <c r="I173" s="30" t="s">
        <v>26</v>
      </c>
      <c r="J173" s="30" t="s">
        <v>17</v>
      </c>
      <c r="K173">
        <v>6</v>
      </c>
      <c r="L173" s="29">
        <v>46031</v>
      </c>
      <c r="M173" s="29">
        <v>46001</v>
      </c>
      <c r="N173" s="30" t="str">
        <f>VLOOKUP(Query1[[#This Row],[company_name]],'Org Mapping'!$B:$I,8,FALSE)</f>
        <v>Jawad Ulla Khan</v>
      </c>
      <c r="O173" s="30" t="str">
        <f>TEXT(Query1[[#This Row],[last_work_day]],"mmm'yy")</f>
        <v>Jan'26</v>
      </c>
    </row>
    <row r="174" spans="1:15" x14ac:dyDescent="0.35">
      <c r="A174" s="30" t="s">
        <v>1456</v>
      </c>
      <c r="B174" s="30" t="s">
        <v>39</v>
      </c>
      <c r="C174" s="30" t="s">
        <v>1521</v>
      </c>
      <c r="D174">
        <v>2</v>
      </c>
      <c r="E174" s="30" t="s">
        <v>1522</v>
      </c>
      <c r="F174" s="29">
        <v>45432</v>
      </c>
      <c r="G174">
        <v>170000</v>
      </c>
      <c r="H174">
        <v>46334</v>
      </c>
      <c r="I174" s="30" t="s">
        <v>16</v>
      </c>
      <c r="J174" s="30" t="s">
        <v>116</v>
      </c>
      <c r="K174">
        <v>6</v>
      </c>
      <c r="L174" s="29">
        <v>46149</v>
      </c>
      <c r="M174" s="29">
        <v>46164</v>
      </c>
      <c r="N174" s="30" t="str">
        <f>VLOOKUP(Query1[[#This Row],[company_name]],'Org Mapping'!$B:$I,8,FALSE)</f>
        <v>Mehr Hashim</v>
      </c>
      <c r="O174" s="30" t="str">
        <f>TEXT(Query1[[#This Row],[last_work_day]],"mmm'yy")</f>
        <v>May'26</v>
      </c>
    </row>
    <row r="175" spans="1:15" x14ac:dyDescent="0.35">
      <c r="A175" s="30" t="s">
        <v>103</v>
      </c>
      <c r="B175" s="30" t="s">
        <v>65</v>
      </c>
      <c r="C175" s="30" t="s">
        <v>312</v>
      </c>
      <c r="D175">
        <v>2</v>
      </c>
      <c r="E175" s="30" t="s">
        <v>313</v>
      </c>
      <c r="F175" s="29">
        <v>45433</v>
      </c>
      <c r="G175">
        <v>23684.959999999999</v>
      </c>
      <c r="H175">
        <v>3612.96</v>
      </c>
      <c r="I175" s="30" t="s">
        <v>21</v>
      </c>
      <c r="J175" s="30" t="s">
        <v>76</v>
      </c>
      <c r="K175">
        <v>6</v>
      </c>
      <c r="L175" s="29">
        <v>46112</v>
      </c>
      <c r="M175" s="29">
        <v>45922</v>
      </c>
      <c r="N175" s="30" t="str">
        <f>VLOOKUP(Query1[[#This Row],[company_name]],'Org Mapping'!$B:$I,8,FALSE)</f>
        <v>Jawad Ulla Khan</v>
      </c>
      <c r="O175" s="30" t="str">
        <f>TEXT(Query1[[#This Row],[last_work_day]],"mmm'yy")</f>
        <v>Mar'26</v>
      </c>
    </row>
    <row r="176" spans="1:15" x14ac:dyDescent="0.35">
      <c r="A176" s="30" t="s">
        <v>274</v>
      </c>
      <c r="B176" s="30" t="s">
        <v>65</v>
      </c>
      <c r="C176" s="30" t="s">
        <v>314</v>
      </c>
      <c r="D176">
        <v>2</v>
      </c>
      <c r="E176" s="30" t="s">
        <v>315</v>
      </c>
      <c r="F176" s="29">
        <v>45433</v>
      </c>
      <c r="G176">
        <v>23684.959999999999</v>
      </c>
      <c r="H176">
        <v>4322.96</v>
      </c>
      <c r="I176" s="30" t="s">
        <v>21</v>
      </c>
      <c r="J176" s="30" t="s">
        <v>76</v>
      </c>
      <c r="K176">
        <v>6</v>
      </c>
      <c r="L176" s="29">
        <v>46148</v>
      </c>
      <c r="M176" s="29">
        <v>45483</v>
      </c>
      <c r="N176" s="30" t="str">
        <f>VLOOKUP(Query1[[#This Row],[company_name]],'Org Mapping'!$B:$I,8,FALSE)</f>
        <v>Jawad Ulla Khan</v>
      </c>
      <c r="O176" s="30" t="str">
        <f>TEXT(Query1[[#This Row],[last_work_day]],"mmm'yy")</f>
        <v>May'26</v>
      </c>
    </row>
    <row r="177" spans="1:15" x14ac:dyDescent="0.35">
      <c r="A177" s="30" t="s">
        <v>152</v>
      </c>
      <c r="B177" s="30" t="s">
        <v>65</v>
      </c>
      <c r="C177" s="30" t="s">
        <v>316</v>
      </c>
      <c r="D177">
        <v>2</v>
      </c>
      <c r="E177" s="30" t="s">
        <v>317</v>
      </c>
      <c r="F177" s="29">
        <v>45433</v>
      </c>
      <c r="G177">
        <v>23684.959999999999</v>
      </c>
      <c r="H177">
        <v>4322.96</v>
      </c>
      <c r="I177" s="30" t="s">
        <v>21</v>
      </c>
      <c r="J177" s="30" t="s">
        <v>76</v>
      </c>
      <c r="K177">
        <v>6</v>
      </c>
      <c r="L177" s="29">
        <v>46118</v>
      </c>
      <c r="M177" s="29">
        <v>45483</v>
      </c>
      <c r="N177" s="30" t="str">
        <f>VLOOKUP(Query1[[#This Row],[company_name]],'Org Mapping'!$B:$I,8,FALSE)</f>
        <v>Jawad Ulla Khan</v>
      </c>
      <c r="O177" s="30" t="str">
        <f>TEXT(Query1[[#This Row],[last_work_day]],"mmm'yy")</f>
        <v>Apr'26</v>
      </c>
    </row>
    <row r="178" spans="1:15" x14ac:dyDescent="0.35">
      <c r="A178" s="30" t="s">
        <v>1523</v>
      </c>
      <c r="B178" s="30" t="s">
        <v>114</v>
      </c>
      <c r="C178" s="30" t="s">
        <v>1524</v>
      </c>
      <c r="D178">
        <v>1</v>
      </c>
      <c r="E178" s="30" t="s">
        <v>1525</v>
      </c>
      <c r="F178" s="29">
        <v>45449</v>
      </c>
      <c r="G178">
        <v>103194</v>
      </c>
      <c r="H178">
        <v>17694</v>
      </c>
      <c r="I178" s="30" t="s">
        <v>26</v>
      </c>
      <c r="J178" s="30" t="s">
        <v>119</v>
      </c>
      <c r="K178">
        <v>6</v>
      </c>
      <c r="L178" s="29">
        <v>46034</v>
      </c>
      <c r="M178" s="29">
        <v>46008</v>
      </c>
      <c r="N178" s="30" t="str">
        <f>VLOOKUP(Query1[[#This Row],[company_name]],'Org Mapping'!$B:$I,8,FALSE)</f>
        <v>Anuradha</v>
      </c>
      <c r="O178" s="30" t="str">
        <f>TEXT(Query1[[#This Row],[last_work_day]],"mmm'yy")</f>
        <v>Jan'26</v>
      </c>
    </row>
    <row r="179" spans="1:15" x14ac:dyDescent="0.35">
      <c r="A179" s="30" t="s">
        <v>152</v>
      </c>
      <c r="B179" s="30" t="s">
        <v>65</v>
      </c>
      <c r="C179" s="30" t="s">
        <v>318</v>
      </c>
      <c r="D179">
        <v>2</v>
      </c>
      <c r="E179" s="30" t="s">
        <v>319</v>
      </c>
      <c r="F179" s="29">
        <v>45439</v>
      </c>
      <c r="G179">
        <v>67525.5</v>
      </c>
      <c r="H179">
        <v>10300.5</v>
      </c>
      <c r="I179" s="30" t="s">
        <v>26</v>
      </c>
      <c r="J179" s="30" t="s">
        <v>76</v>
      </c>
      <c r="K179">
        <v>6</v>
      </c>
      <c r="L179" s="29">
        <v>46062</v>
      </c>
      <c r="M179" s="29">
        <v>46042</v>
      </c>
      <c r="N179" s="30" t="str">
        <f>VLOOKUP(Query1[[#This Row],[company_name]],'Org Mapping'!$B:$I,8,FALSE)</f>
        <v>Jawad Ulla Khan</v>
      </c>
      <c r="O179" s="30" t="str">
        <f>TEXT(Query1[[#This Row],[last_work_day]],"mmm'yy")</f>
        <v>Feb'26</v>
      </c>
    </row>
    <row r="180" spans="1:15" x14ac:dyDescent="0.35">
      <c r="A180" s="30" t="s">
        <v>152</v>
      </c>
      <c r="B180" s="30" t="s">
        <v>65</v>
      </c>
      <c r="C180" s="30" t="s">
        <v>321</v>
      </c>
      <c r="D180">
        <v>2</v>
      </c>
      <c r="E180" s="30" t="s">
        <v>322</v>
      </c>
      <c r="F180" s="29">
        <v>45439</v>
      </c>
      <c r="G180">
        <v>21956.26</v>
      </c>
      <c r="H180">
        <v>3349.26</v>
      </c>
      <c r="I180" s="30" t="s">
        <v>26</v>
      </c>
      <c r="J180" s="30" t="s">
        <v>76</v>
      </c>
      <c r="K180">
        <v>6</v>
      </c>
      <c r="L180" s="29">
        <v>46057</v>
      </c>
      <c r="M180" s="29">
        <v>46030</v>
      </c>
      <c r="N180" s="30" t="str">
        <f>VLOOKUP(Query1[[#This Row],[company_name]],'Org Mapping'!$B:$I,8,FALSE)</f>
        <v>Jawad Ulla Khan</v>
      </c>
      <c r="O180" s="30" t="str">
        <f>TEXT(Query1[[#This Row],[last_work_day]],"mmm'yy")</f>
        <v>Feb'26</v>
      </c>
    </row>
    <row r="181" spans="1:15" x14ac:dyDescent="0.35">
      <c r="A181" s="30" t="s">
        <v>75</v>
      </c>
      <c r="B181" s="30" t="s">
        <v>65</v>
      </c>
      <c r="C181" s="30" t="s">
        <v>324</v>
      </c>
      <c r="D181">
        <v>2</v>
      </c>
      <c r="E181" s="30" t="s">
        <v>325</v>
      </c>
      <c r="F181" s="29">
        <v>45443</v>
      </c>
      <c r="G181">
        <v>21956.26</v>
      </c>
      <c r="H181">
        <v>6956.26</v>
      </c>
      <c r="I181" s="30" t="s">
        <v>21</v>
      </c>
      <c r="J181" s="30" t="s">
        <v>76</v>
      </c>
      <c r="K181">
        <v>6</v>
      </c>
      <c r="L181" s="29">
        <v>46127</v>
      </c>
      <c r="M181" s="29">
        <v>46128</v>
      </c>
      <c r="N181" s="30" t="str">
        <f>VLOOKUP(Query1[[#This Row],[company_name]],'Org Mapping'!$B:$I,8,FALSE)</f>
        <v>Jawad Ulla Khan</v>
      </c>
      <c r="O181" s="30" t="str">
        <f>TEXT(Query1[[#This Row],[last_work_day]],"mmm'yy")</f>
        <v>Apr'26</v>
      </c>
    </row>
    <row r="182" spans="1:15" x14ac:dyDescent="0.35">
      <c r="A182" s="30" t="s">
        <v>1526</v>
      </c>
      <c r="B182" s="30" t="s">
        <v>186</v>
      </c>
      <c r="C182" s="30" t="s">
        <v>1527</v>
      </c>
      <c r="D182">
        <v>2</v>
      </c>
      <c r="E182" s="30" t="s">
        <v>1528</v>
      </c>
      <c r="F182" s="29">
        <v>45440</v>
      </c>
      <c r="G182">
        <v>139999.9</v>
      </c>
      <c r="H182">
        <v>44166.9</v>
      </c>
      <c r="I182" s="30" t="s">
        <v>21</v>
      </c>
      <c r="J182" s="30" t="s">
        <v>73</v>
      </c>
      <c r="K182">
        <v>6</v>
      </c>
      <c r="L182" s="29">
        <v>46170</v>
      </c>
      <c r="M182" s="29">
        <v>45481</v>
      </c>
      <c r="N182" s="30" t="str">
        <f>VLOOKUP(Query1[[#This Row],[company_name]],'Org Mapping'!$B:$I,8,FALSE)</f>
        <v>Prathap Sagar</v>
      </c>
      <c r="O182" s="30" t="str">
        <f>TEXT(Query1[[#This Row],[last_work_day]],"mmm'yy")</f>
        <v>May'26</v>
      </c>
    </row>
    <row r="183" spans="1:15" x14ac:dyDescent="0.35">
      <c r="A183" s="30" t="s">
        <v>1493</v>
      </c>
      <c r="B183" s="30" t="s">
        <v>293</v>
      </c>
      <c r="C183" s="30" t="s">
        <v>1529</v>
      </c>
      <c r="D183">
        <v>2</v>
      </c>
      <c r="E183" s="30" t="s">
        <v>1530</v>
      </c>
      <c r="F183" s="29">
        <v>45443</v>
      </c>
      <c r="G183">
        <v>231000</v>
      </c>
      <c r="H183">
        <v>56000</v>
      </c>
      <c r="I183" s="30" t="s">
        <v>16</v>
      </c>
      <c r="J183" s="30" t="s">
        <v>326</v>
      </c>
      <c r="K183">
        <v>6</v>
      </c>
      <c r="L183" s="29">
        <v>46080</v>
      </c>
      <c r="M183" s="29">
        <v>45742</v>
      </c>
      <c r="N183" s="30" t="str">
        <f>VLOOKUP(Query1[[#This Row],[company_name]],'Org Mapping'!$B:$I,8,FALSE)</f>
        <v>Deepak Desai</v>
      </c>
      <c r="O183" s="30" t="str">
        <f>TEXT(Query1[[#This Row],[last_work_day]],"mmm'yy")</f>
        <v>Feb'26</v>
      </c>
    </row>
    <row r="184" spans="1:15" x14ac:dyDescent="0.35">
      <c r="A184" s="30" t="s">
        <v>327</v>
      </c>
      <c r="B184" s="30" t="s">
        <v>65</v>
      </c>
      <c r="C184" s="30" t="s">
        <v>328</v>
      </c>
      <c r="D184">
        <v>2</v>
      </c>
      <c r="E184" s="30" t="s">
        <v>329</v>
      </c>
      <c r="F184" s="29">
        <v>45449</v>
      </c>
      <c r="G184">
        <v>25580.04</v>
      </c>
      <c r="H184">
        <v>6218.04</v>
      </c>
      <c r="I184" s="30" t="s">
        <v>21</v>
      </c>
      <c r="J184" s="30" t="s">
        <v>76</v>
      </c>
      <c r="K184">
        <v>6</v>
      </c>
      <c r="L184" s="29">
        <v>46091</v>
      </c>
      <c r="M184" s="29">
        <v>45588</v>
      </c>
      <c r="N184" s="30" t="str">
        <f>VLOOKUP(Query1[[#This Row],[company_name]],'Org Mapping'!$B:$I,8,FALSE)</f>
        <v>Jawad Ulla Khan</v>
      </c>
      <c r="O184" s="30" t="str">
        <f>TEXT(Query1[[#This Row],[last_work_day]],"mmm'yy")</f>
        <v>Mar'26</v>
      </c>
    </row>
    <row r="185" spans="1:15" x14ac:dyDescent="0.35">
      <c r="A185" s="30" t="s">
        <v>330</v>
      </c>
      <c r="B185" s="30" t="s">
        <v>65</v>
      </c>
      <c r="C185" s="30" t="s">
        <v>331</v>
      </c>
      <c r="D185">
        <v>2</v>
      </c>
      <c r="E185" s="30" t="s">
        <v>332</v>
      </c>
      <c r="F185" s="29">
        <v>45447</v>
      </c>
      <c r="G185">
        <v>21956.26</v>
      </c>
      <c r="H185">
        <v>3349.26</v>
      </c>
      <c r="I185" s="30" t="s">
        <v>21</v>
      </c>
      <c r="J185" s="30" t="s">
        <v>76</v>
      </c>
      <c r="K185">
        <v>6</v>
      </c>
      <c r="L185" s="29">
        <v>46030</v>
      </c>
      <c r="M185" s="29">
        <v>46029</v>
      </c>
      <c r="N185" s="30" t="str">
        <f>VLOOKUP(Query1[[#This Row],[company_name]],'Org Mapping'!$B:$I,8,FALSE)</f>
        <v>Jawad Ulla Khan</v>
      </c>
      <c r="O185" s="30" t="str">
        <f>TEXT(Query1[[#This Row],[last_work_day]],"mmm'yy")</f>
        <v>Jan'26</v>
      </c>
    </row>
    <row r="186" spans="1:15" x14ac:dyDescent="0.35">
      <c r="A186" s="30" t="s">
        <v>274</v>
      </c>
      <c r="B186" s="30" t="s">
        <v>65</v>
      </c>
      <c r="C186" s="30" t="s">
        <v>333</v>
      </c>
      <c r="D186">
        <v>2</v>
      </c>
      <c r="E186" s="30" t="s">
        <v>334</v>
      </c>
      <c r="F186" s="29">
        <v>45446</v>
      </c>
      <c r="G186">
        <v>29500</v>
      </c>
      <c r="H186">
        <v>4500</v>
      </c>
      <c r="I186" s="30" t="s">
        <v>21</v>
      </c>
      <c r="J186" s="30" t="s">
        <v>76</v>
      </c>
      <c r="K186">
        <v>6</v>
      </c>
      <c r="L186" s="29">
        <v>46077</v>
      </c>
      <c r="M186" s="29">
        <v>46043</v>
      </c>
      <c r="N186" s="30" t="str">
        <f>VLOOKUP(Query1[[#This Row],[company_name]],'Org Mapping'!$B:$I,8,FALSE)</f>
        <v>Jawad Ulla Khan</v>
      </c>
      <c r="O186" s="30" t="str">
        <f>TEXT(Query1[[#This Row],[last_work_day]],"mmm'yy")</f>
        <v>Feb'26</v>
      </c>
    </row>
    <row r="187" spans="1:15" x14ac:dyDescent="0.35">
      <c r="A187" s="30" t="s">
        <v>327</v>
      </c>
      <c r="B187" s="30" t="s">
        <v>65</v>
      </c>
      <c r="C187" s="30" t="s">
        <v>335</v>
      </c>
      <c r="D187">
        <v>1</v>
      </c>
      <c r="E187" s="30" t="s">
        <v>336</v>
      </c>
      <c r="F187" s="29">
        <v>45446</v>
      </c>
      <c r="G187">
        <v>29500</v>
      </c>
      <c r="H187">
        <v>4500</v>
      </c>
      <c r="I187" s="30" t="s">
        <v>21</v>
      </c>
      <c r="J187" s="30" t="s">
        <v>90</v>
      </c>
      <c r="K187">
        <v>6</v>
      </c>
      <c r="L187" s="29">
        <v>46030</v>
      </c>
      <c r="M187" s="29">
        <v>46020</v>
      </c>
      <c r="N187" s="30" t="str">
        <f>VLOOKUP(Query1[[#This Row],[company_name]],'Org Mapping'!$B:$I,8,FALSE)</f>
        <v>Jawad Ulla Khan</v>
      </c>
      <c r="O187" s="30" t="str">
        <f>TEXT(Query1[[#This Row],[last_work_day]],"mmm'yy")</f>
        <v>Jan'26</v>
      </c>
    </row>
    <row r="188" spans="1:15" x14ac:dyDescent="0.35">
      <c r="A188" s="30" t="s">
        <v>330</v>
      </c>
      <c r="B188" s="30" t="s">
        <v>65</v>
      </c>
      <c r="C188" s="30" t="s">
        <v>337</v>
      </c>
      <c r="D188">
        <v>2</v>
      </c>
      <c r="E188" s="30" t="s">
        <v>338</v>
      </c>
      <c r="F188" s="29">
        <v>45446</v>
      </c>
      <c r="G188">
        <v>21956.26</v>
      </c>
      <c r="H188">
        <v>3601.26</v>
      </c>
      <c r="I188" s="30" t="s">
        <v>21</v>
      </c>
      <c r="J188" s="30" t="s">
        <v>76</v>
      </c>
      <c r="K188">
        <v>6</v>
      </c>
      <c r="L188" s="29">
        <v>46104</v>
      </c>
      <c r="M188" s="29">
        <v>46104</v>
      </c>
      <c r="N188" s="30" t="str">
        <f>VLOOKUP(Query1[[#This Row],[company_name]],'Org Mapping'!$B:$I,8,FALSE)</f>
        <v>Jawad Ulla Khan</v>
      </c>
      <c r="O188" s="30" t="str">
        <f>TEXT(Query1[[#This Row],[last_work_day]],"mmm'yy")</f>
        <v>Mar'26</v>
      </c>
    </row>
    <row r="189" spans="1:15" x14ac:dyDescent="0.35">
      <c r="A189" s="30" t="s">
        <v>1531</v>
      </c>
      <c r="B189" s="30" t="s">
        <v>114</v>
      </c>
      <c r="C189" s="30" t="s">
        <v>1532</v>
      </c>
      <c r="D189">
        <v>2</v>
      </c>
      <c r="E189" s="30" t="s">
        <v>1533</v>
      </c>
      <c r="F189" s="29">
        <v>45453</v>
      </c>
      <c r="G189">
        <v>52100</v>
      </c>
      <c r="H189">
        <v>2100</v>
      </c>
      <c r="I189" s="30" t="s">
        <v>26</v>
      </c>
      <c r="J189" s="30" t="s">
        <v>340</v>
      </c>
      <c r="K189">
        <v>6</v>
      </c>
      <c r="L189" s="29">
        <v>46108</v>
      </c>
      <c r="M189" s="29">
        <v>46097</v>
      </c>
      <c r="N189" s="30" t="str">
        <f>VLOOKUP(Query1[[#This Row],[company_name]],'Org Mapping'!$B:$I,8,FALSE)</f>
        <v>Anuradha</v>
      </c>
      <c r="O189" s="30" t="str">
        <f>TEXT(Query1[[#This Row],[last_work_day]],"mmm'yy")</f>
        <v>Mar'26</v>
      </c>
    </row>
    <row r="190" spans="1:15" x14ac:dyDescent="0.35">
      <c r="A190" s="30" t="s">
        <v>1534</v>
      </c>
      <c r="B190" s="30" t="s">
        <v>1535</v>
      </c>
      <c r="C190" s="30" t="s">
        <v>1536</v>
      </c>
      <c r="D190">
        <v>2</v>
      </c>
      <c r="E190" s="30" t="s">
        <v>1537</v>
      </c>
      <c r="F190" s="29">
        <v>45506</v>
      </c>
      <c r="G190">
        <v>70000</v>
      </c>
      <c r="H190">
        <v>11667</v>
      </c>
      <c r="I190" s="30" t="s">
        <v>26</v>
      </c>
      <c r="J190" s="30" t="s">
        <v>113</v>
      </c>
      <c r="K190">
        <v>6</v>
      </c>
      <c r="L190" s="29">
        <v>46084</v>
      </c>
      <c r="M190" s="29">
        <v>46055</v>
      </c>
      <c r="N190" s="30" t="str">
        <f>VLOOKUP(Query1[[#This Row],[company_name]],'Org Mapping'!$B:$I,8,FALSE)</f>
        <v>(Sonia/Dikshitha)</v>
      </c>
      <c r="O190" s="30" t="str">
        <f>TEXT(Query1[[#This Row],[last_work_day]],"mmm'yy")</f>
        <v>Mar'26</v>
      </c>
    </row>
    <row r="191" spans="1:15" x14ac:dyDescent="0.35">
      <c r="A191" s="30" t="s">
        <v>1464</v>
      </c>
      <c r="B191" s="30" t="s">
        <v>39</v>
      </c>
      <c r="C191" s="30" t="s">
        <v>1538</v>
      </c>
      <c r="D191">
        <v>2</v>
      </c>
      <c r="E191" s="30" t="s">
        <v>1539</v>
      </c>
      <c r="F191" s="29">
        <v>45453</v>
      </c>
      <c r="G191">
        <v>50791.67</v>
      </c>
      <c r="H191">
        <v>2875.67</v>
      </c>
      <c r="I191" s="30" t="s">
        <v>26</v>
      </c>
      <c r="J191" s="30" t="s">
        <v>31</v>
      </c>
      <c r="K191">
        <v>6</v>
      </c>
      <c r="L191" s="29">
        <v>46052</v>
      </c>
      <c r="M191" s="29">
        <v>46031</v>
      </c>
      <c r="N191" s="30" t="str">
        <f>VLOOKUP(Query1[[#This Row],[company_name]],'Org Mapping'!$B:$I,8,FALSE)</f>
        <v>Mehr Hashim</v>
      </c>
      <c r="O191" s="30" t="str">
        <f>TEXT(Query1[[#This Row],[last_work_day]],"mmm'yy")</f>
        <v>Jan'26</v>
      </c>
    </row>
    <row r="192" spans="1:15" x14ac:dyDescent="0.35">
      <c r="A192" s="30" t="s">
        <v>152</v>
      </c>
      <c r="B192" s="30" t="s">
        <v>65</v>
      </c>
      <c r="C192" s="30" t="s">
        <v>344</v>
      </c>
      <c r="D192">
        <v>2</v>
      </c>
      <c r="E192" s="30" t="s">
        <v>345</v>
      </c>
      <c r="F192" s="29">
        <v>45467</v>
      </c>
      <c r="G192">
        <v>29500</v>
      </c>
      <c r="H192">
        <v>4500</v>
      </c>
      <c r="I192" s="30" t="s">
        <v>26</v>
      </c>
      <c r="J192" s="30" t="s">
        <v>90</v>
      </c>
      <c r="K192">
        <v>6</v>
      </c>
      <c r="L192" s="29">
        <v>46148</v>
      </c>
      <c r="M192" s="29">
        <v>46126</v>
      </c>
      <c r="N192" s="30" t="str">
        <f>VLOOKUP(Query1[[#This Row],[company_name]],'Org Mapping'!$B:$I,8,FALSE)</f>
        <v>Jawad Ulla Khan</v>
      </c>
      <c r="O192" s="30" t="str">
        <f>TEXT(Query1[[#This Row],[last_work_day]],"mmm'yy")</f>
        <v>May'26</v>
      </c>
    </row>
    <row r="193" spans="1:15" x14ac:dyDescent="0.35">
      <c r="A193" s="30" t="s">
        <v>234</v>
      </c>
      <c r="B193" s="30" t="s">
        <v>65</v>
      </c>
      <c r="C193" s="30" t="s">
        <v>906</v>
      </c>
      <c r="D193">
        <v>2</v>
      </c>
      <c r="E193" s="30" t="s">
        <v>907</v>
      </c>
      <c r="F193" s="29">
        <v>45456</v>
      </c>
      <c r="G193">
        <v>25580.04</v>
      </c>
      <c r="H193">
        <v>6218.04</v>
      </c>
      <c r="I193" s="30" t="s">
        <v>26</v>
      </c>
      <c r="J193" s="30" t="s">
        <v>76</v>
      </c>
      <c r="K193">
        <v>6</v>
      </c>
      <c r="L193" s="29">
        <v>46175</v>
      </c>
      <c r="M193" s="29">
        <v>45588</v>
      </c>
      <c r="N193" s="30" t="str">
        <f>VLOOKUP(Query1[[#This Row],[company_name]],'Org Mapping'!$B:$I,8,FALSE)</f>
        <v>Jawad Ulla Khan</v>
      </c>
      <c r="O193" s="30" t="str">
        <f>TEXT(Query1[[#This Row],[last_work_day]],"mmm'yy")</f>
        <v>Jun'26</v>
      </c>
    </row>
    <row r="194" spans="1:15" x14ac:dyDescent="0.35">
      <c r="A194" s="30" t="s">
        <v>152</v>
      </c>
      <c r="B194" s="30" t="s">
        <v>65</v>
      </c>
      <c r="C194" s="30" t="s">
        <v>346</v>
      </c>
      <c r="D194">
        <v>2</v>
      </c>
      <c r="E194" s="30" t="s">
        <v>347</v>
      </c>
      <c r="F194" s="29">
        <v>45463</v>
      </c>
      <c r="G194">
        <v>23684.959999999999</v>
      </c>
      <c r="H194">
        <v>4322.96</v>
      </c>
      <c r="I194" s="30" t="s">
        <v>21</v>
      </c>
      <c r="J194" s="30" t="s">
        <v>76</v>
      </c>
      <c r="K194">
        <v>6</v>
      </c>
      <c r="L194" s="29">
        <v>46034</v>
      </c>
      <c r="M194" s="29">
        <v>46027</v>
      </c>
      <c r="N194" s="30" t="str">
        <f>VLOOKUP(Query1[[#This Row],[company_name]],'Org Mapping'!$B:$I,8,FALSE)</f>
        <v>Jawad Ulla Khan</v>
      </c>
      <c r="O194" s="30" t="str">
        <f>TEXT(Query1[[#This Row],[last_work_day]],"mmm'yy")</f>
        <v>Jan'26</v>
      </c>
    </row>
    <row r="195" spans="1:15" x14ac:dyDescent="0.35">
      <c r="A195" s="30" t="s">
        <v>42</v>
      </c>
      <c r="B195" s="30" t="s">
        <v>43</v>
      </c>
      <c r="C195" s="30" t="s">
        <v>348</v>
      </c>
      <c r="D195">
        <v>6</v>
      </c>
      <c r="E195" s="30" t="s">
        <v>349</v>
      </c>
      <c r="F195" s="29">
        <v>45456</v>
      </c>
      <c r="G195">
        <v>35685</v>
      </c>
      <c r="H195">
        <v>5185</v>
      </c>
      <c r="I195" s="30" t="s">
        <v>26</v>
      </c>
      <c r="J195" s="30" t="s">
        <v>17</v>
      </c>
      <c r="K195">
        <v>6</v>
      </c>
      <c r="L195" s="29">
        <v>46031</v>
      </c>
      <c r="M195" s="29">
        <v>45999</v>
      </c>
      <c r="N195" s="30" t="str">
        <f>VLOOKUP(Query1[[#This Row],[company_name]],'Org Mapping'!$B:$I,8,FALSE)</f>
        <v>Jawad Ulla Khan</v>
      </c>
      <c r="O195" s="30" t="str">
        <f>TEXT(Query1[[#This Row],[last_work_day]],"mmm'yy")</f>
        <v>Jan'26</v>
      </c>
    </row>
    <row r="196" spans="1:15" x14ac:dyDescent="0.35">
      <c r="A196" s="30" t="s">
        <v>309</v>
      </c>
      <c r="B196" s="30" t="s">
        <v>43</v>
      </c>
      <c r="C196" s="30" t="s">
        <v>350</v>
      </c>
      <c r="D196">
        <v>6</v>
      </c>
      <c r="E196" s="30" t="s">
        <v>351</v>
      </c>
      <c r="F196" s="29">
        <v>45456</v>
      </c>
      <c r="G196">
        <v>35685</v>
      </c>
      <c r="H196">
        <v>5185</v>
      </c>
      <c r="I196" s="30" t="s">
        <v>91</v>
      </c>
      <c r="J196" s="30" t="s">
        <v>17</v>
      </c>
      <c r="K196">
        <v>6</v>
      </c>
      <c r="L196" s="29">
        <v>46027</v>
      </c>
      <c r="M196" s="29">
        <v>46031</v>
      </c>
      <c r="N196" s="30" t="str">
        <f>VLOOKUP(Query1[[#This Row],[company_name]],'Org Mapping'!$B:$I,8,FALSE)</f>
        <v>Jawad Ulla Khan</v>
      </c>
      <c r="O196" s="30" t="str">
        <f>TEXT(Query1[[#This Row],[last_work_day]],"mmm'yy")</f>
        <v>Jan'26</v>
      </c>
    </row>
    <row r="197" spans="1:15" x14ac:dyDescent="0.35">
      <c r="A197" s="30" t="s">
        <v>176</v>
      </c>
      <c r="B197" s="30" t="s">
        <v>43</v>
      </c>
      <c r="C197" s="30" t="s">
        <v>352</v>
      </c>
      <c r="D197">
        <v>6</v>
      </c>
      <c r="E197" s="30" t="s">
        <v>353</v>
      </c>
      <c r="F197" s="29">
        <v>45456</v>
      </c>
      <c r="G197">
        <v>35685</v>
      </c>
      <c r="H197">
        <v>5185</v>
      </c>
      <c r="I197" s="30" t="s">
        <v>26</v>
      </c>
      <c r="J197" s="30" t="s">
        <v>17</v>
      </c>
      <c r="K197">
        <v>6</v>
      </c>
      <c r="L197" s="29">
        <v>46045</v>
      </c>
      <c r="M197" s="29">
        <v>46009</v>
      </c>
      <c r="N197" s="30" t="str">
        <f>VLOOKUP(Query1[[#This Row],[company_name]],'Org Mapping'!$B:$I,8,FALSE)</f>
        <v>Jawad Ulla Khan</v>
      </c>
      <c r="O197" s="30" t="str">
        <f>TEXT(Query1[[#This Row],[last_work_day]],"mmm'yy")</f>
        <v>Jan'26</v>
      </c>
    </row>
    <row r="198" spans="1:15" x14ac:dyDescent="0.35">
      <c r="A198" s="30" t="s">
        <v>330</v>
      </c>
      <c r="B198" s="30" t="s">
        <v>65</v>
      </c>
      <c r="C198" s="30" t="s">
        <v>354</v>
      </c>
      <c r="D198">
        <v>2</v>
      </c>
      <c r="E198" s="30" t="s">
        <v>355</v>
      </c>
      <c r="F198" s="29">
        <v>45462</v>
      </c>
      <c r="G198">
        <v>21956.26</v>
      </c>
      <c r="H198">
        <v>3349.26</v>
      </c>
      <c r="I198" s="30" t="s">
        <v>21</v>
      </c>
      <c r="J198" s="30" t="s">
        <v>76</v>
      </c>
      <c r="K198">
        <v>6</v>
      </c>
      <c r="L198" s="29">
        <v>46030</v>
      </c>
      <c r="M198" s="29">
        <v>46029</v>
      </c>
      <c r="N198" s="30" t="str">
        <f>VLOOKUP(Query1[[#This Row],[company_name]],'Org Mapping'!$B:$I,8,FALSE)</f>
        <v>Jawad Ulla Khan</v>
      </c>
      <c r="O198" s="30" t="str">
        <f>TEXT(Query1[[#This Row],[last_work_day]],"mmm'yy")</f>
        <v>Jan'26</v>
      </c>
    </row>
    <row r="199" spans="1:15" x14ac:dyDescent="0.35">
      <c r="A199" s="30" t="s">
        <v>270</v>
      </c>
      <c r="B199" s="30" t="s">
        <v>65</v>
      </c>
      <c r="C199" s="30" t="s">
        <v>356</v>
      </c>
      <c r="D199">
        <v>2</v>
      </c>
      <c r="E199" s="30" t="s">
        <v>357</v>
      </c>
      <c r="F199" s="29">
        <v>45467</v>
      </c>
      <c r="G199">
        <v>25580.04</v>
      </c>
      <c r="H199">
        <v>6218.04</v>
      </c>
      <c r="I199" s="30" t="s">
        <v>26</v>
      </c>
      <c r="J199" s="30" t="s">
        <v>76</v>
      </c>
      <c r="K199">
        <v>6</v>
      </c>
      <c r="L199" s="29">
        <v>46174</v>
      </c>
      <c r="M199" s="29">
        <v>45813</v>
      </c>
      <c r="N199" s="30" t="str">
        <f>VLOOKUP(Query1[[#This Row],[company_name]],'Org Mapping'!$B:$I,8,FALSE)</f>
        <v>Jawad Ulla Khan</v>
      </c>
      <c r="O199" s="30" t="str">
        <f>TEXT(Query1[[#This Row],[last_work_day]],"mmm'yy")</f>
        <v>Jun'26</v>
      </c>
    </row>
    <row r="200" spans="1:15" x14ac:dyDescent="0.35">
      <c r="A200" s="30" t="s">
        <v>360</v>
      </c>
      <c r="B200" s="30" t="s">
        <v>65</v>
      </c>
      <c r="C200" s="30" t="s">
        <v>362</v>
      </c>
      <c r="D200">
        <v>2</v>
      </c>
      <c r="E200" s="30" t="s">
        <v>363</v>
      </c>
      <c r="F200" s="29">
        <v>45467</v>
      </c>
      <c r="G200">
        <v>25580.04</v>
      </c>
      <c r="H200">
        <v>3902.04</v>
      </c>
      <c r="I200" s="30" t="s">
        <v>21</v>
      </c>
      <c r="J200" s="30" t="s">
        <v>76</v>
      </c>
      <c r="K200">
        <v>6</v>
      </c>
      <c r="L200" s="29">
        <v>46097</v>
      </c>
      <c r="M200" s="29">
        <v>46094</v>
      </c>
      <c r="N200" s="30" t="str">
        <f>VLOOKUP(Query1[[#This Row],[company_name]],'Org Mapping'!$B:$I,8,FALSE)</f>
        <v>Jawad Ulla Khan</v>
      </c>
      <c r="O200" s="30" t="str">
        <f>TEXT(Query1[[#This Row],[last_work_day]],"mmm'yy")</f>
        <v>Mar'26</v>
      </c>
    </row>
    <row r="201" spans="1:15" x14ac:dyDescent="0.35">
      <c r="A201" s="30" t="s">
        <v>360</v>
      </c>
      <c r="B201" s="30" t="s">
        <v>65</v>
      </c>
      <c r="C201" s="30" t="s">
        <v>364</v>
      </c>
      <c r="D201">
        <v>2</v>
      </c>
      <c r="E201" s="30" t="s">
        <v>365</v>
      </c>
      <c r="F201" s="29">
        <v>45468</v>
      </c>
      <c r="G201">
        <v>25580.04</v>
      </c>
      <c r="H201">
        <v>3902.04</v>
      </c>
      <c r="I201" s="30" t="s">
        <v>21</v>
      </c>
      <c r="J201" s="30" t="s">
        <v>76</v>
      </c>
      <c r="K201">
        <v>6</v>
      </c>
      <c r="L201" s="29">
        <v>46097</v>
      </c>
      <c r="M201" s="29">
        <v>45610</v>
      </c>
      <c r="N201" s="30" t="str">
        <f>VLOOKUP(Query1[[#This Row],[company_name]],'Org Mapping'!$B:$I,8,FALSE)</f>
        <v>Jawad Ulla Khan</v>
      </c>
      <c r="O201" s="30" t="str">
        <f>TEXT(Query1[[#This Row],[last_work_day]],"mmm'yy")</f>
        <v>Mar'26</v>
      </c>
    </row>
    <row r="202" spans="1:15" x14ac:dyDescent="0.35">
      <c r="A202" s="30" t="s">
        <v>366</v>
      </c>
      <c r="B202" s="30" t="s">
        <v>43</v>
      </c>
      <c r="C202" s="30" t="s">
        <v>367</v>
      </c>
      <c r="D202">
        <v>6</v>
      </c>
      <c r="E202" s="30" t="s">
        <v>368</v>
      </c>
      <c r="F202" s="29">
        <v>45470</v>
      </c>
      <c r="G202">
        <v>35685</v>
      </c>
      <c r="H202">
        <v>5185</v>
      </c>
      <c r="I202" s="30" t="s">
        <v>26</v>
      </c>
      <c r="J202" s="30" t="s">
        <v>17</v>
      </c>
      <c r="K202">
        <v>6</v>
      </c>
      <c r="L202" s="29">
        <v>46132</v>
      </c>
      <c r="M202" s="29">
        <v>46022</v>
      </c>
      <c r="N202" s="30" t="str">
        <f>VLOOKUP(Query1[[#This Row],[company_name]],'Org Mapping'!$B:$I,8,FALSE)</f>
        <v>Jawad Ulla Khan</v>
      </c>
      <c r="O202" s="30" t="str">
        <f>TEXT(Query1[[#This Row],[last_work_day]],"mmm'yy")</f>
        <v>Apr'26</v>
      </c>
    </row>
    <row r="203" spans="1:15" x14ac:dyDescent="0.35">
      <c r="A203" s="30" t="s">
        <v>360</v>
      </c>
      <c r="B203" s="30" t="s">
        <v>65</v>
      </c>
      <c r="C203" s="30" t="s">
        <v>369</v>
      </c>
      <c r="D203">
        <v>2</v>
      </c>
      <c r="E203" s="30" t="s">
        <v>370</v>
      </c>
      <c r="F203" s="29">
        <v>45471</v>
      </c>
      <c r="G203">
        <v>25580.04</v>
      </c>
      <c r="H203">
        <v>3902.04</v>
      </c>
      <c r="I203" s="30" t="s">
        <v>26</v>
      </c>
      <c r="J203" s="30" t="s">
        <v>76</v>
      </c>
      <c r="K203">
        <v>6</v>
      </c>
      <c r="L203" s="29">
        <v>46038</v>
      </c>
      <c r="M203" s="29">
        <v>46000</v>
      </c>
      <c r="N203" s="30" t="str">
        <f>VLOOKUP(Query1[[#This Row],[company_name]],'Org Mapping'!$B:$I,8,FALSE)</f>
        <v>Jawad Ulla Khan</v>
      </c>
      <c r="O203" s="30" t="str">
        <f>TEXT(Query1[[#This Row],[last_work_day]],"mmm'yy")</f>
        <v>Jan'26</v>
      </c>
    </row>
    <row r="204" spans="1:15" x14ac:dyDescent="0.35">
      <c r="A204" s="30" t="s">
        <v>1540</v>
      </c>
      <c r="B204" s="30" t="s">
        <v>186</v>
      </c>
      <c r="C204" s="30" t="s">
        <v>1541</v>
      </c>
      <c r="D204">
        <v>2</v>
      </c>
      <c r="E204" s="30" t="s">
        <v>1542</v>
      </c>
      <c r="F204" s="29">
        <v>45481</v>
      </c>
      <c r="G204">
        <v>100000</v>
      </c>
      <c r="H204">
        <v>8334</v>
      </c>
      <c r="I204" s="30" t="s">
        <v>37</v>
      </c>
      <c r="J204" s="30" t="s">
        <v>73</v>
      </c>
      <c r="K204">
        <v>6</v>
      </c>
      <c r="L204" s="29">
        <v>46135</v>
      </c>
      <c r="M204" s="29">
        <v>46106</v>
      </c>
      <c r="N204" s="30" t="str">
        <f>VLOOKUP(Query1[[#This Row],[company_name]],'Org Mapping'!$B:$I,8,FALSE)</f>
        <v>Prathap Sagar</v>
      </c>
      <c r="O204" s="30" t="str">
        <f>TEXT(Query1[[#This Row],[last_work_day]],"mmm'yy")</f>
        <v>Apr'26</v>
      </c>
    </row>
    <row r="205" spans="1:15" x14ac:dyDescent="0.35">
      <c r="A205" s="30" t="s">
        <v>1543</v>
      </c>
      <c r="B205" s="30" t="s">
        <v>1544</v>
      </c>
      <c r="C205" s="30" t="s">
        <v>1545</v>
      </c>
      <c r="D205">
        <v>2</v>
      </c>
      <c r="E205" s="30" t="s">
        <v>1546</v>
      </c>
      <c r="F205" s="29">
        <v>45478</v>
      </c>
      <c r="G205">
        <v>30000</v>
      </c>
      <c r="H205">
        <v>5000</v>
      </c>
      <c r="I205" s="30" t="s">
        <v>26</v>
      </c>
      <c r="J205" s="30" t="s">
        <v>361</v>
      </c>
      <c r="K205">
        <v>6</v>
      </c>
      <c r="L205" s="29">
        <v>46106</v>
      </c>
      <c r="M205" s="29">
        <v>45967</v>
      </c>
      <c r="N205" s="30" t="str">
        <f>VLOOKUP(Query1[[#This Row],[company_name]],'Org Mapping'!$B:$I,8,FALSE)</f>
        <v>Prathap Sagar</v>
      </c>
      <c r="O205" s="30" t="str">
        <f>TEXT(Query1[[#This Row],[last_work_day]],"mmm'yy")</f>
        <v>Mar'26</v>
      </c>
    </row>
    <row r="206" spans="1:15" x14ac:dyDescent="0.35">
      <c r="A206" s="30" t="s">
        <v>309</v>
      </c>
      <c r="B206" s="30" t="s">
        <v>43</v>
      </c>
      <c r="C206" s="30" t="s">
        <v>374</v>
      </c>
      <c r="D206">
        <v>6</v>
      </c>
      <c r="E206" s="30" t="s">
        <v>375</v>
      </c>
      <c r="F206" s="29">
        <v>45477</v>
      </c>
      <c r="G206">
        <v>35685</v>
      </c>
      <c r="H206">
        <v>5185</v>
      </c>
      <c r="I206" s="30" t="s">
        <v>26</v>
      </c>
      <c r="J206" s="30" t="s">
        <v>17</v>
      </c>
      <c r="K206">
        <v>6</v>
      </c>
      <c r="L206" s="29">
        <v>46031</v>
      </c>
      <c r="M206" s="29">
        <v>46038</v>
      </c>
      <c r="N206" s="30" t="str">
        <f>VLOOKUP(Query1[[#This Row],[company_name]],'Org Mapping'!$B:$I,8,FALSE)</f>
        <v>Jawad Ulla Khan</v>
      </c>
      <c r="O206" s="30" t="str">
        <f>TEXT(Query1[[#This Row],[last_work_day]],"mmm'yy")</f>
        <v>Jan'26</v>
      </c>
    </row>
    <row r="207" spans="1:15" x14ac:dyDescent="0.35">
      <c r="A207" s="30" t="s">
        <v>376</v>
      </c>
      <c r="B207" s="30" t="s">
        <v>65</v>
      </c>
      <c r="C207" s="30" t="s">
        <v>377</v>
      </c>
      <c r="D207">
        <v>2</v>
      </c>
      <c r="E207" s="30" t="s">
        <v>378</v>
      </c>
      <c r="F207" s="29">
        <v>45483</v>
      </c>
      <c r="G207">
        <v>25580.04</v>
      </c>
      <c r="H207">
        <v>3902.04</v>
      </c>
      <c r="I207" s="30" t="s">
        <v>26</v>
      </c>
      <c r="J207" s="30" t="s">
        <v>76</v>
      </c>
      <c r="K207">
        <v>6</v>
      </c>
      <c r="L207" s="29">
        <v>46038</v>
      </c>
      <c r="M207" s="29">
        <v>46006</v>
      </c>
      <c r="N207" s="30" t="str">
        <f>VLOOKUP(Query1[[#This Row],[company_name]],'Org Mapping'!$B:$I,8,FALSE)</f>
        <v>Jawad Ulla Khan</v>
      </c>
      <c r="O207" s="30" t="str">
        <f>TEXT(Query1[[#This Row],[last_work_day]],"mmm'yy")</f>
        <v>Jan'26</v>
      </c>
    </row>
    <row r="208" spans="1:15" x14ac:dyDescent="0.35">
      <c r="A208" s="30" t="s">
        <v>151</v>
      </c>
      <c r="B208" s="30" t="s">
        <v>65</v>
      </c>
      <c r="C208" s="30" t="s">
        <v>379</v>
      </c>
      <c r="D208">
        <v>2</v>
      </c>
      <c r="E208" s="30" t="s">
        <v>380</v>
      </c>
      <c r="F208" s="29">
        <v>45483</v>
      </c>
      <c r="G208">
        <v>25580.04</v>
      </c>
      <c r="H208">
        <v>3902.04</v>
      </c>
      <c r="I208" s="30" t="s">
        <v>26</v>
      </c>
      <c r="J208" s="30" t="s">
        <v>76</v>
      </c>
      <c r="K208">
        <v>6</v>
      </c>
      <c r="L208" s="29">
        <v>46038</v>
      </c>
      <c r="M208" s="29">
        <v>46013</v>
      </c>
      <c r="N208" s="30" t="str">
        <f>VLOOKUP(Query1[[#This Row],[company_name]],'Org Mapping'!$B:$I,8,FALSE)</f>
        <v>Jawad Ulla Khan</v>
      </c>
      <c r="O208" s="30" t="str">
        <f>TEXT(Query1[[#This Row],[last_work_day]],"mmm'yy")</f>
        <v>Jan'26</v>
      </c>
    </row>
    <row r="209" spans="1:15" x14ac:dyDescent="0.35">
      <c r="A209" s="30" t="s">
        <v>327</v>
      </c>
      <c r="B209" s="30" t="s">
        <v>65</v>
      </c>
      <c r="C209" s="30" t="s">
        <v>381</v>
      </c>
      <c r="D209">
        <v>2</v>
      </c>
      <c r="E209" s="30" t="s">
        <v>382</v>
      </c>
      <c r="F209" s="29">
        <v>45481</v>
      </c>
      <c r="G209">
        <v>23684.959999999999</v>
      </c>
      <c r="H209">
        <v>4322.96</v>
      </c>
      <c r="I209" s="30" t="s">
        <v>26</v>
      </c>
      <c r="J209" s="30" t="s">
        <v>76</v>
      </c>
      <c r="K209">
        <v>6</v>
      </c>
      <c r="L209" s="29">
        <v>46108</v>
      </c>
      <c r="M209" s="29">
        <v>46080</v>
      </c>
      <c r="N209" s="30" t="str">
        <f>VLOOKUP(Query1[[#This Row],[company_name]],'Org Mapping'!$B:$I,8,FALSE)</f>
        <v>Jawad Ulla Khan</v>
      </c>
      <c r="O209" s="30" t="str">
        <f>TEXT(Query1[[#This Row],[last_work_day]],"mmm'yy")</f>
        <v>Mar'26</v>
      </c>
    </row>
    <row r="210" spans="1:15" x14ac:dyDescent="0.35">
      <c r="A210" s="30" t="s">
        <v>1547</v>
      </c>
      <c r="B210" s="30" t="s">
        <v>186</v>
      </c>
      <c r="C210" s="30" t="s">
        <v>1548</v>
      </c>
      <c r="D210">
        <v>2</v>
      </c>
      <c r="E210" s="30" t="s">
        <v>1549</v>
      </c>
      <c r="F210" s="29">
        <v>45485</v>
      </c>
      <c r="G210">
        <v>30000</v>
      </c>
      <c r="H210">
        <v>5000</v>
      </c>
      <c r="I210" s="30" t="s">
        <v>21</v>
      </c>
      <c r="J210" s="30" t="s">
        <v>361</v>
      </c>
      <c r="K210">
        <v>6</v>
      </c>
      <c r="L210" s="29">
        <v>46079</v>
      </c>
      <c r="M210" s="29">
        <v>46077</v>
      </c>
      <c r="N210" s="30" t="str">
        <f>VLOOKUP(Query1[[#This Row],[company_name]],'Org Mapping'!$B:$I,8,FALSE)</f>
        <v>Prathap Sagar</v>
      </c>
      <c r="O210" s="30" t="str">
        <f>TEXT(Query1[[#This Row],[last_work_day]],"mmm'yy")</f>
        <v>Feb'26</v>
      </c>
    </row>
    <row r="211" spans="1:15" x14ac:dyDescent="0.35">
      <c r="A211" s="30" t="s">
        <v>1550</v>
      </c>
      <c r="B211" s="30" t="s">
        <v>1551</v>
      </c>
      <c r="C211" s="30" t="s">
        <v>1552</v>
      </c>
      <c r="D211">
        <v>2</v>
      </c>
      <c r="E211" s="30" t="s">
        <v>1553</v>
      </c>
      <c r="F211" s="29">
        <v>45485</v>
      </c>
      <c r="G211">
        <v>243625</v>
      </c>
      <c r="H211">
        <v>16125</v>
      </c>
      <c r="I211" s="30" t="s">
        <v>26</v>
      </c>
      <c r="J211" s="30" t="s">
        <v>383</v>
      </c>
      <c r="K211">
        <v>6</v>
      </c>
      <c r="L211" s="29">
        <v>46146</v>
      </c>
      <c r="M211" s="29">
        <v>46098</v>
      </c>
      <c r="N211" s="30" t="str">
        <f>VLOOKUP(Query1[[#This Row],[company_name]],'Org Mapping'!$B:$I,8,FALSE)</f>
        <v>Deepak Desai</v>
      </c>
      <c r="O211" s="30" t="str">
        <f>TEXT(Query1[[#This Row],[last_work_day]],"mmm'yy")</f>
        <v>May'26</v>
      </c>
    </row>
    <row r="212" spans="1:15" x14ac:dyDescent="0.35">
      <c r="A212" s="30" t="s">
        <v>360</v>
      </c>
      <c r="B212" s="30" t="s">
        <v>65</v>
      </c>
      <c r="C212" s="30" t="s">
        <v>385</v>
      </c>
      <c r="D212">
        <v>2</v>
      </c>
      <c r="E212" s="30" t="s">
        <v>386</v>
      </c>
      <c r="F212" s="29">
        <v>45485</v>
      </c>
      <c r="G212">
        <v>25580.04</v>
      </c>
      <c r="H212">
        <v>3902.04</v>
      </c>
      <c r="I212" s="30" t="s">
        <v>26</v>
      </c>
      <c r="J212" s="30" t="s">
        <v>76</v>
      </c>
      <c r="K212">
        <v>6</v>
      </c>
      <c r="L212" s="29">
        <v>46154</v>
      </c>
      <c r="M212" s="29">
        <v>45645</v>
      </c>
      <c r="N212" s="30" t="str">
        <f>VLOOKUP(Query1[[#This Row],[company_name]],'Org Mapping'!$B:$I,8,FALSE)</f>
        <v>Jawad Ulla Khan</v>
      </c>
      <c r="O212" s="30" t="str">
        <f>TEXT(Query1[[#This Row],[last_work_day]],"mmm'yy")</f>
        <v>May'26</v>
      </c>
    </row>
    <row r="213" spans="1:15" x14ac:dyDescent="0.35">
      <c r="A213" s="30" t="s">
        <v>1554</v>
      </c>
      <c r="B213" s="30" t="s">
        <v>186</v>
      </c>
      <c r="C213" s="30" t="s">
        <v>1555</v>
      </c>
      <c r="D213">
        <v>2</v>
      </c>
      <c r="E213" s="30" t="s">
        <v>1556</v>
      </c>
      <c r="F213" s="29">
        <v>45488</v>
      </c>
      <c r="G213">
        <v>29250</v>
      </c>
      <c r="H213">
        <v>4250</v>
      </c>
      <c r="I213" s="30" t="s">
        <v>26</v>
      </c>
      <c r="J213" s="30" t="s">
        <v>361</v>
      </c>
      <c r="K213">
        <v>6</v>
      </c>
      <c r="L213" s="29">
        <v>46041</v>
      </c>
      <c r="M213" s="29">
        <v>46014</v>
      </c>
      <c r="N213" s="30" t="str">
        <f>VLOOKUP(Query1[[#This Row],[company_name]],'Org Mapping'!$B:$I,8,FALSE)</f>
        <v>Prathap Sagar</v>
      </c>
      <c r="O213" s="30" t="str">
        <f>TEXT(Query1[[#This Row],[last_work_day]],"mmm'yy")</f>
        <v>Jan'26</v>
      </c>
    </row>
    <row r="214" spans="1:15" x14ac:dyDescent="0.35">
      <c r="A214" s="30" t="s">
        <v>1557</v>
      </c>
      <c r="B214" s="30" t="s">
        <v>1535</v>
      </c>
      <c r="C214" s="30" t="s">
        <v>1558</v>
      </c>
      <c r="D214">
        <v>2</v>
      </c>
      <c r="E214" s="30" t="s">
        <v>1559</v>
      </c>
      <c r="F214" s="29">
        <v>45485</v>
      </c>
      <c r="G214">
        <v>47500</v>
      </c>
      <c r="H214">
        <v>5000</v>
      </c>
      <c r="I214" s="30" t="s">
        <v>26</v>
      </c>
      <c r="J214" s="30" t="s">
        <v>113</v>
      </c>
      <c r="K214">
        <v>6</v>
      </c>
      <c r="L214" s="29">
        <v>46168</v>
      </c>
      <c r="M214" s="29">
        <v>46107</v>
      </c>
      <c r="N214" s="30" t="str">
        <f>VLOOKUP(Query1[[#This Row],[company_name]],'Org Mapping'!$B:$I,8,FALSE)</f>
        <v>(Sonia/Dikshitha)</v>
      </c>
      <c r="O214" s="30" t="str">
        <f>TEXT(Query1[[#This Row],[last_work_day]],"mmm'yy")</f>
        <v>May'26</v>
      </c>
    </row>
    <row r="215" spans="1:15" x14ac:dyDescent="0.35">
      <c r="A215" s="30" t="s">
        <v>1421</v>
      </c>
      <c r="B215" s="30" t="s">
        <v>117</v>
      </c>
      <c r="C215" s="30" t="s">
        <v>1560</v>
      </c>
      <c r="D215">
        <v>2</v>
      </c>
      <c r="E215" s="30" t="s">
        <v>1561</v>
      </c>
      <c r="F215" s="29">
        <v>45488</v>
      </c>
      <c r="G215">
        <v>29000</v>
      </c>
      <c r="H215">
        <v>2500</v>
      </c>
      <c r="I215" s="30" t="s">
        <v>37</v>
      </c>
      <c r="J215" s="30" t="s">
        <v>271</v>
      </c>
      <c r="K215">
        <v>6</v>
      </c>
      <c r="L215" s="29">
        <v>46080</v>
      </c>
      <c r="M215" s="29">
        <v>46057</v>
      </c>
      <c r="N215" s="30" t="str">
        <f>VLOOKUP(Query1[[#This Row],[company_name]],'Org Mapping'!$B:$I,8,FALSE)</f>
        <v>TBA</v>
      </c>
      <c r="O215" s="30" t="str">
        <f>TEXT(Query1[[#This Row],[last_work_day]],"mmm'yy")</f>
        <v>Feb'26</v>
      </c>
    </row>
    <row r="216" spans="1:15" x14ac:dyDescent="0.35">
      <c r="A216" s="30" t="s">
        <v>1459</v>
      </c>
      <c r="B216" s="30" t="s">
        <v>1562</v>
      </c>
      <c r="C216" s="30" t="s">
        <v>1563</v>
      </c>
      <c r="D216">
        <v>2</v>
      </c>
      <c r="E216" s="30" t="s">
        <v>1564</v>
      </c>
      <c r="F216" s="29">
        <v>45495</v>
      </c>
      <c r="G216">
        <v>336000</v>
      </c>
      <c r="H216">
        <v>48500</v>
      </c>
      <c r="I216" s="30" t="s">
        <v>16</v>
      </c>
      <c r="J216" s="30" t="s">
        <v>342</v>
      </c>
      <c r="K216">
        <v>6</v>
      </c>
      <c r="L216" s="29">
        <v>46108</v>
      </c>
      <c r="M216" s="29">
        <v>45840</v>
      </c>
      <c r="N216" s="30" t="str">
        <f>VLOOKUP(Query1[[#This Row],[company_name]],'Org Mapping'!$B:$I,8,FALSE)</f>
        <v>Anuradha</v>
      </c>
      <c r="O216" s="30" t="str">
        <f>TEXT(Query1[[#This Row],[last_work_day]],"mmm'yy")</f>
        <v>Mar'26</v>
      </c>
    </row>
    <row r="217" spans="1:15" x14ac:dyDescent="0.35">
      <c r="A217" s="30" t="s">
        <v>1565</v>
      </c>
      <c r="B217" s="30" t="s">
        <v>117</v>
      </c>
      <c r="C217" s="30" t="s">
        <v>1566</v>
      </c>
      <c r="D217">
        <v>2</v>
      </c>
      <c r="E217" s="30" t="s">
        <v>1567</v>
      </c>
      <c r="F217" s="29">
        <v>45502</v>
      </c>
      <c r="G217">
        <v>29000</v>
      </c>
      <c r="H217">
        <v>1667</v>
      </c>
      <c r="I217" s="30" t="s">
        <v>26</v>
      </c>
      <c r="J217" s="30" t="s">
        <v>271</v>
      </c>
      <c r="K217">
        <v>6</v>
      </c>
      <c r="L217" s="29">
        <v>46059</v>
      </c>
      <c r="M217" s="29">
        <v>46066</v>
      </c>
      <c r="N217" s="30" t="str">
        <f>VLOOKUP(Query1[[#This Row],[company_name]],'Org Mapping'!$B:$I,8,FALSE)</f>
        <v>TBA</v>
      </c>
      <c r="O217" s="30" t="str">
        <f>TEXT(Query1[[#This Row],[last_work_day]],"mmm'yy")</f>
        <v>Feb'26</v>
      </c>
    </row>
    <row r="218" spans="1:15" x14ac:dyDescent="0.35">
      <c r="A218" s="30" t="s">
        <v>339</v>
      </c>
      <c r="B218" s="30" t="s">
        <v>65</v>
      </c>
      <c r="C218" s="30" t="s">
        <v>388</v>
      </c>
      <c r="D218">
        <v>2</v>
      </c>
      <c r="E218" s="30" t="s">
        <v>389</v>
      </c>
      <c r="F218" s="29">
        <v>45495</v>
      </c>
      <c r="G218">
        <v>25580.04</v>
      </c>
      <c r="H218">
        <v>3902.04</v>
      </c>
      <c r="I218" s="30" t="s">
        <v>26</v>
      </c>
      <c r="J218" s="30" t="s">
        <v>76</v>
      </c>
      <c r="K218">
        <v>6</v>
      </c>
      <c r="L218" s="29">
        <v>46108</v>
      </c>
      <c r="M218" s="29">
        <v>46070</v>
      </c>
      <c r="N218" s="30" t="str">
        <f>VLOOKUP(Query1[[#This Row],[company_name]],'Org Mapping'!$B:$I,8,FALSE)</f>
        <v>Jawad Ulla Khan</v>
      </c>
      <c r="O218" s="30" t="str">
        <f>TEXT(Query1[[#This Row],[last_work_day]],"mmm'yy")</f>
        <v>Mar'26</v>
      </c>
    </row>
    <row r="219" spans="1:15" x14ac:dyDescent="0.35">
      <c r="A219" s="30" t="s">
        <v>152</v>
      </c>
      <c r="B219" s="30" t="s">
        <v>65</v>
      </c>
      <c r="C219" s="30" t="s">
        <v>391</v>
      </c>
      <c r="D219">
        <v>2</v>
      </c>
      <c r="E219" s="30" t="s">
        <v>392</v>
      </c>
      <c r="F219" s="29">
        <v>45497</v>
      </c>
      <c r="G219">
        <v>48000</v>
      </c>
      <c r="H219">
        <v>8000</v>
      </c>
      <c r="I219" s="30" t="s">
        <v>21</v>
      </c>
      <c r="J219" s="30" t="s">
        <v>90</v>
      </c>
      <c r="K219">
        <v>6</v>
      </c>
      <c r="L219" s="29">
        <v>46049</v>
      </c>
      <c r="M219" s="29">
        <v>46030</v>
      </c>
      <c r="N219" s="30" t="str">
        <f>VLOOKUP(Query1[[#This Row],[company_name]],'Org Mapping'!$B:$I,8,FALSE)</f>
        <v>Jawad Ulla Khan</v>
      </c>
      <c r="O219" s="30" t="str">
        <f>TEXT(Query1[[#This Row],[last_work_day]],"mmm'yy")</f>
        <v>Jan'26</v>
      </c>
    </row>
    <row r="220" spans="1:15" x14ac:dyDescent="0.35">
      <c r="A220" s="30" t="s">
        <v>1568</v>
      </c>
      <c r="B220" s="30" t="s">
        <v>1569</v>
      </c>
      <c r="C220" s="30" t="s">
        <v>1570</v>
      </c>
      <c r="D220">
        <v>2</v>
      </c>
      <c r="E220" s="30" t="s">
        <v>1571</v>
      </c>
      <c r="F220" s="29">
        <v>45509</v>
      </c>
      <c r="G220">
        <v>168000</v>
      </c>
      <c r="H220">
        <v>22167</v>
      </c>
      <c r="I220" s="30" t="s">
        <v>16</v>
      </c>
      <c r="J220" s="30" t="s">
        <v>48</v>
      </c>
      <c r="K220">
        <v>6</v>
      </c>
      <c r="L220" s="29">
        <v>46038</v>
      </c>
      <c r="M220" s="29">
        <v>45989</v>
      </c>
      <c r="N220" s="30" t="str">
        <f>VLOOKUP(Query1[[#This Row],[company_name]],'Org Mapping'!$B:$I,8,FALSE)</f>
        <v>Prathap Sagar</v>
      </c>
      <c r="O220" s="30" t="str">
        <f>TEXT(Query1[[#This Row],[last_work_day]],"mmm'yy")</f>
        <v>Jan'26</v>
      </c>
    </row>
    <row r="221" spans="1:15" x14ac:dyDescent="0.35">
      <c r="A221" s="30" t="s">
        <v>330</v>
      </c>
      <c r="B221" s="30" t="s">
        <v>65</v>
      </c>
      <c r="C221" s="30" t="s">
        <v>393</v>
      </c>
      <c r="D221">
        <v>2</v>
      </c>
      <c r="E221" s="30" t="s">
        <v>394</v>
      </c>
      <c r="F221" s="29">
        <v>45502</v>
      </c>
      <c r="G221">
        <v>25580.04</v>
      </c>
      <c r="H221">
        <v>6218.04</v>
      </c>
      <c r="I221" s="30" t="s">
        <v>26</v>
      </c>
      <c r="J221" s="30" t="s">
        <v>76</v>
      </c>
      <c r="K221">
        <v>6</v>
      </c>
      <c r="L221" s="29">
        <v>46027</v>
      </c>
      <c r="M221" s="29">
        <v>46000</v>
      </c>
      <c r="N221" s="30" t="str">
        <f>VLOOKUP(Query1[[#This Row],[company_name]],'Org Mapping'!$B:$I,8,FALSE)</f>
        <v>Jawad Ulla Khan</v>
      </c>
      <c r="O221" s="30" t="str">
        <f>TEXT(Query1[[#This Row],[last_work_day]],"mmm'yy")</f>
        <v>Jan'26</v>
      </c>
    </row>
    <row r="222" spans="1:15" x14ac:dyDescent="0.35">
      <c r="A222" s="30" t="s">
        <v>75</v>
      </c>
      <c r="B222" s="30" t="s">
        <v>65</v>
      </c>
      <c r="C222" s="30" t="s">
        <v>395</v>
      </c>
      <c r="D222">
        <v>2</v>
      </c>
      <c r="E222" s="30" t="s">
        <v>396</v>
      </c>
      <c r="F222" s="29">
        <v>45499</v>
      </c>
      <c r="G222">
        <v>48000</v>
      </c>
      <c r="H222">
        <v>8000</v>
      </c>
      <c r="I222" s="30" t="s">
        <v>37</v>
      </c>
      <c r="J222" s="30" t="s">
        <v>90</v>
      </c>
      <c r="K222">
        <v>6</v>
      </c>
      <c r="L222" s="29">
        <v>46024</v>
      </c>
      <c r="M222" s="29">
        <v>45944</v>
      </c>
      <c r="N222" s="30" t="str">
        <f>VLOOKUP(Query1[[#This Row],[company_name]],'Org Mapping'!$B:$I,8,FALSE)</f>
        <v>Jawad Ulla Khan</v>
      </c>
      <c r="O222" s="30" t="str">
        <f>TEXT(Query1[[#This Row],[last_work_day]],"mmm'yy")</f>
        <v>Jan'26</v>
      </c>
    </row>
    <row r="223" spans="1:15" x14ac:dyDescent="0.35">
      <c r="A223" s="30" t="s">
        <v>279</v>
      </c>
      <c r="B223" s="30" t="s">
        <v>43</v>
      </c>
      <c r="C223" s="30" t="s">
        <v>397</v>
      </c>
      <c r="D223">
        <v>6</v>
      </c>
      <c r="E223" s="30" t="s">
        <v>398</v>
      </c>
      <c r="F223" s="29">
        <v>45499</v>
      </c>
      <c r="G223">
        <v>35685</v>
      </c>
      <c r="H223">
        <v>5185</v>
      </c>
      <c r="I223" s="30" t="s">
        <v>26</v>
      </c>
      <c r="J223" s="30" t="s">
        <v>17</v>
      </c>
      <c r="K223">
        <v>6</v>
      </c>
      <c r="L223" s="29">
        <v>46171</v>
      </c>
      <c r="M223" s="29">
        <v>46136</v>
      </c>
      <c r="N223" s="30" t="str">
        <f>VLOOKUP(Query1[[#This Row],[company_name]],'Org Mapping'!$B:$I,8,FALSE)</f>
        <v>Jawad Ulla Khan</v>
      </c>
      <c r="O223" s="30" t="str">
        <f>TEXT(Query1[[#This Row],[last_work_day]],"mmm'yy")</f>
        <v>May'26</v>
      </c>
    </row>
    <row r="224" spans="1:15" x14ac:dyDescent="0.35">
      <c r="A224" s="30" t="s">
        <v>371</v>
      </c>
      <c r="B224" s="30" t="s">
        <v>65</v>
      </c>
      <c r="C224" s="30" t="s">
        <v>399</v>
      </c>
      <c r="D224">
        <v>2</v>
      </c>
      <c r="E224" s="30" t="s">
        <v>400</v>
      </c>
      <c r="F224" s="29">
        <v>45505</v>
      </c>
      <c r="G224">
        <v>25580</v>
      </c>
      <c r="H224">
        <v>6218</v>
      </c>
      <c r="I224" s="30" t="s">
        <v>26</v>
      </c>
      <c r="J224" s="30" t="s">
        <v>76</v>
      </c>
      <c r="K224">
        <v>6</v>
      </c>
      <c r="L224" s="29">
        <v>46150</v>
      </c>
      <c r="M224" s="29">
        <v>46161</v>
      </c>
      <c r="N224" s="30" t="str">
        <f>VLOOKUP(Query1[[#This Row],[company_name]],'Org Mapping'!$B:$I,8,FALSE)</f>
        <v>Jawad Ulla Khan</v>
      </c>
      <c r="O224" s="30" t="str">
        <f>TEXT(Query1[[#This Row],[last_work_day]],"mmm'yy")</f>
        <v>May'26</v>
      </c>
    </row>
    <row r="225" spans="1:15" x14ac:dyDescent="0.35">
      <c r="A225" s="30" t="s">
        <v>371</v>
      </c>
      <c r="B225" s="30" t="s">
        <v>65</v>
      </c>
      <c r="C225" s="30" t="s">
        <v>403</v>
      </c>
      <c r="D225">
        <v>2</v>
      </c>
      <c r="E225" s="30" t="s">
        <v>404</v>
      </c>
      <c r="F225" s="29">
        <v>45511</v>
      </c>
      <c r="G225">
        <v>25580.04</v>
      </c>
      <c r="H225">
        <v>6218.04</v>
      </c>
      <c r="I225" s="30" t="s">
        <v>26</v>
      </c>
      <c r="J225" s="30" t="s">
        <v>76</v>
      </c>
      <c r="K225">
        <v>6</v>
      </c>
      <c r="L225" s="29">
        <v>46135</v>
      </c>
      <c r="M225" s="29">
        <v>46087</v>
      </c>
      <c r="N225" s="30" t="str">
        <f>VLOOKUP(Query1[[#This Row],[company_name]],'Org Mapping'!$B:$I,8,FALSE)</f>
        <v>Jawad Ulla Khan</v>
      </c>
      <c r="O225" s="30" t="str">
        <f>TEXT(Query1[[#This Row],[last_work_day]],"mmm'yy")</f>
        <v>Apr'26</v>
      </c>
    </row>
    <row r="226" spans="1:15" x14ac:dyDescent="0.35">
      <c r="A226" s="30" t="s">
        <v>98</v>
      </c>
      <c r="B226" s="30" t="s">
        <v>65</v>
      </c>
      <c r="C226" s="30" t="s">
        <v>407</v>
      </c>
      <c r="D226">
        <v>2</v>
      </c>
      <c r="E226" s="30" t="s">
        <v>408</v>
      </c>
      <c r="F226" s="29">
        <v>45510</v>
      </c>
      <c r="G226">
        <v>25580.04</v>
      </c>
      <c r="H226">
        <v>6218.04</v>
      </c>
      <c r="I226" s="30" t="s">
        <v>26</v>
      </c>
      <c r="J226" s="30" t="s">
        <v>76</v>
      </c>
      <c r="K226">
        <v>6</v>
      </c>
      <c r="L226" s="29">
        <v>46157</v>
      </c>
      <c r="M226" s="29">
        <v>46114</v>
      </c>
      <c r="N226" s="30" t="str">
        <f>VLOOKUP(Query1[[#This Row],[company_name]],'Org Mapping'!$B:$I,8,FALSE)</f>
        <v>Jawad Ulla Khan</v>
      </c>
      <c r="O226" s="30" t="str">
        <f>TEXT(Query1[[#This Row],[last_work_day]],"mmm'yy")</f>
        <v>May'26</v>
      </c>
    </row>
    <row r="227" spans="1:15" x14ac:dyDescent="0.35">
      <c r="A227" s="30" t="s">
        <v>371</v>
      </c>
      <c r="B227" s="30" t="s">
        <v>65</v>
      </c>
      <c r="C227" s="30" t="s">
        <v>409</v>
      </c>
      <c r="D227">
        <v>2</v>
      </c>
      <c r="E227" s="30" t="s">
        <v>410</v>
      </c>
      <c r="F227" s="29">
        <v>45509</v>
      </c>
      <c r="G227">
        <v>23684.959999999999</v>
      </c>
      <c r="H227">
        <v>4322.96</v>
      </c>
      <c r="I227" s="30" t="s">
        <v>26</v>
      </c>
      <c r="J227" s="30" t="s">
        <v>76</v>
      </c>
      <c r="K227">
        <v>6</v>
      </c>
      <c r="L227" s="29">
        <v>46031</v>
      </c>
      <c r="M227" s="29">
        <v>46013</v>
      </c>
      <c r="N227" s="30" t="str">
        <f>VLOOKUP(Query1[[#This Row],[company_name]],'Org Mapping'!$B:$I,8,FALSE)</f>
        <v>Jawad Ulla Khan</v>
      </c>
      <c r="O227" s="30" t="str">
        <f>TEXT(Query1[[#This Row],[last_work_day]],"mmm'yy")</f>
        <v>Jan'26</v>
      </c>
    </row>
    <row r="228" spans="1:15" x14ac:dyDescent="0.35">
      <c r="A228" s="30" t="s">
        <v>1572</v>
      </c>
      <c r="B228" s="30" t="s">
        <v>39</v>
      </c>
      <c r="C228" s="30" t="s">
        <v>1573</v>
      </c>
      <c r="D228">
        <v>2</v>
      </c>
      <c r="E228" s="30" t="s">
        <v>1574</v>
      </c>
      <c r="F228" s="29">
        <v>45512</v>
      </c>
      <c r="G228">
        <v>48583.33</v>
      </c>
      <c r="H228">
        <v>2750.33</v>
      </c>
      <c r="I228" s="30" t="s">
        <v>16</v>
      </c>
      <c r="J228" s="30" t="s">
        <v>31</v>
      </c>
      <c r="K228">
        <v>6</v>
      </c>
      <c r="L228" s="29">
        <v>46073</v>
      </c>
      <c r="M228" s="29">
        <v>45909</v>
      </c>
      <c r="N228" s="30" t="str">
        <f>VLOOKUP(Query1[[#This Row],[company_name]],'Org Mapping'!$B:$I,8,FALSE)</f>
        <v>Mehr Hashim</v>
      </c>
      <c r="O228" s="30" t="str">
        <f>TEXT(Query1[[#This Row],[last_work_day]],"mmm'yy")</f>
        <v>Feb'26</v>
      </c>
    </row>
    <row r="229" spans="1:15" x14ac:dyDescent="0.35">
      <c r="A229" s="30" t="s">
        <v>327</v>
      </c>
      <c r="B229" s="30" t="s">
        <v>65</v>
      </c>
      <c r="C229" s="30" t="s">
        <v>411</v>
      </c>
      <c r="D229">
        <v>2</v>
      </c>
      <c r="E229" s="30" t="s">
        <v>412</v>
      </c>
      <c r="F229" s="29">
        <v>45516</v>
      </c>
      <c r="G229">
        <v>24158.14</v>
      </c>
      <c r="H229">
        <v>4796.1400000000003</v>
      </c>
      <c r="I229" s="30" t="s">
        <v>26</v>
      </c>
      <c r="J229" s="30" t="s">
        <v>76</v>
      </c>
      <c r="K229">
        <v>6</v>
      </c>
      <c r="L229" s="29">
        <v>46129</v>
      </c>
      <c r="M229" s="29">
        <v>46105</v>
      </c>
      <c r="N229" s="30" t="str">
        <f>VLOOKUP(Query1[[#This Row],[company_name]],'Org Mapping'!$B:$I,8,FALSE)</f>
        <v>Jawad Ulla Khan</v>
      </c>
      <c r="O229" s="30" t="str">
        <f>TEXT(Query1[[#This Row],[last_work_day]],"mmm'yy")</f>
        <v>Apr'26</v>
      </c>
    </row>
    <row r="230" spans="1:15" x14ac:dyDescent="0.35">
      <c r="A230" s="30" t="s">
        <v>1575</v>
      </c>
      <c r="B230" s="30" t="s">
        <v>126</v>
      </c>
      <c r="C230" s="30" t="s">
        <v>1576</v>
      </c>
      <c r="D230">
        <v>2</v>
      </c>
      <c r="E230" s="30" t="s">
        <v>1577</v>
      </c>
      <c r="F230" s="29">
        <v>45520</v>
      </c>
      <c r="G230">
        <v>30016</v>
      </c>
      <c r="H230">
        <v>5016</v>
      </c>
      <c r="I230" s="30" t="s">
        <v>16</v>
      </c>
      <c r="J230" s="30" t="s">
        <v>361</v>
      </c>
      <c r="K230">
        <v>6</v>
      </c>
      <c r="L230" s="29">
        <v>46162</v>
      </c>
      <c r="M230" s="29">
        <v>46127</v>
      </c>
      <c r="N230" s="30" t="str">
        <f>VLOOKUP(Query1[[#This Row],[company_name]],'Org Mapping'!$B:$I,8,FALSE)</f>
        <v>Prathap Sagar</v>
      </c>
      <c r="O230" s="30" t="str">
        <f>TEXT(Query1[[#This Row],[last_work_day]],"mmm'yy")</f>
        <v>May'26</v>
      </c>
    </row>
    <row r="231" spans="1:15" x14ac:dyDescent="0.35">
      <c r="A231" s="30" t="s">
        <v>123</v>
      </c>
      <c r="B231" s="30" t="s">
        <v>43</v>
      </c>
      <c r="C231" s="30" t="s">
        <v>413</v>
      </c>
      <c r="D231">
        <v>2</v>
      </c>
      <c r="E231" s="30" t="s">
        <v>414</v>
      </c>
      <c r="F231" s="29">
        <v>45523</v>
      </c>
      <c r="G231">
        <v>32500</v>
      </c>
      <c r="H231">
        <v>7500</v>
      </c>
      <c r="I231" s="30" t="s">
        <v>26</v>
      </c>
      <c r="J231" s="30" t="s">
        <v>90</v>
      </c>
      <c r="K231">
        <v>6</v>
      </c>
      <c r="L231" s="29">
        <v>46073</v>
      </c>
      <c r="M231" s="29">
        <v>46052</v>
      </c>
      <c r="N231" s="30" t="str">
        <f>VLOOKUP(Query1[[#This Row],[company_name]],'Org Mapping'!$B:$I,8,FALSE)</f>
        <v>Jawad Ulla Khan</v>
      </c>
      <c r="O231" s="30" t="str">
        <f>TEXT(Query1[[#This Row],[last_work_day]],"mmm'yy")</f>
        <v>Feb'26</v>
      </c>
    </row>
    <row r="232" spans="1:15" x14ac:dyDescent="0.35">
      <c r="A232" s="30" t="s">
        <v>371</v>
      </c>
      <c r="B232" s="30" t="s">
        <v>65</v>
      </c>
      <c r="C232" s="30" t="s">
        <v>415</v>
      </c>
      <c r="D232">
        <v>2</v>
      </c>
      <c r="E232" s="30" t="s">
        <v>416</v>
      </c>
      <c r="F232" s="29">
        <v>45525</v>
      </c>
      <c r="G232">
        <v>25580.04</v>
      </c>
      <c r="H232">
        <v>3902.04</v>
      </c>
      <c r="I232" s="30" t="s">
        <v>26</v>
      </c>
      <c r="J232" s="30" t="s">
        <v>76</v>
      </c>
      <c r="K232">
        <v>6</v>
      </c>
      <c r="L232" s="29">
        <v>46024</v>
      </c>
      <c r="M232" s="29">
        <v>46000</v>
      </c>
      <c r="N232" s="30" t="str">
        <f>VLOOKUP(Query1[[#This Row],[company_name]],'Org Mapping'!$B:$I,8,FALSE)</f>
        <v>Jawad Ulla Khan</v>
      </c>
      <c r="O232" s="30" t="str">
        <f>TEXT(Query1[[#This Row],[last_work_day]],"mmm'yy")</f>
        <v>Jan'26</v>
      </c>
    </row>
    <row r="233" spans="1:15" x14ac:dyDescent="0.35">
      <c r="A233" s="30" t="s">
        <v>359</v>
      </c>
      <c r="B233" s="30" t="s">
        <v>65</v>
      </c>
      <c r="C233" s="30" t="s">
        <v>417</v>
      </c>
      <c r="D233">
        <v>2</v>
      </c>
      <c r="E233" s="30" t="s">
        <v>418</v>
      </c>
      <c r="F233" s="29">
        <v>45524</v>
      </c>
      <c r="G233">
        <v>24123.919999999998</v>
      </c>
      <c r="H233">
        <v>4761.92</v>
      </c>
      <c r="I233" s="30" t="s">
        <v>37</v>
      </c>
      <c r="J233" s="30" t="s">
        <v>76</v>
      </c>
      <c r="K233">
        <v>6</v>
      </c>
      <c r="L233" s="29">
        <v>46155</v>
      </c>
      <c r="M233" s="29">
        <v>46119</v>
      </c>
      <c r="N233" s="30" t="str">
        <f>VLOOKUP(Query1[[#This Row],[company_name]],'Org Mapping'!$B:$I,8,FALSE)</f>
        <v>Jawad Ulla Khan</v>
      </c>
      <c r="O233" s="30" t="str">
        <f>TEXT(Query1[[#This Row],[last_work_day]],"mmm'yy")</f>
        <v>May'26</v>
      </c>
    </row>
    <row r="234" spans="1:15" x14ac:dyDescent="0.35">
      <c r="A234" s="30" t="s">
        <v>1578</v>
      </c>
      <c r="B234" s="30" t="s">
        <v>1579</v>
      </c>
      <c r="C234" s="30" t="s">
        <v>1580</v>
      </c>
      <c r="D234">
        <v>2</v>
      </c>
      <c r="E234" s="30" t="s">
        <v>1581</v>
      </c>
      <c r="F234" s="29">
        <v>45523</v>
      </c>
      <c r="G234">
        <v>59161.2</v>
      </c>
      <c r="H234">
        <v>13328.2</v>
      </c>
      <c r="I234" s="30" t="s">
        <v>91</v>
      </c>
      <c r="J234" s="30" t="s">
        <v>102</v>
      </c>
      <c r="K234">
        <v>6</v>
      </c>
      <c r="L234" s="29">
        <v>46093</v>
      </c>
      <c r="M234" s="29">
        <v>46093</v>
      </c>
      <c r="N234" s="30" t="str">
        <f>VLOOKUP(Query1[[#This Row],[company_name]],'Org Mapping'!$B:$I,8,FALSE)</f>
        <v>Mehr Hashim</v>
      </c>
      <c r="O234" s="30" t="str">
        <f>TEXT(Query1[[#This Row],[last_work_day]],"mmm'yy")</f>
        <v>Mar'26</v>
      </c>
    </row>
    <row r="235" spans="1:15" x14ac:dyDescent="0.35">
      <c r="A235" s="30" t="s">
        <v>330</v>
      </c>
      <c r="B235" s="30" t="s">
        <v>65</v>
      </c>
      <c r="C235" s="30" t="s">
        <v>419</v>
      </c>
      <c r="D235">
        <v>2</v>
      </c>
      <c r="E235" s="30" t="s">
        <v>420</v>
      </c>
      <c r="F235" s="29">
        <v>45525</v>
      </c>
      <c r="G235">
        <v>25580.04</v>
      </c>
      <c r="H235">
        <v>3902.04</v>
      </c>
      <c r="I235" s="30" t="s">
        <v>26</v>
      </c>
      <c r="J235" s="30" t="s">
        <v>76</v>
      </c>
      <c r="K235">
        <v>6</v>
      </c>
      <c r="L235" s="29">
        <v>46038</v>
      </c>
      <c r="M235" s="29">
        <v>45646</v>
      </c>
      <c r="N235" s="30" t="str">
        <f>VLOOKUP(Query1[[#This Row],[company_name]],'Org Mapping'!$B:$I,8,FALSE)</f>
        <v>Jawad Ulla Khan</v>
      </c>
      <c r="O235" s="30" t="str">
        <f>TEXT(Query1[[#This Row],[last_work_day]],"mmm'yy")</f>
        <v>Jan'26</v>
      </c>
    </row>
    <row r="236" spans="1:15" x14ac:dyDescent="0.35">
      <c r="A236" s="30" t="s">
        <v>1411</v>
      </c>
      <c r="B236" s="30" t="s">
        <v>39</v>
      </c>
      <c r="C236" s="30" t="s">
        <v>1582</v>
      </c>
      <c r="D236">
        <v>2</v>
      </c>
      <c r="E236" s="30" t="s">
        <v>1583</v>
      </c>
      <c r="F236" s="29">
        <v>45530</v>
      </c>
      <c r="G236">
        <v>531300</v>
      </c>
      <c r="H236">
        <v>531300</v>
      </c>
      <c r="I236" s="30" t="s">
        <v>21</v>
      </c>
      <c r="J236" s="30" t="s">
        <v>207</v>
      </c>
      <c r="K236">
        <v>6</v>
      </c>
      <c r="L236" s="29">
        <v>46090</v>
      </c>
      <c r="M236" s="29">
        <v>46065</v>
      </c>
      <c r="N236" s="30" t="str">
        <f>VLOOKUP(Query1[[#This Row],[company_name]],'Org Mapping'!$B:$I,8,FALSE)</f>
        <v>Mehr Hashim</v>
      </c>
      <c r="O236" s="30" t="str">
        <f>TEXT(Query1[[#This Row],[last_work_day]],"mmm'yy")</f>
        <v>Mar'26</v>
      </c>
    </row>
    <row r="237" spans="1:15" x14ac:dyDescent="0.35">
      <c r="A237" s="30" t="s">
        <v>376</v>
      </c>
      <c r="B237" s="30" t="s">
        <v>65</v>
      </c>
      <c r="C237" s="30" t="s">
        <v>421</v>
      </c>
      <c r="D237">
        <v>2</v>
      </c>
      <c r="E237" s="30" t="s">
        <v>422</v>
      </c>
      <c r="F237" s="29">
        <v>45532</v>
      </c>
      <c r="G237">
        <v>25580.04</v>
      </c>
      <c r="H237">
        <v>6218.04</v>
      </c>
      <c r="I237" s="30" t="s">
        <v>26</v>
      </c>
      <c r="J237" s="30" t="s">
        <v>76</v>
      </c>
      <c r="K237">
        <v>6</v>
      </c>
      <c r="L237" s="29">
        <v>46090</v>
      </c>
      <c r="M237" s="29">
        <v>45646</v>
      </c>
      <c r="N237" s="30" t="str">
        <f>VLOOKUP(Query1[[#This Row],[company_name]],'Org Mapping'!$B:$I,8,FALSE)</f>
        <v>Jawad Ulla Khan</v>
      </c>
      <c r="O237" s="30" t="str">
        <f>TEXT(Query1[[#This Row],[last_work_day]],"mmm'yy")</f>
        <v>Mar'26</v>
      </c>
    </row>
    <row r="238" spans="1:15" x14ac:dyDescent="0.35">
      <c r="A238" s="30" t="s">
        <v>152</v>
      </c>
      <c r="B238" s="30" t="s">
        <v>65</v>
      </c>
      <c r="C238" s="30" t="s">
        <v>931</v>
      </c>
      <c r="D238">
        <v>2</v>
      </c>
      <c r="E238" s="30" t="s">
        <v>932</v>
      </c>
      <c r="F238" s="29">
        <v>45531</v>
      </c>
      <c r="G238">
        <v>66000</v>
      </c>
      <c r="H238">
        <v>11000</v>
      </c>
      <c r="I238" s="30" t="s">
        <v>26</v>
      </c>
      <c r="J238" s="30" t="s">
        <v>90</v>
      </c>
      <c r="K238">
        <v>6</v>
      </c>
      <c r="L238" s="29">
        <v>46176</v>
      </c>
      <c r="M238" s="29">
        <v>45646</v>
      </c>
      <c r="N238" s="30" t="str">
        <f>VLOOKUP(Query1[[#This Row],[company_name]],'Org Mapping'!$B:$I,8,FALSE)</f>
        <v>Jawad Ulla Khan</v>
      </c>
      <c r="O238" s="30" t="str">
        <f>TEXT(Query1[[#This Row],[last_work_day]],"mmm'yy")</f>
        <v>Jun'26</v>
      </c>
    </row>
    <row r="239" spans="1:15" x14ac:dyDescent="0.35">
      <c r="A239" s="30" t="s">
        <v>1482</v>
      </c>
      <c r="B239" s="30" t="s">
        <v>39</v>
      </c>
      <c r="C239" s="30" t="s">
        <v>1584</v>
      </c>
      <c r="D239">
        <v>2</v>
      </c>
      <c r="E239" s="30" t="s">
        <v>1585</v>
      </c>
      <c r="F239" s="29">
        <v>45530</v>
      </c>
      <c r="G239">
        <v>285600</v>
      </c>
      <c r="H239">
        <v>199767</v>
      </c>
      <c r="I239" s="30" t="s">
        <v>26</v>
      </c>
      <c r="J239" s="30" t="s">
        <v>49</v>
      </c>
      <c r="K239">
        <v>6</v>
      </c>
      <c r="L239" s="29">
        <v>46066</v>
      </c>
      <c r="M239" s="29">
        <v>46038</v>
      </c>
      <c r="N239" s="30" t="str">
        <f>VLOOKUP(Query1[[#This Row],[company_name]],'Org Mapping'!$B:$I,8,FALSE)</f>
        <v>Mehr Hashim</v>
      </c>
      <c r="O239" s="30" t="str">
        <f>TEXT(Query1[[#This Row],[last_work_day]],"mmm'yy")</f>
        <v>Feb'26</v>
      </c>
    </row>
    <row r="240" spans="1:15" x14ac:dyDescent="0.35">
      <c r="A240" s="30" t="s">
        <v>152</v>
      </c>
      <c r="B240" s="30" t="s">
        <v>65</v>
      </c>
      <c r="C240" s="30" t="s">
        <v>423</v>
      </c>
      <c r="D240">
        <v>2</v>
      </c>
      <c r="E240" s="30" t="s">
        <v>424</v>
      </c>
      <c r="F240" s="29">
        <v>45532</v>
      </c>
      <c r="G240">
        <v>66000</v>
      </c>
      <c r="H240">
        <v>11000</v>
      </c>
      <c r="I240" s="30" t="s">
        <v>21</v>
      </c>
      <c r="J240" s="30" t="s">
        <v>90</v>
      </c>
      <c r="K240">
        <v>6</v>
      </c>
      <c r="L240" s="29">
        <v>46107</v>
      </c>
      <c r="M240" s="29">
        <v>46106</v>
      </c>
      <c r="N240" s="30" t="str">
        <f>VLOOKUP(Query1[[#This Row],[company_name]],'Org Mapping'!$B:$I,8,FALSE)</f>
        <v>Jawad Ulla Khan</v>
      </c>
      <c r="O240" s="30" t="str">
        <f>TEXT(Query1[[#This Row],[last_work_day]],"mmm'yy")</f>
        <v>Mar'26</v>
      </c>
    </row>
    <row r="241" spans="1:15" x14ac:dyDescent="0.35">
      <c r="A241" s="30" t="s">
        <v>152</v>
      </c>
      <c r="B241" s="30" t="s">
        <v>65</v>
      </c>
      <c r="C241" s="30" t="s">
        <v>425</v>
      </c>
      <c r="D241">
        <v>2</v>
      </c>
      <c r="E241" s="30" t="s">
        <v>426</v>
      </c>
      <c r="F241" s="29">
        <v>45534</v>
      </c>
      <c r="G241">
        <v>66000</v>
      </c>
      <c r="H241">
        <v>11000</v>
      </c>
      <c r="I241" s="30" t="s">
        <v>21</v>
      </c>
      <c r="J241" s="30" t="s">
        <v>76</v>
      </c>
      <c r="K241">
        <v>6</v>
      </c>
      <c r="L241" s="29">
        <v>46049</v>
      </c>
      <c r="M241" s="29">
        <v>45678</v>
      </c>
      <c r="N241" s="30" t="str">
        <f>VLOOKUP(Query1[[#This Row],[company_name]],'Org Mapping'!$B:$I,8,FALSE)</f>
        <v>Jawad Ulla Khan</v>
      </c>
      <c r="O241" s="30" t="str">
        <f>TEXT(Query1[[#This Row],[last_work_day]],"mmm'yy")</f>
        <v>Jan'26</v>
      </c>
    </row>
    <row r="242" spans="1:15" x14ac:dyDescent="0.35">
      <c r="A242" s="30" t="s">
        <v>330</v>
      </c>
      <c r="B242" s="30" t="s">
        <v>65</v>
      </c>
      <c r="C242" s="30" t="s">
        <v>427</v>
      </c>
      <c r="D242">
        <v>2</v>
      </c>
      <c r="E242" s="30" t="s">
        <v>428</v>
      </c>
      <c r="F242" s="29">
        <v>45534</v>
      </c>
      <c r="G242">
        <v>22015.26</v>
      </c>
      <c r="H242">
        <v>7015.26</v>
      </c>
      <c r="I242" s="30" t="s">
        <v>26</v>
      </c>
      <c r="J242" s="30" t="s">
        <v>76</v>
      </c>
      <c r="K242">
        <v>6</v>
      </c>
      <c r="L242" s="29">
        <v>46157</v>
      </c>
      <c r="M242" s="29">
        <v>45646</v>
      </c>
      <c r="N242" s="30" t="str">
        <f>VLOOKUP(Query1[[#This Row],[company_name]],'Org Mapping'!$B:$I,8,FALSE)</f>
        <v>Jawad Ulla Khan</v>
      </c>
      <c r="O242" s="30" t="str">
        <f>TEXT(Query1[[#This Row],[last_work_day]],"mmm'yy")</f>
        <v>May'26</v>
      </c>
    </row>
    <row r="243" spans="1:15" x14ac:dyDescent="0.35">
      <c r="A243" s="30" t="s">
        <v>1482</v>
      </c>
      <c r="B243" s="30" t="s">
        <v>39</v>
      </c>
      <c r="C243" s="30" t="s">
        <v>1586</v>
      </c>
      <c r="D243">
        <v>2</v>
      </c>
      <c r="E243" s="30" t="s">
        <v>1587</v>
      </c>
      <c r="F243" s="29">
        <v>45533</v>
      </c>
      <c r="G243">
        <v>285600</v>
      </c>
      <c r="H243">
        <v>202267</v>
      </c>
      <c r="I243" s="30" t="s">
        <v>37</v>
      </c>
      <c r="J243" s="30" t="s">
        <v>49</v>
      </c>
      <c r="K243">
        <v>6</v>
      </c>
      <c r="L243" s="29">
        <v>46052</v>
      </c>
      <c r="M243" s="29">
        <v>46030</v>
      </c>
      <c r="N243" s="30" t="str">
        <f>VLOOKUP(Query1[[#This Row],[company_name]],'Org Mapping'!$B:$I,8,FALSE)</f>
        <v>Mehr Hashim</v>
      </c>
      <c r="O243" s="30" t="str">
        <f>TEXT(Query1[[#This Row],[last_work_day]],"mmm'yy")</f>
        <v>Jan'26</v>
      </c>
    </row>
    <row r="244" spans="1:15" x14ac:dyDescent="0.35">
      <c r="A244" s="30" t="s">
        <v>430</v>
      </c>
      <c r="B244" s="30" t="s">
        <v>65</v>
      </c>
      <c r="C244" s="30" t="s">
        <v>431</v>
      </c>
      <c r="D244">
        <v>2</v>
      </c>
      <c r="E244" s="30" t="s">
        <v>432</v>
      </c>
      <c r="F244" s="29">
        <v>45544</v>
      </c>
      <c r="G244">
        <v>48000</v>
      </c>
      <c r="H244">
        <v>8000</v>
      </c>
      <c r="I244" s="30" t="s">
        <v>37</v>
      </c>
      <c r="J244" s="30" t="s">
        <v>90</v>
      </c>
      <c r="K244">
        <v>6</v>
      </c>
      <c r="L244" s="29">
        <v>46038</v>
      </c>
      <c r="M244" s="29">
        <v>46013</v>
      </c>
      <c r="N244" s="30" t="str">
        <f>VLOOKUP(Query1[[#This Row],[company_name]],'Org Mapping'!$B:$I,8,FALSE)</f>
        <v>Jawad Ulla Khan</v>
      </c>
      <c r="O244" s="30" t="str">
        <f>TEXT(Query1[[#This Row],[last_work_day]],"mmm'yy")</f>
        <v>Jan'26</v>
      </c>
    </row>
    <row r="245" spans="1:15" x14ac:dyDescent="0.35">
      <c r="A245" s="30" t="s">
        <v>1588</v>
      </c>
      <c r="B245" s="30" t="s">
        <v>1562</v>
      </c>
      <c r="C245" s="30" t="s">
        <v>1589</v>
      </c>
      <c r="D245">
        <v>2</v>
      </c>
      <c r="E245" s="30" t="s">
        <v>1590</v>
      </c>
      <c r="F245" s="29">
        <v>45551</v>
      </c>
      <c r="G245">
        <v>0</v>
      </c>
      <c r="H245">
        <v>0</v>
      </c>
      <c r="I245" s="30" t="s">
        <v>26</v>
      </c>
      <c r="J245" s="30" t="s">
        <v>233</v>
      </c>
      <c r="K245">
        <v>6</v>
      </c>
      <c r="L245" s="29">
        <v>46113</v>
      </c>
      <c r="M245" s="29">
        <v>45887</v>
      </c>
      <c r="N245" s="30" t="str">
        <f>VLOOKUP(Query1[[#This Row],[company_name]],'Org Mapping'!$B:$I,8,FALSE)</f>
        <v>Anuradha</v>
      </c>
      <c r="O245" s="30" t="str">
        <f>TEXT(Query1[[#This Row],[last_work_day]],"mmm'yy")</f>
        <v>Apr'26</v>
      </c>
    </row>
    <row r="246" spans="1:15" x14ac:dyDescent="0.35">
      <c r="A246" s="30" t="s">
        <v>1506</v>
      </c>
      <c r="B246" s="30" t="s">
        <v>186</v>
      </c>
      <c r="C246" s="30" t="s">
        <v>1591</v>
      </c>
      <c r="D246">
        <v>2</v>
      </c>
      <c r="E246" s="30" t="s">
        <v>1592</v>
      </c>
      <c r="F246" s="29">
        <v>45544</v>
      </c>
      <c r="G246">
        <v>30000</v>
      </c>
      <c r="H246">
        <v>5000</v>
      </c>
      <c r="I246" s="30" t="s">
        <v>21</v>
      </c>
      <c r="J246" s="30" t="s">
        <v>361</v>
      </c>
      <c r="K246">
        <v>6</v>
      </c>
      <c r="L246" s="29">
        <v>46163</v>
      </c>
      <c r="M246" s="29">
        <v>46147</v>
      </c>
      <c r="N246" s="30" t="str">
        <f>VLOOKUP(Query1[[#This Row],[company_name]],'Org Mapping'!$B:$I,8,FALSE)</f>
        <v>Prathap Sagar</v>
      </c>
      <c r="O246" s="30" t="str">
        <f>TEXT(Query1[[#This Row],[last_work_day]],"mmm'yy")</f>
        <v>May'26</v>
      </c>
    </row>
    <row r="247" spans="1:15" x14ac:dyDescent="0.35">
      <c r="A247" s="30" t="s">
        <v>1543</v>
      </c>
      <c r="B247" s="30" t="s">
        <v>1544</v>
      </c>
      <c r="C247" s="30" t="s">
        <v>1593</v>
      </c>
      <c r="D247">
        <v>2</v>
      </c>
      <c r="E247" s="30" t="s">
        <v>1594</v>
      </c>
      <c r="F247" s="29">
        <v>45544</v>
      </c>
      <c r="G247">
        <v>30000</v>
      </c>
      <c r="H247">
        <v>5000</v>
      </c>
      <c r="I247" s="30" t="s">
        <v>21</v>
      </c>
      <c r="J247" s="30" t="s">
        <v>361</v>
      </c>
      <c r="K247">
        <v>6</v>
      </c>
      <c r="L247" s="29">
        <v>46162</v>
      </c>
      <c r="M247" s="29">
        <v>46164</v>
      </c>
      <c r="N247" s="30" t="str">
        <f>VLOOKUP(Query1[[#This Row],[company_name]],'Org Mapping'!$B:$I,8,FALSE)</f>
        <v>Prathap Sagar</v>
      </c>
      <c r="O247" s="30" t="str">
        <f>TEXT(Query1[[#This Row],[last_work_day]],"mmm'yy")</f>
        <v>May'26</v>
      </c>
    </row>
    <row r="248" spans="1:15" x14ac:dyDescent="0.35">
      <c r="A248" s="30" t="s">
        <v>376</v>
      </c>
      <c r="B248" s="30" t="s">
        <v>65</v>
      </c>
      <c r="C248" s="30" t="s">
        <v>433</v>
      </c>
      <c r="D248">
        <v>2</v>
      </c>
      <c r="E248" s="30" t="s">
        <v>434</v>
      </c>
      <c r="F248" s="29">
        <v>45541</v>
      </c>
      <c r="G248">
        <v>25580.04</v>
      </c>
      <c r="H248">
        <v>6218.04</v>
      </c>
      <c r="I248" s="30" t="s">
        <v>26</v>
      </c>
      <c r="J248" s="30" t="s">
        <v>76</v>
      </c>
      <c r="K248">
        <v>6</v>
      </c>
      <c r="L248" s="29">
        <v>46090</v>
      </c>
      <c r="M248" s="29">
        <v>46058</v>
      </c>
      <c r="N248" s="30" t="str">
        <f>VLOOKUP(Query1[[#This Row],[company_name]],'Org Mapping'!$B:$I,8,FALSE)</f>
        <v>Jawad Ulla Khan</v>
      </c>
      <c r="O248" s="30" t="str">
        <f>TEXT(Query1[[#This Row],[last_work_day]],"mmm'yy")</f>
        <v>Mar'26</v>
      </c>
    </row>
    <row r="249" spans="1:15" x14ac:dyDescent="0.35">
      <c r="A249" s="30" t="s">
        <v>1595</v>
      </c>
      <c r="B249" s="30" t="s">
        <v>117</v>
      </c>
      <c r="C249" s="30" t="s">
        <v>1596</v>
      </c>
      <c r="D249">
        <v>4</v>
      </c>
      <c r="E249" s="30" t="s">
        <v>1597</v>
      </c>
      <c r="F249" s="29">
        <v>45540</v>
      </c>
      <c r="G249">
        <v>288177.34000000003</v>
      </c>
      <c r="H249">
        <v>57177.34</v>
      </c>
      <c r="I249" s="30" t="s">
        <v>37</v>
      </c>
      <c r="J249" s="30" t="s">
        <v>118</v>
      </c>
      <c r="K249">
        <v>6</v>
      </c>
      <c r="L249" s="29">
        <v>46081</v>
      </c>
      <c r="M249" s="29">
        <v>46056</v>
      </c>
      <c r="N249" s="30" t="str">
        <f>VLOOKUP(Query1[[#This Row],[company_name]],'Org Mapping'!$B:$I,8,FALSE)</f>
        <v>DXC</v>
      </c>
      <c r="O249" s="30" t="str">
        <f>TEXT(Query1[[#This Row],[last_work_day]],"mmm'yy")</f>
        <v>Feb'26</v>
      </c>
    </row>
    <row r="250" spans="1:15" x14ac:dyDescent="0.35">
      <c r="A250" s="30" t="s">
        <v>1500</v>
      </c>
      <c r="B250" s="30" t="s">
        <v>39</v>
      </c>
      <c r="C250" s="30" t="s">
        <v>1598</v>
      </c>
      <c r="D250">
        <v>2</v>
      </c>
      <c r="E250" s="30" t="s">
        <v>1599</v>
      </c>
      <c r="F250" s="29">
        <v>45544</v>
      </c>
      <c r="G250">
        <v>53000</v>
      </c>
      <c r="H250">
        <v>3000</v>
      </c>
      <c r="I250" s="30" t="s">
        <v>16</v>
      </c>
      <c r="J250" s="30" t="s">
        <v>31</v>
      </c>
      <c r="K250">
        <v>6</v>
      </c>
      <c r="L250" s="29">
        <v>46083</v>
      </c>
      <c r="M250" s="29">
        <v>46038</v>
      </c>
      <c r="N250" s="30" t="str">
        <f>VLOOKUP(Query1[[#This Row],[company_name]],'Org Mapping'!$B:$I,8,FALSE)</f>
        <v>Mehr Hashim</v>
      </c>
      <c r="O250" s="30" t="str">
        <f>TEXT(Query1[[#This Row],[last_work_day]],"mmm'yy")</f>
        <v>Mar'26</v>
      </c>
    </row>
    <row r="251" spans="1:15" x14ac:dyDescent="0.35">
      <c r="A251" s="30" t="s">
        <v>1600</v>
      </c>
      <c r="B251" s="30" t="s">
        <v>1569</v>
      </c>
      <c r="C251" s="30" t="s">
        <v>1601</v>
      </c>
      <c r="D251">
        <v>2</v>
      </c>
      <c r="E251" s="30" t="s">
        <v>1602</v>
      </c>
      <c r="F251" s="29">
        <v>45552</v>
      </c>
      <c r="G251">
        <v>178500</v>
      </c>
      <c r="H251">
        <v>28500</v>
      </c>
      <c r="I251" s="30" t="s">
        <v>16</v>
      </c>
      <c r="J251" s="30" t="s">
        <v>48</v>
      </c>
      <c r="K251">
        <v>6</v>
      </c>
      <c r="L251" s="29">
        <v>46052</v>
      </c>
      <c r="M251" s="29">
        <v>46024</v>
      </c>
      <c r="N251" s="30" t="str">
        <f>VLOOKUP(Query1[[#This Row],[company_name]],'Org Mapping'!$B:$I,8,FALSE)</f>
        <v>Prathap Sagar</v>
      </c>
      <c r="O251" s="30" t="str">
        <f>TEXT(Query1[[#This Row],[last_work_day]],"mmm'yy")</f>
        <v>Jan'26</v>
      </c>
    </row>
    <row r="252" spans="1:15" x14ac:dyDescent="0.35">
      <c r="A252" s="30" t="s">
        <v>274</v>
      </c>
      <c r="B252" s="30" t="s">
        <v>65</v>
      </c>
      <c r="C252" s="30" t="s">
        <v>435</v>
      </c>
      <c r="D252">
        <v>2</v>
      </c>
      <c r="E252" s="30" t="s">
        <v>436</v>
      </c>
      <c r="F252" s="29">
        <v>45541</v>
      </c>
      <c r="G252">
        <v>60000</v>
      </c>
      <c r="H252">
        <v>10000</v>
      </c>
      <c r="I252" s="30" t="s">
        <v>21</v>
      </c>
      <c r="J252" s="30" t="s">
        <v>76</v>
      </c>
      <c r="K252">
        <v>6</v>
      </c>
      <c r="L252" s="29">
        <v>46049</v>
      </c>
      <c r="M252" s="29">
        <v>46030</v>
      </c>
      <c r="N252" s="30" t="str">
        <f>VLOOKUP(Query1[[#This Row],[company_name]],'Org Mapping'!$B:$I,8,FALSE)</f>
        <v>Jawad Ulla Khan</v>
      </c>
      <c r="O252" s="30" t="str">
        <f>TEXT(Query1[[#This Row],[last_work_day]],"mmm'yy")</f>
        <v>Jan'26</v>
      </c>
    </row>
    <row r="253" spans="1:15" x14ac:dyDescent="0.35">
      <c r="A253" s="30" t="s">
        <v>371</v>
      </c>
      <c r="B253" s="30" t="s">
        <v>65</v>
      </c>
      <c r="C253" s="30" t="s">
        <v>437</v>
      </c>
      <c r="D253">
        <v>2</v>
      </c>
      <c r="E253" s="30" t="s">
        <v>438</v>
      </c>
      <c r="F253" s="29">
        <v>45544</v>
      </c>
      <c r="G253">
        <v>25580.04</v>
      </c>
      <c r="H253">
        <v>6218.04</v>
      </c>
      <c r="I253" s="30" t="s">
        <v>92</v>
      </c>
      <c r="J253" s="30" t="s">
        <v>76</v>
      </c>
      <c r="K253">
        <v>6</v>
      </c>
      <c r="L253" s="29">
        <v>46062</v>
      </c>
      <c r="M253" s="29">
        <v>46059</v>
      </c>
      <c r="N253" s="30" t="str">
        <f>VLOOKUP(Query1[[#This Row],[company_name]],'Org Mapping'!$B:$I,8,FALSE)</f>
        <v>Jawad Ulla Khan</v>
      </c>
      <c r="O253" s="30" t="str">
        <f>TEXT(Query1[[#This Row],[last_work_day]],"mmm'yy")</f>
        <v>Feb'26</v>
      </c>
    </row>
    <row r="254" spans="1:15" x14ac:dyDescent="0.35">
      <c r="A254" s="30" t="s">
        <v>330</v>
      </c>
      <c r="B254" s="30" t="s">
        <v>65</v>
      </c>
      <c r="C254" s="30" t="s">
        <v>439</v>
      </c>
      <c r="D254">
        <v>2</v>
      </c>
      <c r="E254" s="30" t="s">
        <v>440</v>
      </c>
      <c r="F254" s="29">
        <v>45546</v>
      </c>
      <c r="G254">
        <v>32500</v>
      </c>
      <c r="H254">
        <v>7500</v>
      </c>
      <c r="I254" s="30" t="s">
        <v>21</v>
      </c>
      <c r="J254" s="30" t="s">
        <v>76</v>
      </c>
      <c r="K254">
        <v>6</v>
      </c>
      <c r="L254" s="29">
        <v>46086</v>
      </c>
      <c r="M254" s="29">
        <v>46086</v>
      </c>
      <c r="N254" s="30" t="str">
        <f>VLOOKUP(Query1[[#This Row],[company_name]],'Org Mapping'!$B:$I,8,FALSE)</f>
        <v>Jawad Ulla Khan</v>
      </c>
      <c r="O254" s="30" t="str">
        <f>TEXT(Query1[[#This Row],[last_work_day]],"mmm'yy")</f>
        <v>Mar'26</v>
      </c>
    </row>
    <row r="255" spans="1:15" x14ac:dyDescent="0.35">
      <c r="A255" s="30" t="s">
        <v>274</v>
      </c>
      <c r="B255" s="30" t="s">
        <v>65</v>
      </c>
      <c r="C255" s="30" t="s">
        <v>443</v>
      </c>
      <c r="D255">
        <v>2</v>
      </c>
      <c r="E255" s="30" t="s">
        <v>444</v>
      </c>
      <c r="F255" s="29">
        <v>45561</v>
      </c>
      <c r="G255">
        <v>23684.959999999999</v>
      </c>
      <c r="H255">
        <v>4322.96</v>
      </c>
      <c r="I255" s="30" t="s">
        <v>26</v>
      </c>
      <c r="J255" s="30" t="s">
        <v>76</v>
      </c>
      <c r="K255">
        <v>6</v>
      </c>
      <c r="L255" s="29">
        <v>46090</v>
      </c>
      <c r="M255" s="29">
        <v>46070</v>
      </c>
      <c r="N255" s="30" t="str">
        <f>VLOOKUP(Query1[[#This Row],[company_name]],'Org Mapping'!$B:$I,8,FALSE)</f>
        <v>Jawad Ulla Khan</v>
      </c>
      <c r="O255" s="30" t="str">
        <f>TEXT(Query1[[#This Row],[last_work_day]],"mmm'yy")</f>
        <v>Mar'26</v>
      </c>
    </row>
    <row r="256" spans="1:15" x14ac:dyDescent="0.35">
      <c r="A256" s="30" t="s">
        <v>1500</v>
      </c>
      <c r="B256" s="30" t="s">
        <v>39</v>
      </c>
      <c r="C256" s="30" t="s">
        <v>1603</v>
      </c>
      <c r="D256">
        <v>2</v>
      </c>
      <c r="E256" s="30" t="s">
        <v>1604</v>
      </c>
      <c r="F256" s="29">
        <v>45582</v>
      </c>
      <c r="G256">
        <v>55208.33</v>
      </c>
      <c r="H256">
        <v>3125.33</v>
      </c>
      <c r="I256" s="30" t="s">
        <v>26</v>
      </c>
      <c r="J256" s="30" t="s">
        <v>31</v>
      </c>
      <c r="K256">
        <v>6</v>
      </c>
      <c r="L256" s="29">
        <v>46059</v>
      </c>
      <c r="M256" s="29">
        <v>46030</v>
      </c>
      <c r="N256" s="30" t="str">
        <f>VLOOKUP(Query1[[#This Row],[company_name]],'Org Mapping'!$B:$I,8,FALSE)</f>
        <v>Mehr Hashim</v>
      </c>
      <c r="O256" s="30" t="str">
        <f>TEXT(Query1[[#This Row],[last_work_day]],"mmm'yy")</f>
        <v>Feb'26</v>
      </c>
    </row>
    <row r="257" spans="1:15" x14ac:dyDescent="0.35">
      <c r="A257" s="30" t="s">
        <v>1605</v>
      </c>
      <c r="B257" s="30" t="s">
        <v>39</v>
      </c>
      <c r="C257" s="30" t="s">
        <v>1606</v>
      </c>
      <c r="D257">
        <v>2</v>
      </c>
      <c r="E257" s="30" t="s">
        <v>1607</v>
      </c>
      <c r="F257" s="29">
        <v>45553</v>
      </c>
      <c r="G257">
        <v>336000</v>
      </c>
      <c r="H257">
        <v>111000</v>
      </c>
      <c r="I257" s="30" t="s">
        <v>37</v>
      </c>
      <c r="J257" s="30" t="s">
        <v>49</v>
      </c>
      <c r="K257">
        <v>6</v>
      </c>
      <c r="L257" s="29">
        <v>46114</v>
      </c>
      <c r="M257" s="29">
        <v>46084</v>
      </c>
      <c r="N257" s="30" t="str">
        <f>VLOOKUP(Query1[[#This Row],[company_name]],'Org Mapping'!$B:$I,8,FALSE)</f>
        <v>Mehr Hashim</v>
      </c>
      <c r="O257" s="30" t="str">
        <f>TEXT(Query1[[#This Row],[last_work_day]],"mmm'yy")</f>
        <v>Apr'26</v>
      </c>
    </row>
    <row r="258" spans="1:15" x14ac:dyDescent="0.35">
      <c r="A258" s="30" t="s">
        <v>1464</v>
      </c>
      <c r="B258" s="30" t="s">
        <v>39</v>
      </c>
      <c r="C258" s="30" t="s">
        <v>1608</v>
      </c>
      <c r="D258">
        <v>2</v>
      </c>
      <c r="E258" s="30" t="s">
        <v>1609</v>
      </c>
      <c r="F258" s="29">
        <v>45565</v>
      </c>
      <c r="G258">
        <v>210533.46</v>
      </c>
      <c r="H258">
        <v>210532.46</v>
      </c>
      <c r="I258" s="30" t="s">
        <v>26</v>
      </c>
      <c r="J258" s="30" t="s">
        <v>445</v>
      </c>
      <c r="K258">
        <v>6</v>
      </c>
      <c r="L258" s="29">
        <v>46124</v>
      </c>
      <c r="M258" s="29">
        <v>45918</v>
      </c>
      <c r="N258" s="30" t="str">
        <f>VLOOKUP(Query1[[#This Row],[company_name]],'Org Mapping'!$B:$I,8,FALSE)</f>
        <v>Mehr Hashim</v>
      </c>
      <c r="O258" s="30" t="str">
        <f>TEXT(Query1[[#This Row],[last_work_day]],"mmm'yy")</f>
        <v>Apr'26</v>
      </c>
    </row>
    <row r="259" spans="1:15" x14ac:dyDescent="0.35">
      <c r="A259" s="30" t="s">
        <v>1610</v>
      </c>
      <c r="B259" s="30" t="s">
        <v>446</v>
      </c>
      <c r="C259" s="30" t="s">
        <v>1611</v>
      </c>
      <c r="D259">
        <v>1</v>
      </c>
      <c r="E259" s="30" t="s">
        <v>1612</v>
      </c>
      <c r="F259" s="29">
        <v>45558</v>
      </c>
      <c r="G259">
        <v>50791.44</v>
      </c>
      <c r="H259">
        <v>15291.44</v>
      </c>
      <c r="I259" s="30" t="s">
        <v>21</v>
      </c>
      <c r="J259" s="30" t="s">
        <v>102</v>
      </c>
      <c r="K259">
        <v>6</v>
      </c>
      <c r="L259" s="29">
        <v>46038</v>
      </c>
      <c r="M259" s="29">
        <v>45971</v>
      </c>
      <c r="N259" s="30" t="str">
        <f>VLOOKUP(Query1[[#This Row],[company_name]],'Org Mapping'!$B:$I,8,FALSE)</f>
        <v>Mehr Hashim</v>
      </c>
      <c r="O259" s="30" t="str">
        <f>TEXT(Query1[[#This Row],[last_work_day]],"mmm'yy")</f>
        <v>Jan'26</v>
      </c>
    </row>
    <row r="260" spans="1:15" x14ac:dyDescent="0.35">
      <c r="A260" s="30" t="s">
        <v>327</v>
      </c>
      <c r="B260" s="30" t="s">
        <v>65</v>
      </c>
      <c r="C260" s="30" t="s">
        <v>447</v>
      </c>
      <c r="D260">
        <v>2</v>
      </c>
      <c r="E260" s="30" t="s">
        <v>448</v>
      </c>
      <c r="F260" s="29">
        <v>45560</v>
      </c>
      <c r="G260">
        <v>21956.26</v>
      </c>
      <c r="H260">
        <v>6956.26</v>
      </c>
      <c r="I260" s="30" t="s">
        <v>26</v>
      </c>
      <c r="J260" s="30" t="s">
        <v>76</v>
      </c>
      <c r="K260">
        <v>6</v>
      </c>
      <c r="L260" s="29">
        <v>46148</v>
      </c>
      <c r="M260" s="29">
        <v>46126</v>
      </c>
      <c r="N260" s="30" t="str">
        <f>VLOOKUP(Query1[[#This Row],[company_name]],'Org Mapping'!$B:$I,8,FALSE)</f>
        <v>Jawad Ulla Khan</v>
      </c>
      <c r="O260" s="30" t="str">
        <f>TEXT(Query1[[#This Row],[last_work_day]],"mmm'yy")</f>
        <v>May'26</v>
      </c>
    </row>
    <row r="261" spans="1:15" x14ac:dyDescent="0.35">
      <c r="A261" s="30" t="s">
        <v>341</v>
      </c>
      <c r="B261" s="30" t="s">
        <v>65</v>
      </c>
      <c r="C261" s="30" t="s">
        <v>449</v>
      </c>
      <c r="D261">
        <v>2</v>
      </c>
      <c r="E261" s="30" t="s">
        <v>450</v>
      </c>
      <c r="F261" s="29">
        <v>45560</v>
      </c>
      <c r="G261">
        <v>26432</v>
      </c>
      <c r="H261">
        <v>6432</v>
      </c>
      <c r="I261" s="30" t="s">
        <v>26</v>
      </c>
      <c r="J261" s="30" t="s">
        <v>76</v>
      </c>
      <c r="K261">
        <v>6</v>
      </c>
      <c r="L261" s="29">
        <v>46154</v>
      </c>
      <c r="M261" s="29">
        <v>46133</v>
      </c>
      <c r="N261" s="30" t="str">
        <f>VLOOKUP(Query1[[#This Row],[company_name]],'Org Mapping'!$B:$I,8,FALSE)</f>
        <v>Jawad Ulla Khan</v>
      </c>
      <c r="O261" s="30" t="str">
        <f>TEXT(Query1[[#This Row],[last_work_day]],"mmm'yy")</f>
        <v>May'26</v>
      </c>
    </row>
    <row r="262" spans="1:15" x14ac:dyDescent="0.35">
      <c r="A262" s="30" t="s">
        <v>1613</v>
      </c>
      <c r="B262" s="30" t="s">
        <v>1562</v>
      </c>
      <c r="C262" s="30" t="s">
        <v>1614</v>
      </c>
      <c r="D262">
        <v>2</v>
      </c>
      <c r="E262" s="30" t="s">
        <v>1615</v>
      </c>
      <c r="F262" s="29">
        <v>45607</v>
      </c>
      <c r="G262">
        <v>107902</v>
      </c>
      <c r="H262">
        <v>16236</v>
      </c>
      <c r="I262" s="30" t="s">
        <v>21</v>
      </c>
      <c r="J262" s="30" t="s">
        <v>451</v>
      </c>
      <c r="K262">
        <v>6</v>
      </c>
      <c r="L262" s="29">
        <v>46044</v>
      </c>
      <c r="M262" s="29">
        <v>45964</v>
      </c>
      <c r="N262" s="30" t="str">
        <f>VLOOKUP(Query1[[#This Row],[company_name]],'Org Mapping'!$B:$I,8,FALSE)</f>
        <v>Anuradha</v>
      </c>
      <c r="O262" s="30" t="str">
        <f>TEXT(Query1[[#This Row],[last_work_day]],"mmm'yy")</f>
        <v>Jan'26</v>
      </c>
    </row>
    <row r="263" spans="1:15" x14ac:dyDescent="0.35">
      <c r="A263" s="30" t="s">
        <v>1526</v>
      </c>
      <c r="B263" s="30" t="s">
        <v>186</v>
      </c>
      <c r="C263" s="30" t="s">
        <v>1616</v>
      </c>
      <c r="D263">
        <v>2</v>
      </c>
      <c r="E263" s="30" t="s">
        <v>1617</v>
      </c>
      <c r="F263" s="29">
        <v>45565</v>
      </c>
      <c r="G263">
        <v>30000</v>
      </c>
      <c r="H263">
        <v>5000</v>
      </c>
      <c r="I263" s="30" t="s">
        <v>91</v>
      </c>
      <c r="J263" s="30" t="s">
        <v>361</v>
      </c>
      <c r="K263">
        <v>6</v>
      </c>
      <c r="L263" s="29">
        <v>46051</v>
      </c>
      <c r="M263" s="29">
        <v>46050</v>
      </c>
      <c r="N263" s="30" t="str">
        <f>VLOOKUP(Query1[[#This Row],[company_name]],'Org Mapping'!$B:$I,8,FALSE)</f>
        <v>Prathap Sagar</v>
      </c>
      <c r="O263" s="30" t="str">
        <f>TEXT(Query1[[#This Row],[last_work_day]],"mmm'yy")</f>
        <v>Jan'26</v>
      </c>
    </row>
    <row r="264" spans="1:15" x14ac:dyDescent="0.35">
      <c r="A264" s="30" t="s">
        <v>1500</v>
      </c>
      <c r="B264" s="30" t="s">
        <v>39</v>
      </c>
      <c r="C264" s="30" t="s">
        <v>1618</v>
      </c>
      <c r="D264">
        <v>2</v>
      </c>
      <c r="E264" s="30" t="s">
        <v>1619</v>
      </c>
      <c r="F264" s="29">
        <v>45565</v>
      </c>
      <c r="G264">
        <v>35333.33</v>
      </c>
      <c r="H264">
        <v>2000.33</v>
      </c>
      <c r="I264" s="30" t="s">
        <v>16</v>
      </c>
      <c r="J264" s="30" t="s">
        <v>31</v>
      </c>
      <c r="K264">
        <v>6</v>
      </c>
      <c r="L264" s="29">
        <v>46112</v>
      </c>
      <c r="M264" s="29">
        <v>46059</v>
      </c>
      <c r="N264" s="30" t="str">
        <f>VLOOKUP(Query1[[#This Row],[company_name]],'Org Mapping'!$B:$I,8,FALSE)</f>
        <v>Mehr Hashim</v>
      </c>
      <c r="O264" s="30" t="str">
        <f>TEXT(Query1[[#This Row],[last_work_day]],"mmm'yy")</f>
        <v>Mar'26</v>
      </c>
    </row>
    <row r="265" spans="1:15" x14ac:dyDescent="0.35">
      <c r="A265" s="30" t="s">
        <v>442</v>
      </c>
      <c r="B265" s="30" t="s">
        <v>65</v>
      </c>
      <c r="C265" s="30" t="s">
        <v>452</v>
      </c>
      <c r="D265">
        <v>2</v>
      </c>
      <c r="E265" s="30" t="s">
        <v>453</v>
      </c>
      <c r="F265" s="29">
        <v>45568</v>
      </c>
      <c r="G265">
        <v>48000</v>
      </c>
      <c r="H265">
        <v>8000</v>
      </c>
      <c r="I265" s="30" t="s">
        <v>21</v>
      </c>
      <c r="J265" s="30" t="s">
        <v>76</v>
      </c>
      <c r="K265">
        <v>6</v>
      </c>
      <c r="L265" s="29">
        <v>46037</v>
      </c>
      <c r="M265" s="29">
        <v>46036</v>
      </c>
      <c r="N265" s="30" t="str">
        <f>VLOOKUP(Query1[[#This Row],[company_name]],'Org Mapping'!$B:$I,8,FALSE)</f>
        <v>Jawad Ulla Khan</v>
      </c>
      <c r="O265" s="30" t="str">
        <f>TEXT(Query1[[#This Row],[last_work_day]],"mmm'yy")</f>
        <v>Jan'26</v>
      </c>
    </row>
    <row r="266" spans="1:15" x14ac:dyDescent="0.35">
      <c r="A266" s="30" t="s">
        <v>359</v>
      </c>
      <c r="B266" s="30" t="s">
        <v>65</v>
      </c>
      <c r="C266" s="30" t="s">
        <v>454</v>
      </c>
      <c r="D266">
        <v>2</v>
      </c>
      <c r="E266" s="30" t="s">
        <v>455</v>
      </c>
      <c r="F266" s="29">
        <v>45568</v>
      </c>
      <c r="G266">
        <v>29500</v>
      </c>
      <c r="H266">
        <v>4500</v>
      </c>
      <c r="I266" s="30" t="s">
        <v>21</v>
      </c>
      <c r="J266" s="30" t="s">
        <v>90</v>
      </c>
      <c r="K266">
        <v>6</v>
      </c>
      <c r="L266" s="29">
        <v>46111</v>
      </c>
      <c r="M266" s="29">
        <v>46108</v>
      </c>
      <c r="N266" s="30" t="str">
        <f>VLOOKUP(Query1[[#This Row],[company_name]],'Org Mapping'!$B:$I,8,FALSE)</f>
        <v>Jawad Ulla Khan</v>
      </c>
      <c r="O266" s="30" t="str">
        <f>TEXT(Query1[[#This Row],[last_work_day]],"mmm'yy")</f>
        <v>Mar'26</v>
      </c>
    </row>
    <row r="267" spans="1:15" x14ac:dyDescent="0.35">
      <c r="A267" s="30" t="s">
        <v>151</v>
      </c>
      <c r="B267" s="30" t="s">
        <v>65</v>
      </c>
      <c r="C267" s="30" t="s">
        <v>456</v>
      </c>
      <c r="D267">
        <v>2</v>
      </c>
      <c r="E267" s="30" t="s">
        <v>457</v>
      </c>
      <c r="F267" s="29">
        <v>45569</v>
      </c>
      <c r="G267">
        <v>48000</v>
      </c>
      <c r="H267">
        <v>8000</v>
      </c>
      <c r="I267" s="30" t="s">
        <v>21</v>
      </c>
      <c r="J267" s="30" t="s">
        <v>90</v>
      </c>
      <c r="K267">
        <v>6</v>
      </c>
      <c r="L267" s="29">
        <v>46077</v>
      </c>
      <c r="M267" s="29">
        <v>46069</v>
      </c>
      <c r="N267" s="30" t="str">
        <f>VLOOKUP(Query1[[#This Row],[company_name]],'Org Mapping'!$B:$I,8,FALSE)</f>
        <v>Jawad Ulla Khan</v>
      </c>
      <c r="O267" s="30" t="str">
        <f>TEXT(Query1[[#This Row],[last_work_day]],"mmm'yy")</f>
        <v>Feb'26</v>
      </c>
    </row>
    <row r="268" spans="1:15" x14ac:dyDescent="0.35">
      <c r="A268" s="30" t="s">
        <v>98</v>
      </c>
      <c r="B268" s="30" t="s">
        <v>65</v>
      </c>
      <c r="C268" s="30" t="s">
        <v>458</v>
      </c>
      <c r="D268">
        <v>2</v>
      </c>
      <c r="E268" s="30" t="s">
        <v>459</v>
      </c>
      <c r="F268" s="29">
        <v>45568</v>
      </c>
      <c r="G268">
        <v>78000</v>
      </c>
      <c r="H268">
        <v>13000</v>
      </c>
      <c r="I268" s="30" t="s">
        <v>16</v>
      </c>
      <c r="J268" s="30" t="s">
        <v>76</v>
      </c>
      <c r="K268">
        <v>6</v>
      </c>
      <c r="L268" s="29">
        <v>46080</v>
      </c>
      <c r="M268" s="29">
        <v>45614</v>
      </c>
      <c r="N268" s="30" t="str">
        <f>VLOOKUP(Query1[[#This Row],[company_name]],'Org Mapping'!$B:$I,8,FALSE)</f>
        <v>Jawad Ulla Khan</v>
      </c>
      <c r="O268" s="30" t="str">
        <f>TEXT(Query1[[#This Row],[last_work_day]],"mmm'yy")</f>
        <v>Feb'26</v>
      </c>
    </row>
    <row r="269" spans="1:15" x14ac:dyDescent="0.35">
      <c r="A269" s="30" t="s">
        <v>371</v>
      </c>
      <c r="B269" s="30" t="s">
        <v>65</v>
      </c>
      <c r="C269" s="30" t="s">
        <v>460</v>
      </c>
      <c r="D269">
        <v>2</v>
      </c>
      <c r="E269" s="30" t="s">
        <v>461</v>
      </c>
      <c r="F269" s="29">
        <v>45569</v>
      </c>
      <c r="G269">
        <v>25580.04</v>
      </c>
      <c r="H269">
        <v>6218.04</v>
      </c>
      <c r="I269" s="30" t="s">
        <v>26</v>
      </c>
      <c r="J269" s="30" t="s">
        <v>76</v>
      </c>
      <c r="K269">
        <v>6</v>
      </c>
      <c r="L269" s="29">
        <v>46135</v>
      </c>
      <c r="M269" s="29">
        <v>46115</v>
      </c>
      <c r="N269" s="30" t="str">
        <f>VLOOKUP(Query1[[#This Row],[company_name]],'Org Mapping'!$B:$I,8,FALSE)</f>
        <v>Jawad Ulla Khan</v>
      </c>
      <c r="O269" s="30" t="str">
        <f>TEXT(Query1[[#This Row],[last_work_day]],"mmm'yy")</f>
        <v>Apr'26</v>
      </c>
    </row>
    <row r="270" spans="1:15" x14ac:dyDescent="0.35">
      <c r="A270" s="30" t="s">
        <v>1490</v>
      </c>
      <c r="B270" s="30" t="s">
        <v>1569</v>
      </c>
      <c r="C270" s="30" t="s">
        <v>1620</v>
      </c>
      <c r="D270">
        <v>2</v>
      </c>
      <c r="E270" s="30" t="s">
        <v>1621</v>
      </c>
      <c r="F270" s="29">
        <v>45566</v>
      </c>
      <c r="G270">
        <v>178500</v>
      </c>
      <c r="H270">
        <v>21000</v>
      </c>
      <c r="I270" s="30" t="s">
        <v>16</v>
      </c>
      <c r="J270" s="30" t="s">
        <v>48</v>
      </c>
      <c r="K270">
        <v>6</v>
      </c>
      <c r="L270" s="29">
        <v>46080</v>
      </c>
      <c r="M270" s="29">
        <v>46080</v>
      </c>
      <c r="N270" s="30" t="str">
        <f>VLOOKUP(Query1[[#This Row],[company_name]],'Org Mapping'!$B:$I,8,FALSE)</f>
        <v>Prathap Sagar</v>
      </c>
      <c r="O270" s="30" t="str">
        <f>TEXT(Query1[[#This Row],[last_work_day]],"mmm'yy")</f>
        <v>Feb'26</v>
      </c>
    </row>
    <row r="271" spans="1:15" x14ac:dyDescent="0.35">
      <c r="A271" s="30" t="s">
        <v>1622</v>
      </c>
      <c r="B271" s="30" t="s">
        <v>1544</v>
      </c>
      <c r="C271" s="30" t="s">
        <v>1623</v>
      </c>
      <c r="D271">
        <v>2</v>
      </c>
      <c r="E271" s="30" t="s">
        <v>1624</v>
      </c>
      <c r="F271" s="29">
        <v>45568</v>
      </c>
      <c r="G271">
        <v>138600</v>
      </c>
      <c r="H271">
        <v>63600</v>
      </c>
      <c r="I271" s="30" t="s">
        <v>26</v>
      </c>
      <c r="J271" s="30" t="s">
        <v>320</v>
      </c>
      <c r="K271">
        <v>6</v>
      </c>
      <c r="L271" s="29">
        <v>46045</v>
      </c>
      <c r="M271" s="29">
        <v>46024</v>
      </c>
      <c r="N271" s="30" t="str">
        <f>VLOOKUP(Query1[[#This Row],[company_name]],'Org Mapping'!$B:$I,8,FALSE)</f>
        <v>Prathap Sagar</v>
      </c>
      <c r="O271" s="30" t="str">
        <f>TEXT(Query1[[#This Row],[last_work_day]],"mmm'yy")</f>
        <v>Jan'26</v>
      </c>
    </row>
    <row r="272" spans="1:15" x14ac:dyDescent="0.35">
      <c r="A272" s="30" t="s">
        <v>1404</v>
      </c>
      <c r="B272" s="30" t="s">
        <v>39</v>
      </c>
      <c r="C272" s="30" t="s">
        <v>1625</v>
      </c>
      <c r="D272">
        <v>2</v>
      </c>
      <c r="E272" s="30" t="s">
        <v>1626</v>
      </c>
      <c r="F272" s="29">
        <v>45568</v>
      </c>
      <c r="G272">
        <v>55000</v>
      </c>
      <c r="H272">
        <v>5000</v>
      </c>
      <c r="I272" s="30" t="s">
        <v>26</v>
      </c>
      <c r="J272" s="30" t="s">
        <v>166</v>
      </c>
      <c r="K272">
        <v>6</v>
      </c>
      <c r="L272" s="29">
        <v>46072</v>
      </c>
      <c r="M272" s="29">
        <v>45914</v>
      </c>
      <c r="N272" s="30" t="str">
        <f>VLOOKUP(Query1[[#This Row],[company_name]],'Org Mapping'!$B:$I,8,FALSE)</f>
        <v>Mehr Hashim</v>
      </c>
      <c r="O272" s="30" t="str">
        <f>TEXT(Query1[[#This Row],[last_work_day]],"mmm'yy")</f>
        <v>Feb'26</v>
      </c>
    </row>
    <row r="273" spans="1:15" x14ac:dyDescent="0.35">
      <c r="A273" s="30" t="s">
        <v>1627</v>
      </c>
      <c r="B273" s="30" t="s">
        <v>1628</v>
      </c>
      <c r="C273" s="30" t="s">
        <v>1629</v>
      </c>
      <c r="D273">
        <v>2</v>
      </c>
      <c r="E273" s="30" t="s">
        <v>1630</v>
      </c>
      <c r="F273" s="29">
        <v>45574</v>
      </c>
      <c r="G273">
        <v>250000</v>
      </c>
      <c r="H273">
        <v>104167</v>
      </c>
      <c r="I273" s="30" t="s">
        <v>21</v>
      </c>
      <c r="J273" s="30" t="s">
        <v>384</v>
      </c>
      <c r="K273">
        <v>6</v>
      </c>
      <c r="L273" s="29">
        <v>46049</v>
      </c>
      <c r="M273" s="29">
        <v>46020</v>
      </c>
      <c r="N273" s="30" t="str">
        <f>VLOOKUP(Query1[[#This Row],[company_name]],'Org Mapping'!$B:$I,8,FALSE)</f>
        <v>Sadhna Shukla</v>
      </c>
      <c r="O273" s="30" t="str">
        <f>TEXT(Query1[[#This Row],[last_work_day]],"mmm'yy")</f>
        <v>Jan'26</v>
      </c>
    </row>
    <row r="274" spans="1:15" x14ac:dyDescent="0.35">
      <c r="A274" s="30" t="s">
        <v>151</v>
      </c>
      <c r="B274" s="30" t="s">
        <v>65</v>
      </c>
      <c r="C274" s="30" t="s">
        <v>462</v>
      </c>
      <c r="D274">
        <v>2</v>
      </c>
      <c r="E274" s="30" t="s">
        <v>463</v>
      </c>
      <c r="F274" s="29">
        <v>45593</v>
      </c>
      <c r="G274">
        <v>47200</v>
      </c>
      <c r="H274">
        <v>7200</v>
      </c>
      <c r="I274" s="30" t="s">
        <v>26</v>
      </c>
      <c r="J274" s="30" t="s">
        <v>76</v>
      </c>
      <c r="K274">
        <v>6</v>
      </c>
      <c r="L274" s="29">
        <v>46171</v>
      </c>
      <c r="M274" s="29">
        <v>46041</v>
      </c>
      <c r="N274" s="30" t="str">
        <f>VLOOKUP(Query1[[#This Row],[company_name]],'Org Mapping'!$B:$I,8,FALSE)</f>
        <v>Jawad Ulla Khan</v>
      </c>
      <c r="O274" s="30" t="str">
        <f>TEXT(Query1[[#This Row],[last_work_day]],"mmm'yy")</f>
        <v>May'26</v>
      </c>
    </row>
    <row r="275" spans="1:15" x14ac:dyDescent="0.35">
      <c r="A275" s="30" t="s">
        <v>1631</v>
      </c>
      <c r="B275" s="30" t="s">
        <v>1628</v>
      </c>
      <c r="C275" s="30" t="s">
        <v>1632</v>
      </c>
      <c r="D275">
        <v>2</v>
      </c>
      <c r="E275" s="30" t="s">
        <v>1633</v>
      </c>
      <c r="F275" s="29">
        <v>45588</v>
      </c>
      <c r="G275">
        <v>168000</v>
      </c>
      <c r="H275">
        <v>18000</v>
      </c>
      <c r="I275" s="30" t="s">
        <v>26</v>
      </c>
      <c r="J275" s="30" t="s">
        <v>139</v>
      </c>
      <c r="K275">
        <v>6</v>
      </c>
      <c r="L275" s="29">
        <v>46059</v>
      </c>
      <c r="M275" s="29">
        <v>46022</v>
      </c>
      <c r="N275" s="30" t="str">
        <f>VLOOKUP(Query1[[#This Row],[company_name]],'Org Mapping'!$B:$I,8,FALSE)</f>
        <v>Sadhna Shukla</v>
      </c>
      <c r="O275" s="30" t="str">
        <f>TEXT(Query1[[#This Row],[last_work_day]],"mmm'yy")</f>
        <v>Feb'26</v>
      </c>
    </row>
    <row r="276" spans="1:15" x14ac:dyDescent="0.35">
      <c r="A276" s="30" t="s">
        <v>1634</v>
      </c>
      <c r="B276" s="30" t="s">
        <v>117</v>
      </c>
      <c r="C276" s="30" t="s">
        <v>1635</v>
      </c>
      <c r="D276">
        <v>4</v>
      </c>
      <c r="E276" s="30" t="s">
        <v>1636</v>
      </c>
      <c r="F276" s="29">
        <v>45595</v>
      </c>
      <c r="G276">
        <v>267044.33</v>
      </c>
      <c r="H276">
        <v>33711.33</v>
      </c>
      <c r="I276" s="30" t="s">
        <v>16</v>
      </c>
      <c r="J276" s="30" t="s">
        <v>118</v>
      </c>
      <c r="K276">
        <v>6</v>
      </c>
      <c r="L276" s="29">
        <v>46146</v>
      </c>
      <c r="M276" s="29">
        <v>46125</v>
      </c>
      <c r="N276" s="30" t="str">
        <f>VLOOKUP(Query1[[#This Row],[company_name]],'Org Mapping'!$B:$I,8,FALSE)</f>
        <v>DXC</v>
      </c>
      <c r="O276" s="30" t="str">
        <f>TEXT(Query1[[#This Row],[last_work_day]],"mmm'yy")</f>
        <v>May'26</v>
      </c>
    </row>
    <row r="277" spans="1:15" x14ac:dyDescent="0.35">
      <c r="A277" s="30" t="s">
        <v>1518</v>
      </c>
      <c r="B277" s="30" t="s">
        <v>126</v>
      </c>
      <c r="C277" s="30" t="s">
        <v>1637</v>
      </c>
      <c r="D277">
        <v>2</v>
      </c>
      <c r="E277" s="30" t="s">
        <v>1638</v>
      </c>
      <c r="F277" s="29">
        <v>45589</v>
      </c>
      <c r="G277">
        <v>78213</v>
      </c>
      <c r="H277">
        <v>9047</v>
      </c>
      <c r="I277" s="30" t="s">
        <v>21</v>
      </c>
      <c r="J277" s="30" t="s">
        <v>464</v>
      </c>
      <c r="K277">
        <v>6</v>
      </c>
      <c r="L277" s="29">
        <v>46112</v>
      </c>
      <c r="M277" s="29">
        <v>46076</v>
      </c>
      <c r="N277" s="30" t="str">
        <f>VLOOKUP(Query1[[#This Row],[company_name]],'Org Mapping'!$B:$I,8,FALSE)</f>
        <v>Prathap Sagar</v>
      </c>
      <c r="O277" s="30" t="str">
        <f>TEXT(Query1[[#This Row],[last_work_day]],"mmm'yy")</f>
        <v>Mar'26</v>
      </c>
    </row>
    <row r="278" spans="1:15" x14ac:dyDescent="0.35">
      <c r="A278" s="30" t="s">
        <v>1572</v>
      </c>
      <c r="B278" s="30" t="s">
        <v>1628</v>
      </c>
      <c r="C278" s="30" t="s">
        <v>1639</v>
      </c>
      <c r="D278">
        <v>2</v>
      </c>
      <c r="E278" s="30" t="s">
        <v>1640</v>
      </c>
      <c r="F278" s="29">
        <v>45595</v>
      </c>
      <c r="G278">
        <v>66250</v>
      </c>
      <c r="H278">
        <v>3750</v>
      </c>
      <c r="I278" s="30" t="s">
        <v>21</v>
      </c>
      <c r="J278" s="30" t="s">
        <v>31</v>
      </c>
      <c r="K278">
        <v>6</v>
      </c>
      <c r="L278" s="29">
        <v>46136</v>
      </c>
      <c r="M278" s="29">
        <v>46079</v>
      </c>
      <c r="N278" s="30" t="str">
        <f>VLOOKUP(Query1[[#This Row],[company_name]],'Org Mapping'!$B:$I,8,FALSE)</f>
        <v>Mehr Hashim</v>
      </c>
      <c r="O278" s="30" t="str">
        <f>TEXT(Query1[[#This Row],[last_work_day]],"mmm'yy")</f>
        <v>Apr'26</v>
      </c>
    </row>
    <row r="279" spans="1:15" x14ac:dyDescent="0.35">
      <c r="A279" s="30" t="s">
        <v>371</v>
      </c>
      <c r="B279" s="30" t="s">
        <v>65</v>
      </c>
      <c r="C279" s="30" t="s">
        <v>465</v>
      </c>
      <c r="D279">
        <v>2</v>
      </c>
      <c r="E279" s="30" t="s">
        <v>466</v>
      </c>
      <c r="F279" s="29">
        <v>45617</v>
      </c>
      <c r="G279">
        <v>25580.04</v>
      </c>
      <c r="H279">
        <v>5508.04</v>
      </c>
      <c r="I279" s="30" t="s">
        <v>26</v>
      </c>
      <c r="J279" s="30" t="s">
        <v>76</v>
      </c>
      <c r="K279">
        <v>6</v>
      </c>
      <c r="L279" s="29">
        <v>46072</v>
      </c>
      <c r="M279" s="29">
        <v>46030</v>
      </c>
      <c r="N279" s="30" t="str">
        <f>VLOOKUP(Query1[[#This Row],[company_name]],'Org Mapping'!$B:$I,8,FALSE)</f>
        <v>Jawad Ulla Khan</v>
      </c>
      <c r="O279" s="30" t="str">
        <f>TEXT(Query1[[#This Row],[last_work_day]],"mmm'yy")</f>
        <v>Feb'26</v>
      </c>
    </row>
    <row r="280" spans="1:15" x14ac:dyDescent="0.35">
      <c r="A280" s="30" t="s">
        <v>468</v>
      </c>
      <c r="B280" s="30" t="s">
        <v>65</v>
      </c>
      <c r="C280" s="30" t="s">
        <v>469</v>
      </c>
      <c r="D280">
        <v>2</v>
      </c>
      <c r="E280" s="30" t="s">
        <v>470</v>
      </c>
      <c r="F280" s="29">
        <v>45603</v>
      </c>
      <c r="G280">
        <v>29500</v>
      </c>
      <c r="H280">
        <v>4500</v>
      </c>
      <c r="I280" s="30" t="s">
        <v>91</v>
      </c>
      <c r="J280" s="30" t="s">
        <v>90</v>
      </c>
      <c r="K280">
        <v>6</v>
      </c>
      <c r="L280" s="29">
        <v>46169</v>
      </c>
      <c r="M280" s="29">
        <v>46146</v>
      </c>
      <c r="N280" s="30" t="str">
        <f>VLOOKUP(Query1[[#This Row],[company_name]],'Org Mapping'!$B:$I,8,FALSE)</f>
        <v>Jawad Ulla Khan</v>
      </c>
      <c r="O280" s="30" t="str">
        <f>TEXT(Query1[[#This Row],[last_work_day]],"mmm'yy")</f>
        <v>May'26</v>
      </c>
    </row>
    <row r="281" spans="1:15" x14ac:dyDescent="0.35">
      <c r="A281" s="30" t="s">
        <v>1610</v>
      </c>
      <c r="B281" s="30" t="s">
        <v>65</v>
      </c>
      <c r="C281" s="30" t="s">
        <v>1641</v>
      </c>
      <c r="D281">
        <v>1</v>
      </c>
      <c r="E281" s="30" t="s">
        <v>1642</v>
      </c>
      <c r="F281" s="29">
        <v>45631</v>
      </c>
      <c r="G281">
        <v>85559.039999999994</v>
      </c>
      <c r="H281">
        <v>21393.040000000001</v>
      </c>
      <c r="I281" s="30" t="s">
        <v>16</v>
      </c>
      <c r="J281" s="30" t="s">
        <v>102</v>
      </c>
      <c r="K281">
        <v>6</v>
      </c>
      <c r="L281" s="29">
        <v>46171</v>
      </c>
      <c r="M281" s="29">
        <v>46126</v>
      </c>
      <c r="N281" s="30" t="str">
        <f>VLOOKUP(Query1[[#This Row],[company_name]],'Org Mapping'!$B:$I,8,FALSE)</f>
        <v>Mehr Hashim</v>
      </c>
      <c r="O281" s="30" t="str">
        <f>TEXT(Query1[[#This Row],[last_work_day]],"mmm'yy")</f>
        <v>May'26</v>
      </c>
    </row>
    <row r="282" spans="1:15" x14ac:dyDescent="0.35">
      <c r="A282" s="30" t="s">
        <v>1500</v>
      </c>
      <c r="B282" s="30" t="s">
        <v>39</v>
      </c>
      <c r="C282" s="30" t="s">
        <v>1643</v>
      </c>
      <c r="D282">
        <v>2</v>
      </c>
      <c r="E282" s="30" t="s">
        <v>1644</v>
      </c>
      <c r="F282" s="29">
        <v>45806</v>
      </c>
      <c r="G282">
        <v>39750</v>
      </c>
      <c r="H282">
        <v>2250</v>
      </c>
      <c r="I282" s="30" t="s">
        <v>26</v>
      </c>
      <c r="J282" s="30" t="s">
        <v>31</v>
      </c>
      <c r="K282">
        <v>6</v>
      </c>
      <c r="L282" s="29">
        <v>46031</v>
      </c>
      <c r="M282" s="29">
        <v>46027</v>
      </c>
      <c r="N282" s="30" t="str">
        <f>VLOOKUP(Query1[[#This Row],[company_name]],'Org Mapping'!$B:$I,8,FALSE)</f>
        <v>Mehr Hashim</v>
      </c>
      <c r="O282" s="30" t="str">
        <f>TEXT(Query1[[#This Row],[last_work_day]],"mmm'yy")</f>
        <v>Jan'26</v>
      </c>
    </row>
    <row r="283" spans="1:15" x14ac:dyDescent="0.35">
      <c r="A283" s="30" t="s">
        <v>98</v>
      </c>
      <c r="B283" s="30" t="s">
        <v>65</v>
      </c>
      <c r="C283" s="30" t="s">
        <v>472</v>
      </c>
      <c r="D283">
        <v>2</v>
      </c>
      <c r="E283" s="30" t="s">
        <v>473</v>
      </c>
      <c r="F283" s="29">
        <v>45625</v>
      </c>
      <c r="G283">
        <v>26531.119999999999</v>
      </c>
      <c r="H283">
        <v>4631.12</v>
      </c>
      <c r="I283" s="30" t="s">
        <v>37</v>
      </c>
      <c r="J283" s="30" t="s">
        <v>76</v>
      </c>
      <c r="K283">
        <v>6</v>
      </c>
      <c r="L283" s="29">
        <v>46142</v>
      </c>
      <c r="M283" s="29">
        <v>45880</v>
      </c>
      <c r="N283" s="30" t="str">
        <f>VLOOKUP(Query1[[#This Row],[company_name]],'Org Mapping'!$B:$I,8,FALSE)</f>
        <v>Jawad Ulla Khan</v>
      </c>
      <c r="O283" s="30" t="str">
        <f>TEXT(Query1[[#This Row],[last_work_day]],"mmm'yy")</f>
        <v>Apr'26</v>
      </c>
    </row>
    <row r="284" spans="1:15" x14ac:dyDescent="0.35">
      <c r="A284" s="30" t="s">
        <v>474</v>
      </c>
      <c r="B284" s="30" t="s">
        <v>1535</v>
      </c>
      <c r="C284" s="30" t="s">
        <v>1645</v>
      </c>
      <c r="D284">
        <v>2</v>
      </c>
      <c r="E284" s="30" t="s">
        <v>1646</v>
      </c>
      <c r="F284" s="29">
        <v>45618</v>
      </c>
      <c r="G284">
        <v>32000</v>
      </c>
      <c r="H284">
        <v>5000</v>
      </c>
      <c r="I284" s="30" t="s">
        <v>26</v>
      </c>
      <c r="J284" s="30" t="s">
        <v>113</v>
      </c>
      <c r="K284">
        <v>6</v>
      </c>
      <c r="L284" s="29">
        <v>46170</v>
      </c>
      <c r="M284" s="29">
        <v>46160</v>
      </c>
      <c r="N284" s="30" t="str">
        <f>VLOOKUP(Query1[[#This Row],[company_name]],'Org Mapping'!$B:$I,8,FALSE)</f>
        <v>(Sonia/Dikshitha)</v>
      </c>
      <c r="O284" s="30" t="str">
        <f>TEXT(Query1[[#This Row],[last_work_day]],"mmm'yy")</f>
        <v>May'26</v>
      </c>
    </row>
    <row r="285" spans="1:15" x14ac:dyDescent="0.35">
      <c r="A285" s="30" t="s">
        <v>1647</v>
      </c>
      <c r="B285" s="30" t="s">
        <v>39</v>
      </c>
      <c r="C285" s="30" t="s">
        <v>1648</v>
      </c>
      <c r="D285">
        <v>2</v>
      </c>
      <c r="E285" s="30" t="s">
        <v>1649</v>
      </c>
      <c r="F285" s="29">
        <v>45624</v>
      </c>
      <c r="G285">
        <v>39750</v>
      </c>
      <c r="H285">
        <v>2250</v>
      </c>
      <c r="I285" s="30" t="s">
        <v>91</v>
      </c>
      <c r="J285" s="30" t="s">
        <v>31</v>
      </c>
      <c r="K285">
        <v>6</v>
      </c>
      <c r="L285" s="29">
        <v>46043</v>
      </c>
      <c r="M285" s="29">
        <v>46043</v>
      </c>
      <c r="N285" s="30" t="str">
        <f>VLOOKUP(Query1[[#This Row],[company_name]],'Org Mapping'!$B:$I,8,FALSE)</f>
        <v>Mehr Hashim</v>
      </c>
      <c r="O285" s="30" t="str">
        <f>TEXT(Query1[[#This Row],[last_work_day]],"mmm'yy")</f>
        <v>Jan'26</v>
      </c>
    </row>
    <row r="286" spans="1:15" x14ac:dyDescent="0.35">
      <c r="A286" s="30" t="s">
        <v>75</v>
      </c>
      <c r="B286" s="30" t="s">
        <v>65</v>
      </c>
      <c r="C286" s="30" t="s">
        <v>475</v>
      </c>
      <c r="D286">
        <v>2</v>
      </c>
      <c r="E286" s="30" t="s">
        <v>476</v>
      </c>
      <c r="F286" s="29">
        <v>45618</v>
      </c>
      <c r="G286">
        <v>35552.22</v>
      </c>
      <c r="H286">
        <v>13652.22</v>
      </c>
      <c r="I286" s="30" t="s">
        <v>91</v>
      </c>
      <c r="J286" s="30" t="s">
        <v>76</v>
      </c>
      <c r="K286">
        <v>6</v>
      </c>
      <c r="L286" s="29">
        <v>46087</v>
      </c>
      <c r="M286" s="29">
        <v>46062</v>
      </c>
      <c r="N286" s="30" t="str">
        <f>VLOOKUP(Query1[[#This Row],[company_name]],'Org Mapping'!$B:$I,8,FALSE)</f>
        <v>Jawad Ulla Khan</v>
      </c>
      <c r="O286" s="30" t="str">
        <f>TEXT(Query1[[#This Row],[last_work_day]],"mmm'yy")</f>
        <v>Mar'26</v>
      </c>
    </row>
    <row r="287" spans="1:15" x14ac:dyDescent="0.35">
      <c r="A287" s="30" t="s">
        <v>1613</v>
      </c>
      <c r="B287" s="30" t="s">
        <v>1562</v>
      </c>
      <c r="C287" s="30" t="s">
        <v>1650</v>
      </c>
      <c r="D287">
        <v>1</v>
      </c>
      <c r="E287" s="30" t="s">
        <v>1651</v>
      </c>
      <c r="F287" s="29">
        <v>45624</v>
      </c>
      <c r="G287">
        <v>46683</v>
      </c>
      <c r="H287">
        <v>10850</v>
      </c>
      <c r="I287" s="30" t="s">
        <v>21</v>
      </c>
      <c r="J287" s="30" t="s">
        <v>120</v>
      </c>
      <c r="K287">
        <v>6</v>
      </c>
      <c r="L287" s="29">
        <v>46148</v>
      </c>
      <c r="M287" s="29">
        <v>46119</v>
      </c>
      <c r="N287" s="30" t="str">
        <f>VLOOKUP(Query1[[#This Row],[company_name]],'Org Mapping'!$B:$I,8,FALSE)</f>
        <v>Anuradha</v>
      </c>
      <c r="O287" s="30" t="str">
        <f>TEXT(Query1[[#This Row],[last_work_day]],"mmm'yy")</f>
        <v>May'26</v>
      </c>
    </row>
    <row r="288" spans="1:15" x14ac:dyDescent="0.35">
      <c r="A288" s="30" t="s">
        <v>430</v>
      </c>
      <c r="B288" s="30" t="s">
        <v>65</v>
      </c>
      <c r="C288" s="30" t="s">
        <v>477</v>
      </c>
      <c r="D288">
        <v>2</v>
      </c>
      <c r="E288" s="30" t="s">
        <v>478</v>
      </c>
      <c r="F288" s="29">
        <v>45618</v>
      </c>
      <c r="G288">
        <v>48000</v>
      </c>
      <c r="H288">
        <v>8000</v>
      </c>
      <c r="I288" s="30" t="s">
        <v>26</v>
      </c>
      <c r="J288" s="30" t="s">
        <v>76</v>
      </c>
      <c r="K288">
        <v>6</v>
      </c>
      <c r="L288" s="29">
        <v>46057</v>
      </c>
      <c r="M288" s="29">
        <v>45743</v>
      </c>
      <c r="N288" s="30" t="str">
        <f>VLOOKUP(Query1[[#This Row],[company_name]],'Org Mapping'!$B:$I,8,FALSE)</f>
        <v>Jawad Ulla Khan</v>
      </c>
      <c r="O288" s="30" t="str">
        <f>TEXT(Query1[[#This Row],[last_work_day]],"mmm'yy")</f>
        <v>Feb'26</v>
      </c>
    </row>
    <row r="289" spans="1:15" x14ac:dyDescent="0.35">
      <c r="A289" s="30" t="s">
        <v>474</v>
      </c>
      <c r="B289" s="30" t="s">
        <v>1535</v>
      </c>
      <c r="C289" s="30" t="s">
        <v>1652</v>
      </c>
      <c r="D289">
        <v>2</v>
      </c>
      <c r="E289" s="30" t="s">
        <v>1653</v>
      </c>
      <c r="F289" s="29">
        <v>45621</v>
      </c>
      <c r="G289">
        <v>386000</v>
      </c>
      <c r="H289">
        <v>163084</v>
      </c>
      <c r="I289" s="30" t="s">
        <v>26</v>
      </c>
      <c r="J289" s="30" t="s">
        <v>49</v>
      </c>
      <c r="K289">
        <v>6</v>
      </c>
      <c r="L289" s="29">
        <v>46150</v>
      </c>
      <c r="M289" s="29">
        <v>46028</v>
      </c>
      <c r="N289" s="30" t="str">
        <f>VLOOKUP(Query1[[#This Row],[company_name]],'Org Mapping'!$B:$I,8,FALSE)</f>
        <v>Mehr Hashim</v>
      </c>
      <c r="O289" s="30" t="str">
        <f>TEXT(Query1[[#This Row],[last_work_day]],"mmm'yy")</f>
        <v>May'26</v>
      </c>
    </row>
    <row r="290" spans="1:15" x14ac:dyDescent="0.35">
      <c r="A290" s="30" t="s">
        <v>390</v>
      </c>
      <c r="B290" s="30" t="s">
        <v>65</v>
      </c>
      <c r="C290" s="30" t="s">
        <v>479</v>
      </c>
      <c r="D290">
        <v>2</v>
      </c>
      <c r="E290" s="30" t="s">
        <v>480</v>
      </c>
      <c r="F290" s="29">
        <v>45623</v>
      </c>
      <c r="G290">
        <v>29500</v>
      </c>
      <c r="H290">
        <v>4500</v>
      </c>
      <c r="I290" s="30" t="s">
        <v>26</v>
      </c>
      <c r="J290" s="30" t="s">
        <v>90</v>
      </c>
      <c r="K290">
        <v>6</v>
      </c>
      <c r="L290" s="29">
        <v>46142</v>
      </c>
      <c r="M290" s="29">
        <v>46125</v>
      </c>
      <c r="N290" s="30" t="str">
        <f>VLOOKUP(Query1[[#This Row],[company_name]],'Org Mapping'!$B:$I,8,FALSE)</f>
        <v>Jawad Ulla Khan</v>
      </c>
      <c r="O290" s="30" t="str">
        <f>TEXT(Query1[[#This Row],[last_work_day]],"mmm'yy")</f>
        <v>Apr'26</v>
      </c>
    </row>
    <row r="291" spans="1:15" x14ac:dyDescent="0.35">
      <c r="A291" s="30" t="s">
        <v>481</v>
      </c>
      <c r="B291" s="30" t="s">
        <v>65</v>
      </c>
      <c r="C291" s="30" t="s">
        <v>482</v>
      </c>
      <c r="D291">
        <v>2</v>
      </c>
      <c r="E291" s="30" t="s">
        <v>483</v>
      </c>
      <c r="F291" s="29">
        <v>45625</v>
      </c>
      <c r="G291">
        <v>44840</v>
      </c>
      <c r="H291">
        <v>6840</v>
      </c>
      <c r="I291" s="30" t="s">
        <v>21</v>
      </c>
      <c r="J291" s="30" t="s">
        <v>76</v>
      </c>
      <c r="K291">
        <v>6</v>
      </c>
      <c r="L291" s="29">
        <v>46104</v>
      </c>
      <c r="M291" s="29">
        <v>46092</v>
      </c>
      <c r="N291" s="30" t="str">
        <f>VLOOKUP(Query1[[#This Row],[company_name]],'Org Mapping'!$B:$I,8,FALSE)</f>
        <v>Jawad Ulla Khan</v>
      </c>
      <c r="O291" s="30" t="str">
        <f>TEXT(Query1[[#This Row],[last_work_day]],"mmm'yy")</f>
        <v>Mar'26</v>
      </c>
    </row>
    <row r="292" spans="1:15" x14ac:dyDescent="0.35">
      <c r="A292" s="30" t="s">
        <v>484</v>
      </c>
      <c r="B292" s="30" t="s">
        <v>126</v>
      </c>
      <c r="C292" s="30" t="s">
        <v>1654</v>
      </c>
      <c r="D292">
        <v>2</v>
      </c>
      <c r="E292" s="30" t="s">
        <v>1655</v>
      </c>
      <c r="F292" s="29">
        <v>45632</v>
      </c>
      <c r="G292">
        <v>126000</v>
      </c>
      <c r="H292">
        <v>46834</v>
      </c>
      <c r="I292" s="30" t="s">
        <v>21</v>
      </c>
      <c r="J292" s="30" t="s">
        <v>361</v>
      </c>
      <c r="K292">
        <v>6</v>
      </c>
      <c r="L292" s="29">
        <v>46072</v>
      </c>
      <c r="M292" s="29">
        <v>46038</v>
      </c>
      <c r="N292" s="30" t="str">
        <f>VLOOKUP(Query1[[#This Row],[company_name]],'Org Mapping'!$B:$I,8,FALSE)</f>
        <v>Prathap Sagar</v>
      </c>
      <c r="O292" s="30" t="str">
        <f>TEXT(Query1[[#This Row],[last_work_day]],"mmm'yy")</f>
        <v>Feb'26</v>
      </c>
    </row>
    <row r="293" spans="1:15" x14ac:dyDescent="0.35">
      <c r="A293" s="30" t="s">
        <v>327</v>
      </c>
      <c r="B293" s="30" t="s">
        <v>65</v>
      </c>
      <c r="C293" s="30" t="s">
        <v>486</v>
      </c>
      <c r="D293">
        <v>2</v>
      </c>
      <c r="E293" s="30" t="s">
        <v>487</v>
      </c>
      <c r="F293" s="29">
        <v>45649</v>
      </c>
      <c r="G293">
        <v>25580.04</v>
      </c>
      <c r="H293">
        <v>6218.04</v>
      </c>
      <c r="I293" s="30" t="s">
        <v>26</v>
      </c>
      <c r="J293" s="30" t="s">
        <v>76</v>
      </c>
      <c r="K293">
        <v>6</v>
      </c>
      <c r="L293" s="29">
        <v>46083</v>
      </c>
      <c r="M293" s="29">
        <v>46042</v>
      </c>
      <c r="N293" s="30" t="str">
        <f>VLOOKUP(Query1[[#This Row],[company_name]],'Org Mapping'!$B:$I,8,FALSE)</f>
        <v>Jawad Ulla Khan</v>
      </c>
      <c r="O293" s="30" t="str">
        <f>TEXT(Query1[[#This Row],[last_work_day]],"mmm'yy")</f>
        <v>Mar'26</v>
      </c>
    </row>
    <row r="294" spans="1:15" x14ac:dyDescent="0.35">
      <c r="A294" s="30" t="s">
        <v>279</v>
      </c>
      <c r="B294" s="30" t="s">
        <v>43</v>
      </c>
      <c r="C294" s="30" t="s">
        <v>488</v>
      </c>
      <c r="D294">
        <v>6</v>
      </c>
      <c r="E294" s="30" t="s">
        <v>489</v>
      </c>
      <c r="F294" s="29">
        <v>45630</v>
      </c>
      <c r="G294">
        <v>32175</v>
      </c>
      <c r="H294">
        <v>4675</v>
      </c>
      <c r="I294" s="30" t="s">
        <v>26</v>
      </c>
      <c r="J294" s="30" t="s">
        <v>17</v>
      </c>
      <c r="K294">
        <v>6</v>
      </c>
      <c r="L294" s="29">
        <v>46065</v>
      </c>
      <c r="M294" s="29">
        <v>46034</v>
      </c>
      <c r="N294" s="30" t="str">
        <f>VLOOKUP(Query1[[#This Row],[company_name]],'Org Mapping'!$B:$I,8,FALSE)</f>
        <v>Jawad Ulla Khan</v>
      </c>
      <c r="O294" s="30" t="str">
        <f>TEXT(Query1[[#This Row],[last_work_day]],"mmm'yy")</f>
        <v>Feb'26</v>
      </c>
    </row>
    <row r="295" spans="1:15" x14ac:dyDescent="0.35">
      <c r="A295" s="30" t="s">
        <v>1656</v>
      </c>
      <c r="B295" s="30" t="s">
        <v>1657</v>
      </c>
      <c r="C295" s="30" t="s">
        <v>1658</v>
      </c>
      <c r="D295">
        <v>2</v>
      </c>
      <c r="E295" s="30" t="s">
        <v>1659</v>
      </c>
      <c r="F295" s="29">
        <v>45639</v>
      </c>
      <c r="G295">
        <v>409920</v>
      </c>
      <c r="H295">
        <v>93254</v>
      </c>
      <c r="I295" s="30" t="s">
        <v>26</v>
      </c>
      <c r="J295" s="30" t="s">
        <v>233</v>
      </c>
      <c r="K295">
        <v>6</v>
      </c>
      <c r="L295" s="29">
        <v>46142</v>
      </c>
      <c r="M295" s="29">
        <v>46111</v>
      </c>
      <c r="N295" s="30" t="str">
        <f>VLOOKUP(Query1[[#This Row],[company_name]],'Org Mapping'!$B:$I,8,FALSE)</f>
        <v>Anuradha</v>
      </c>
      <c r="O295" s="30" t="str">
        <f>TEXT(Query1[[#This Row],[last_work_day]],"mmm'yy")</f>
        <v>Apr'26</v>
      </c>
    </row>
    <row r="296" spans="1:15" x14ac:dyDescent="0.35">
      <c r="A296" s="30" t="s">
        <v>360</v>
      </c>
      <c r="B296" s="30" t="s">
        <v>65</v>
      </c>
      <c r="C296" s="30" t="s">
        <v>490</v>
      </c>
      <c r="D296">
        <v>2</v>
      </c>
      <c r="E296" s="30" t="s">
        <v>491</v>
      </c>
      <c r="F296" s="29">
        <v>45657</v>
      </c>
      <c r="G296">
        <v>21956.26</v>
      </c>
      <c r="H296">
        <v>6956.26</v>
      </c>
      <c r="I296" s="30" t="s">
        <v>16</v>
      </c>
      <c r="J296" s="30" t="s">
        <v>76</v>
      </c>
      <c r="K296">
        <v>6</v>
      </c>
      <c r="L296" s="29">
        <v>46097</v>
      </c>
      <c r="M296" s="29">
        <v>45713</v>
      </c>
      <c r="N296" s="30" t="str">
        <f>VLOOKUP(Query1[[#This Row],[company_name]],'Org Mapping'!$B:$I,8,FALSE)</f>
        <v>Jawad Ulla Khan</v>
      </c>
      <c r="O296" s="30" t="str">
        <f>TEXT(Query1[[#This Row],[last_work_day]],"mmm'yy")</f>
        <v>Mar'26</v>
      </c>
    </row>
    <row r="297" spans="1:15" x14ac:dyDescent="0.35">
      <c r="A297" s="30" t="s">
        <v>1660</v>
      </c>
      <c r="B297" s="30" t="s">
        <v>293</v>
      </c>
      <c r="C297" s="30" t="s">
        <v>1661</v>
      </c>
      <c r="D297">
        <v>2</v>
      </c>
      <c r="E297" s="30" t="s">
        <v>1662</v>
      </c>
      <c r="F297" s="29">
        <v>45632</v>
      </c>
      <c r="G297">
        <v>283248</v>
      </c>
      <c r="H297">
        <v>149915</v>
      </c>
      <c r="I297" s="30" t="s">
        <v>26</v>
      </c>
      <c r="J297" s="30" t="s">
        <v>233</v>
      </c>
      <c r="K297">
        <v>6</v>
      </c>
      <c r="L297" s="29">
        <v>46108</v>
      </c>
      <c r="M297" s="29">
        <v>46083</v>
      </c>
      <c r="N297" s="30" t="str">
        <f>VLOOKUP(Query1[[#This Row],[company_name]],'Org Mapping'!$B:$I,8,FALSE)</f>
        <v>Anuradha</v>
      </c>
      <c r="O297" s="30" t="str">
        <f>TEXT(Query1[[#This Row],[last_work_day]],"mmm'yy")</f>
        <v>Mar'26</v>
      </c>
    </row>
    <row r="298" spans="1:15" x14ac:dyDescent="0.35">
      <c r="A298" s="30" t="s">
        <v>1634</v>
      </c>
      <c r="B298" s="30" t="s">
        <v>117</v>
      </c>
      <c r="C298" s="30" t="s">
        <v>1663</v>
      </c>
      <c r="D298">
        <v>4</v>
      </c>
      <c r="E298" s="30" t="s">
        <v>1664</v>
      </c>
      <c r="F298" s="29">
        <v>45663</v>
      </c>
      <c r="G298">
        <v>278571.43</v>
      </c>
      <c r="H298">
        <v>28571.43</v>
      </c>
      <c r="I298" s="30" t="s">
        <v>16</v>
      </c>
      <c r="J298" s="30" t="s">
        <v>118</v>
      </c>
      <c r="K298">
        <v>6</v>
      </c>
      <c r="L298" s="29">
        <v>46142</v>
      </c>
      <c r="M298" s="29">
        <v>46129</v>
      </c>
      <c r="N298" s="30" t="str">
        <f>VLOOKUP(Query1[[#This Row],[company_name]],'Org Mapping'!$B:$I,8,FALSE)</f>
        <v>DXC</v>
      </c>
      <c r="O298" s="30" t="str">
        <f>TEXT(Query1[[#This Row],[last_work_day]],"mmm'yy")</f>
        <v>Apr'26</v>
      </c>
    </row>
    <row r="299" spans="1:15" x14ac:dyDescent="0.35">
      <c r="A299" s="30" t="s">
        <v>1565</v>
      </c>
      <c r="B299" s="30" t="s">
        <v>117</v>
      </c>
      <c r="C299" s="30" t="s">
        <v>1665</v>
      </c>
      <c r="D299">
        <v>4</v>
      </c>
      <c r="E299" s="30" t="s">
        <v>1666</v>
      </c>
      <c r="F299" s="29">
        <v>45663</v>
      </c>
      <c r="G299">
        <v>333333.33</v>
      </c>
      <c r="H299">
        <v>333330.33</v>
      </c>
      <c r="I299" s="30" t="s">
        <v>16</v>
      </c>
      <c r="J299" s="30" t="s">
        <v>118</v>
      </c>
      <c r="K299">
        <v>6</v>
      </c>
      <c r="L299" s="29">
        <v>46171</v>
      </c>
      <c r="M299" s="29">
        <v>46062</v>
      </c>
      <c r="N299" s="30" t="str">
        <f>VLOOKUP(Query1[[#This Row],[company_name]],'Org Mapping'!$B:$I,8,FALSE)</f>
        <v>DXC</v>
      </c>
      <c r="O299" s="30" t="str">
        <f>TEXT(Query1[[#This Row],[last_work_day]],"mmm'yy")</f>
        <v>May'26</v>
      </c>
    </row>
    <row r="300" spans="1:15" x14ac:dyDescent="0.35">
      <c r="A300" s="30" t="s">
        <v>1667</v>
      </c>
      <c r="B300" s="30" t="s">
        <v>39</v>
      </c>
      <c r="C300" s="30" t="s">
        <v>55</v>
      </c>
      <c r="D300">
        <v>2</v>
      </c>
      <c r="E300" s="30" t="s">
        <v>1668</v>
      </c>
      <c r="F300" s="29">
        <v>45635</v>
      </c>
      <c r="G300">
        <v>25666</v>
      </c>
      <c r="H300">
        <v>2416</v>
      </c>
      <c r="I300" s="30" t="s">
        <v>26</v>
      </c>
      <c r="J300" s="30" t="s">
        <v>166</v>
      </c>
      <c r="K300">
        <v>6</v>
      </c>
      <c r="L300" s="29">
        <v>46030</v>
      </c>
      <c r="M300" s="29">
        <v>45992</v>
      </c>
      <c r="N300" s="30" t="str">
        <f>VLOOKUP(Query1[[#This Row],[company_name]],'Org Mapping'!$B:$I,8,FALSE)</f>
        <v>Mehr Hashim</v>
      </c>
      <c r="O300" s="30" t="str">
        <f>TEXT(Query1[[#This Row],[last_work_day]],"mmm'yy")</f>
        <v>Jan'26</v>
      </c>
    </row>
    <row r="301" spans="1:15" x14ac:dyDescent="0.35">
      <c r="A301" s="30" t="s">
        <v>1669</v>
      </c>
      <c r="B301" s="30" t="s">
        <v>1569</v>
      </c>
      <c r="C301" s="30" t="s">
        <v>1670</v>
      </c>
      <c r="D301">
        <v>2</v>
      </c>
      <c r="E301" s="30" t="s">
        <v>1671</v>
      </c>
      <c r="F301" s="29">
        <v>45642</v>
      </c>
      <c r="G301">
        <v>126000</v>
      </c>
      <c r="H301">
        <v>42667</v>
      </c>
      <c r="I301" s="30" t="s">
        <v>16</v>
      </c>
      <c r="J301" s="30" t="s">
        <v>48</v>
      </c>
      <c r="K301">
        <v>6</v>
      </c>
      <c r="L301" s="29">
        <v>46087</v>
      </c>
      <c r="M301" s="29">
        <v>46091</v>
      </c>
      <c r="N301" s="30" t="str">
        <f>VLOOKUP(Query1[[#This Row],[company_name]],'Org Mapping'!$B:$I,8,FALSE)</f>
        <v>Prathap Sagar</v>
      </c>
      <c r="O301" s="30" t="str">
        <f>TEXT(Query1[[#This Row],[last_work_day]],"mmm'yy")</f>
        <v>Mar'26</v>
      </c>
    </row>
    <row r="302" spans="1:15" x14ac:dyDescent="0.35">
      <c r="A302" s="30" t="s">
        <v>1518</v>
      </c>
      <c r="B302" s="30" t="s">
        <v>126</v>
      </c>
      <c r="C302" s="30" t="s">
        <v>1672</v>
      </c>
      <c r="D302">
        <v>2</v>
      </c>
      <c r="E302" s="30" t="s">
        <v>1673</v>
      </c>
      <c r="F302" s="29">
        <v>45642</v>
      </c>
      <c r="G302">
        <v>30000</v>
      </c>
      <c r="H302">
        <v>5000</v>
      </c>
      <c r="I302" s="30" t="s">
        <v>26</v>
      </c>
      <c r="J302" s="30" t="s">
        <v>361</v>
      </c>
      <c r="K302">
        <v>6</v>
      </c>
      <c r="L302" s="29">
        <v>46062</v>
      </c>
      <c r="M302" s="29">
        <v>46038</v>
      </c>
      <c r="N302" s="30" t="str">
        <f>VLOOKUP(Query1[[#This Row],[company_name]],'Org Mapping'!$B:$I,8,FALSE)</f>
        <v>Prathap Sagar</v>
      </c>
      <c r="O302" s="30" t="str">
        <f>TEXT(Query1[[#This Row],[last_work_day]],"mmm'yy")</f>
        <v>Feb'26</v>
      </c>
    </row>
    <row r="303" spans="1:15" x14ac:dyDescent="0.35">
      <c r="A303" s="30" t="s">
        <v>1411</v>
      </c>
      <c r="B303" s="30" t="s">
        <v>39</v>
      </c>
      <c r="C303" s="30" t="s">
        <v>1674</v>
      </c>
      <c r="D303">
        <v>2</v>
      </c>
      <c r="E303" s="30" t="s">
        <v>1675</v>
      </c>
      <c r="F303" s="29">
        <v>45639</v>
      </c>
      <c r="G303">
        <v>268800</v>
      </c>
      <c r="H303">
        <v>118800</v>
      </c>
      <c r="I303" s="30" t="s">
        <v>21</v>
      </c>
      <c r="J303" s="30" t="s">
        <v>49</v>
      </c>
      <c r="K303">
        <v>6</v>
      </c>
      <c r="L303" s="29">
        <v>46031</v>
      </c>
      <c r="M303" s="29">
        <v>46014</v>
      </c>
      <c r="N303" s="30" t="str">
        <f>VLOOKUP(Query1[[#This Row],[company_name]],'Org Mapping'!$B:$I,8,FALSE)</f>
        <v>Mehr Hashim</v>
      </c>
      <c r="O303" s="30" t="str">
        <f>TEXT(Query1[[#This Row],[last_work_day]],"mmm'yy")</f>
        <v>Jan'26</v>
      </c>
    </row>
    <row r="304" spans="1:15" x14ac:dyDescent="0.35">
      <c r="A304" s="30" t="s">
        <v>1500</v>
      </c>
      <c r="B304" s="30" t="s">
        <v>39</v>
      </c>
      <c r="C304" s="30" t="s">
        <v>1676</v>
      </c>
      <c r="D304">
        <v>2</v>
      </c>
      <c r="E304" s="30" t="s">
        <v>1677</v>
      </c>
      <c r="F304" s="29">
        <v>45645</v>
      </c>
      <c r="G304">
        <v>39750</v>
      </c>
      <c r="H304">
        <v>2250</v>
      </c>
      <c r="I304" s="30" t="s">
        <v>26</v>
      </c>
      <c r="J304" s="30" t="s">
        <v>31</v>
      </c>
      <c r="K304">
        <v>6</v>
      </c>
      <c r="L304" s="29">
        <v>46125</v>
      </c>
      <c r="M304" s="29">
        <v>46063</v>
      </c>
      <c r="N304" s="30" t="str">
        <f>VLOOKUP(Query1[[#This Row],[company_name]],'Org Mapping'!$B:$I,8,FALSE)</f>
        <v>Mehr Hashim</v>
      </c>
      <c r="O304" s="30" t="str">
        <f>TEXT(Query1[[#This Row],[last_work_day]],"mmm'yy")</f>
        <v>Apr'26</v>
      </c>
    </row>
    <row r="305" spans="1:15" x14ac:dyDescent="0.35">
      <c r="A305" s="30" t="s">
        <v>1518</v>
      </c>
      <c r="B305" s="30" t="s">
        <v>126</v>
      </c>
      <c r="C305" s="30" t="s">
        <v>1678</v>
      </c>
      <c r="D305">
        <v>2</v>
      </c>
      <c r="E305" s="30" t="s">
        <v>1679</v>
      </c>
      <c r="F305" s="29">
        <v>45652</v>
      </c>
      <c r="G305">
        <v>130000</v>
      </c>
      <c r="H305">
        <v>30000</v>
      </c>
      <c r="I305" s="30" t="s">
        <v>26</v>
      </c>
      <c r="J305" s="30" t="s">
        <v>361</v>
      </c>
      <c r="K305">
        <v>6</v>
      </c>
      <c r="L305" s="29">
        <v>46024</v>
      </c>
      <c r="M305" s="29">
        <v>45996</v>
      </c>
      <c r="N305" s="30" t="str">
        <f>VLOOKUP(Query1[[#This Row],[company_name]],'Org Mapping'!$B:$I,8,FALSE)</f>
        <v>Prathap Sagar</v>
      </c>
      <c r="O305" s="30" t="str">
        <f>TEXT(Query1[[#This Row],[last_work_day]],"mmm'yy")</f>
        <v>Jan'26</v>
      </c>
    </row>
    <row r="306" spans="1:15" x14ac:dyDescent="0.35">
      <c r="A306" s="30" t="s">
        <v>1680</v>
      </c>
      <c r="B306" s="30" t="s">
        <v>1569</v>
      </c>
      <c r="C306" s="30" t="s">
        <v>1681</v>
      </c>
      <c r="D306">
        <v>2</v>
      </c>
      <c r="E306" s="30" t="s">
        <v>1682</v>
      </c>
      <c r="F306" s="29">
        <v>45664</v>
      </c>
      <c r="G306">
        <v>226800</v>
      </c>
      <c r="H306">
        <v>35134</v>
      </c>
      <c r="I306" s="30" t="s">
        <v>21</v>
      </c>
      <c r="J306" s="30" t="s">
        <v>48</v>
      </c>
      <c r="K306">
        <v>6</v>
      </c>
      <c r="L306" s="29">
        <v>46079</v>
      </c>
      <c r="M306" s="29">
        <v>46058</v>
      </c>
      <c r="N306" s="30" t="str">
        <f>VLOOKUP(Query1[[#This Row],[company_name]],'Org Mapping'!$B:$I,8,FALSE)</f>
        <v>Prathap Sagar</v>
      </c>
      <c r="O306" s="30" t="str">
        <f>TEXT(Query1[[#This Row],[last_work_day]],"mmm'yy")</f>
        <v>Feb'26</v>
      </c>
    </row>
    <row r="307" spans="1:15" x14ac:dyDescent="0.35">
      <c r="A307" s="30" t="s">
        <v>1683</v>
      </c>
      <c r="B307" s="30" t="s">
        <v>1628</v>
      </c>
      <c r="C307" s="30" t="s">
        <v>1684</v>
      </c>
      <c r="D307">
        <v>2</v>
      </c>
      <c r="E307" s="30" t="s">
        <v>1685</v>
      </c>
      <c r="F307" s="29">
        <v>45652</v>
      </c>
      <c r="G307">
        <v>242350</v>
      </c>
      <c r="H307">
        <v>59017</v>
      </c>
      <c r="I307" s="30" t="s">
        <v>21</v>
      </c>
      <c r="J307" s="30" t="s">
        <v>441</v>
      </c>
      <c r="K307">
        <v>6</v>
      </c>
      <c r="L307" s="29">
        <v>46064</v>
      </c>
      <c r="M307" s="29">
        <v>46034</v>
      </c>
      <c r="N307" s="30" t="str">
        <f>VLOOKUP(Query1[[#This Row],[company_name]],'Org Mapping'!$B:$I,8,FALSE)</f>
        <v>Sadhna Shukla</v>
      </c>
      <c r="O307" s="30" t="str">
        <f>TEXT(Query1[[#This Row],[last_work_day]],"mmm'yy")</f>
        <v>Feb'26</v>
      </c>
    </row>
    <row r="308" spans="1:15" x14ac:dyDescent="0.35">
      <c r="A308" s="30" t="s">
        <v>376</v>
      </c>
      <c r="B308" s="30" t="s">
        <v>65</v>
      </c>
      <c r="C308" s="30" t="s">
        <v>492</v>
      </c>
      <c r="D308">
        <v>2</v>
      </c>
      <c r="E308" s="30" t="s">
        <v>493</v>
      </c>
      <c r="F308" s="29">
        <v>45659</v>
      </c>
      <c r="G308">
        <v>70800</v>
      </c>
      <c r="H308">
        <v>10800</v>
      </c>
      <c r="I308" s="30" t="s">
        <v>37</v>
      </c>
      <c r="J308" s="30" t="s">
        <v>76</v>
      </c>
      <c r="K308">
        <v>6</v>
      </c>
      <c r="L308" s="29">
        <v>46134</v>
      </c>
      <c r="M308" s="29">
        <v>46107</v>
      </c>
      <c r="N308" s="30" t="str">
        <f>VLOOKUP(Query1[[#This Row],[company_name]],'Org Mapping'!$B:$I,8,FALSE)</f>
        <v>Jawad Ulla Khan</v>
      </c>
      <c r="O308" s="30" t="str">
        <f>TEXT(Query1[[#This Row],[last_work_day]],"mmm'yy")</f>
        <v>Apr'26</v>
      </c>
    </row>
    <row r="309" spans="1:15" x14ac:dyDescent="0.35">
      <c r="A309" s="30" t="s">
        <v>1686</v>
      </c>
      <c r="B309" s="30" t="s">
        <v>1544</v>
      </c>
      <c r="C309" s="30" t="s">
        <v>1687</v>
      </c>
      <c r="D309">
        <v>2</v>
      </c>
      <c r="E309" s="30" t="s">
        <v>1688</v>
      </c>
      <c r="F309" s="29">
        <v>45679</v>
      </c>
      <c r="G309">
        <v>260400</v>
      </c>
      <c r="H309">
        <v>60400</v>
      </c>
      <c r="I309" s="30" t="s">
        <v>37</v>
      </c>
      <c r="J309" s="30" t="s">
        <v>320</v>
      </c>
      <c r="K309">
        <v>6</v>
      </c>
      <c r="L309" s="29">
        <v>46038</v>
      </c>
      <c r="M309" s="29">
        <v>46009</v>
      </c>
      <c r="N309" s="30" t="str">
        <f>VLOOKUP(Query1[[#This Row],[company_name]],'Org Mapping'!$B:$I,8,FALSE)</f>
        <v>Prathap Sagar</v>
      </c>
      <c r="O309" s="30" t="str">
        <f>TEXT(Query1[[#This Row],[last_work_day]],"mmm'yy")</f>
        <v>Jan'26</v>
      </c>
    </row>
    <row r="310" spans="1:15" x14ac:dyDescent="0.35">
      <c r="A310" s="30" t="s">
        <v>123</v>
      </c>
      <c r="B310" s="30" t="s">
        <v>43</v>
      </c>
      <c r="C310" s="30" t="s">
        <v>496</v>
      </c>
      <c r="D310">
        <v>6</v>
      </c>
      <c r="E310" s="30" t="s">
        <v>497</v>
      </c>
      <c r="F310" s="29">
        <v>45678</v>
      </c>
      <c r="G310">
        <v>32175</v>
      </c>
      <c r="H310">
        <v>4675</v>
      </c>
      <c r="I310" s="30" t="s">
        <v>91</v>
      </c>
      <c r="J310" s="30" t="s">
        <v>17</v>
      </c>
      <c r="K310">
        <v>6</v>
      </c>
      <c r="L310" s="29">
        <v>46041</v>
      </c>
      <c r="M310" s="29">
        <v>46042</v>
      </c>
      <c r="N310" s="30" t="str">
        <f>VLOOKUP(Query1[[#This Row],[company_name]],'Org Mapping'!$B:$I,8,FALSE)</f>
        <v>Jawad Ulla Khan</v>
      </c>
      <c r="O310" s="30" t="str">
        <f>TEXT(Query1[[#This Row],[last_work_day]],"mmm'yy")</f>
        <v>Jan'26</v>
      </c>
    </row>
    <row r="311" spans="1:15" x14ac:dyDescent="0.35">
      <c r="A311" s="30" t="s">
        <v>1453</v>
      </c>
      <c r="B311" s="30" t="s">
        <v>39</v>
      </c>
      <c r="C311" s="30" t="s">
        <v>1689</v>
      </c>
      <c r="D311">
        <v>2</v>
      </c>
      <c r="E311" s="30" t="s">
        <v>1690</v>
      </c>
      <c r="F311" s="29">
        <v>45680</v>
      </c>
      <c r="G311">
        <v>53000</v>
      </c>
      <c r="H311">
        <v>3000</v>
      </c>
      <c r="I311" s="30" t="s">
        <v>21</v>
      </c>
      <c r="J311" s="30" t="s">
        <v>31</v>
      </c>
      <c r="K311">
        <v>6</v>
      </c>
      <c r="L311" s="29">
        <v>46057</v>
      </c>
      <c r="M311" s="29">
        <v>46014</v>
      </c>
      <c r="N311" s="30" t="str">
        <f>VLOOKUP(Query1[[#This Row],[company_name]],'Org Mapping'!$B:$I,8,FALSE)</f>
        <v>Mehr Hashim</v>
      </c>
      <c r="O311" s="30" t="str">
        <f>TEXT(Query1[[#This Row],[last_work_day]],"mmm'yy")</f>
        <v>Feb'26</v>
      </c>
    </row>
    <row r="312" spans="1:15" x14ac:dyDescent="0.35">
      <c r="A312" s="30" t="s">
        <v>1500</v>
      </c>
      <c r="B312" s="30" t="s">
        <v>39</v>
      </c>
      <c r="C312" s="30" t="s">
        <v>1691</v>
      </c>
      <c r="D312">
        <v>2</v>
      </c>
      <c r="E312" s="30" t="s">
        <v>1692</v>
      </c>
      <c r="F312" s="29">
        <v>45680</v>
      </c>
      <c r="G312">
        <v>39750</v>
      </c>
      <c r="H312">
        <v>2250</v>
      </c>
      <c r="I312" s="30" t="s">
        <v>26</v>
      </c>
      <c r="J312" s="30" t="s">
        <v>31</v>
      </c>
      <c r="K312">
        <v>6</v>
      </c>
      <c r="L312" s="29">
        <v>46156</v>
      </c>
      <c r="M312" s="29">
        <v>46153</v>
      </c>
      <c r="N312" s="30" t="str">
        <f>VLOOKUP(Query1[[#This Row],[company_name]],'Org Mapping'!$B:$I,8,FALSE)</f>
        <v>Mehr Hashim</v>
      </c>
      <c r="O312" s="30" t="str">
        <f>TEXT(Query1[[#This Row],[last_work_day]],"mmm'yy")</f>
        <v>May'26</v>
      </c>
    </row>
    <row r="313" spans="1:15" x14ac:dyDescent="0.35">
      <c r="A313" s="30" t="s">
        <v>1613</v>
      </c>
      <c r="B313" s="30" t="s">
        <v>1562</v>
      </c>
      <c r="C313" s="30" t="s">
        <v>1693</v>
      </c>
      <c r="D313">
        <v>4</v>
      </c>
      <c r="E313" s="30" t="s">
        <v>1694</v>
      </c>
      <c r="F313" s="29">
        <v>45679</v>
      </c>
      <c r="G313">
        <v>353333</v>
      </c>
      <c r="H313">
        <v>20000</v>
      </c>
      <c r="I313" s="30" t="s">
        <v>26</v>
      </c>
      <c r="J313" s="30" t="s">
        <v>99</v>
      </c>
      <c r="K313">
        <v>6</v>
      </c>
      <c r="L313" s="29">
        <v>46043</v>
      </c>
      <c r="M313" s="29">
        <v>46014</v>
      </c>
      <c r="N313" s="30" t="str">
        <f>VLOOKUP(Query1[[#This Row],[company_name]],'Org Mapping'!$B:$I,8,FALSE)</f>
        <v>TBA</v>
      </c>
      <c r="O313" s="30" t="str">
        <f>TEXT(Query1[[#This Row],[last_work_day]],"mmm'yy")</f>
        <v>Jan'26</v>
      </c>
    </row>
    <row r="314" spans="1:15" x14ac:dyDescent="0.35">
      <c r="A314" s="30" t="s">
        <v>104</v>
      </c>
      <c r="B314" s="30" t="s">
        <v>1628</v>
      </c>
      <c r="C314" s="30" t="s">
        <v>1695</v>
      </c>
      <c r="D314">
        <v>2</v>
      </c>
      <c r="E314" s="30" t="s">
        <v>1696</v>
      </c>
      <c r="F314" s="29">
        <v>45659</v>
      </c>
      <c r="G314">
        <v>1078350</v>
      </c>
      <c r="H314">
        <v>248850</v>
      </c>
      <c r="I314" s="30" t="s">
        <v>16</v>
      </c>
      <c r="J314" s="30" t="s">
        <v>36</v>
      </c>
      <c r="K314">
        <v>6</v>
      </c>
      <c r="L314" s="29">
        <v>46110</v>
      </c>
      <c r="M314" s="29">
        <v>46080</v>
      </c>
      <c r="N314" s="30" t="str">
        <f>VLOOKUP(Query1[[#This Row],[company_name]],'Org Mapping'!$B:$I,8,FALSE)</f>
        <v>Sadhna Shukla</v>
      </c>
      <c r="O314" s="30" t="str">
        <f>TEXT(Query1[[#This Row],[last_work_day]],"mmm'yy")</f>
        <v>Mar'26</v>
      </c>
    </row>
    <row r="315" spans="1:15" x14ac:dyDescent="0.35">
      <c r="A315" s="30" t="s">
        <v>1647</v>
      </c>
      <c r="B315" s="30" t="s">
        <v>39</v>
      </c>
      <c r="C315" s="30" t="s">
        <v>1697</v>
      </c>
      <c r="D315">
        <v>2</v>
      </c>
      <c r="E315" s="30" t="s">
        <v>1698</v>
      </c>
      <c r="F315" s="29">
        <v>45687</v>
      </c>
      <c r="G315">
        <v>61833.33</v>
      </c>
      <c r="H315">
        <v>3500.33</v>
      </c>
      <c r="I315" s="30" t="s">
        <v>26</v>
      </c>
      <c r="J315" s="30" t="s">
        <v>31</v>
      </c>
      <c r="K315">
        <v>6</v>
      </c>
      <c r="L315" s="29">
        <v>46070</v>
      </c>
      <c r="M315" s="29">
        <v>46039</v>
      </c>
      <c r="N315" s="30" t="str">
        <f>VLOOKUP(Query1[[#This Row],[company_name]],'Org Mapping'!$B:$I,8,FALSE)</f>
        <v>Mehr Hashim</v>
      </c>
      <c r="O315" s="30" t="str">
        <f>TEXT(Query1[[#This Row],[last_work_day]],"mmm'yy")</f>
        <v>Feb'26</v>
      </c>
    </row>
    <row r="316" spans="1:15" x14ac:dyDescent="0.35">
      <c r="A316" s="30" t="s">
        <v>1497</v>
      </c>
      <c r="B316" s="30" t="s">
        <v>39</v>
      </c>
      <c r="C316" s="30" t="s">
        <v>1699</v>
      </c>
      <c r="D316">
        <v>2</v>
      </c>
      <c r="E316" s="30" t="s">
        <v>1700</v>
      </c>
      <c r="F316" s="29">
        <v>45659</v>
      </c>
      <c r="G316">
        <v>555000</v>
      </c>
      <c r="H316">
        <v>205000</v>
      </c>
      <c r="I316" s="30" t="s">
        <v>16</v>
      </c>
      <c r="J316" s="30" t="s">
        <v>495</v>
      </c>
      <c r="K316">
        <v>6</v>
      </c>
      <c r="L316" s="29">
        <v>46157</v>
      </c>
      <c r="M316" s="29">
        <v>46128</v>
      </c>
      <c r="N316" s="30" t="str">
        <f>VLOOKUP(Query1[[#This Row],[company_name]],'Org Mapping'!$B:$I,8,FALSE)</f>
        <v>Mehr Hashim</v>
      </c>
      <c r="O316" s="30" t="str">
        <f>TEXT(Query1[[#This Row],[last_work_day]],"mmm'yy")</f>
        <v>May'26</v>
      </c>
    </row>
    <row r="317" spans="1:15" x14ac:dyDescent="0.35">
      <c r="A317" s="30" t="s">
        <v>341</v>
      </c>
      <c r="B317" s="30" t="s">
        <v>65</v>
      </c>
      <c r="C317" s="30" t="s">
        <v>498</v>
      </c>
      <c r="D317">
        <v>2</v>
      </c>
      <c r="E317" s="30" t="s">
        <v>499</v>
      </c>
      <c r="F317" s="29">
        <v>45687</v>
      </c>
      <c r="G317">
        <v>42480</v>
      </c>
      <c r="H317">
        <v>6480</v>
      </c>
      <c r="I317" s="30" t="s">
        <v>92</v>
      </c>
      <c r="J317" s="30" t="s">
        <v>76</v>
      </c>
      <c r="K317">
        <v>6</v>
      </c>
      <c r="L317" s="29">
        <v>46099</v>
      </c>
      <c r="M317" s="29">
        <v>46098</v>
      </c>
      <c r="N317" s="30" t="str">
        <f>VLOOKUP(Query1[[#This Row],[company_name]],'Org Mapping'!$B:$I,8,FALSE)</f>
        <v>Jawad Ulla Khan</v>
      </c>
      <c r="O317" s="30" t="str">
        <f>TEXT(Query1[[#This Row],[last_work_day]],"mmm'yy")</f>
        <v>Mar'26</v>
      </c>
    </row>
    <row r="318" spans="1:15" x14ac:dyDescent="0.35">
      <c r="A318" s="30" t="s">
        <v>1497</v>
      </c>
      <c r="B318" s="30" t="s">
        <v>39</v>
      </c>
      <c r="C318" s="30" t="s">
        <v>1701</v>
      </c>
      <c r="D318">
        <v>4</v>
      </c>
      <c r="E318" s="30" t="s">
        <v>1702</v>
      </c>
      <c r="F318" s="29">
        <v>45685</v>
      </c>
      <c r="G318">
        <v>375000</v>
      </c>
      <c r="H318">
        <v>108334</v>
      </c>
      <c r="I318" s="30" t="s">
        <v>91</v>
      </c>
      <c r="J318" s="30" t="s">
        <v>116</v>
      </c>
      <c r="K318">
        <v>6</v>
      </c>
      <c r="L318" s="29">
        <v>46112</v>
      </c>
      <c r="M318" s="29">
        <v>45994</v>
      </c>
      <c r="N318" s="30" t="str">
        <f>VLOOKUP(Query1[[#This Row],[company_name]],'Org Mapping'!$B:$I,8,FALSE)</f>
        <v>Mehr Hashim</v>
      </c>
      <c r="O318" s="30" t="str">
        <f>TEXT(Query1[[#This Row],[last_work_day]],"mmm'yy")</f>
        <v>Mar'26</v>
      </c>
    </row>
    <row r="319" spans="1:15" x14ac:dyDescent="0.35">
      <c r="A319" s="30" t="s">
        <v>358</v>
      </c>
      <c r="B319" s="30" t="s">
        <v>65</v>
      </c>
      <c r="C319" s="30" t="s">
        <v>500</v>
      </c>
      <c r="D319">
        <v>2</v>
      </c>
      <c r="E319" s="30" t="s">
        <v>501</v>
      </c>
      <c r="F319" s="29">
        <v>45688</v>
      </c>
      <c r="G319">
        <v>21956.26</v>
      </c>
      <c r="H319">
        <v>3456.26</v>
      </c>
      <c r="I319" s="30" t="s">
        <v>26</v>
      </c>
      <c r="J319" s="30" t="s">
        <v>76</v>
      </c>
      <c r="K319">
        <v>6</v>
      </c>
      <c r="L319" s="29">
        <v>46148</v>
      </c>
      <c r="M319" s="29">
        <v>46119</v>
      </c>
      <c r="N319" s="30" t="str">
        <f>VLOOKUP(Query1[[#This Row],[company_name]],'Org Mapping'!$B:$I,8,FALSE)</f>
        <v>Jawad Ulla Khan</v>
      </c>
      <c r="O319" s="30" t="str">
        <f>TEXT(Query1[[#This Row],[last_work_day]],"mmm'yy")</f>
        <v>May'26</v>
      </c>
    </row>
    <row r="320" spans="1:15" x14ac:dyDescent="0.35">
      <c r="A320" s="30" t="s">
        <v>1634</v>
      </c>
      <c r="B320" s="30" t="s">
        <v>117</v>
      </c>
      <c r="C320" s="30" t="s">
        <v>1703</v>
      </c>
      <c r="D320">
        <v>4</v>
      </c>
      <c r="E320" s="30" t="s">
        <v>1704</v>
      </c>
      <c r="F320" s="29">
        <v>45698</v>
      </c>
      <c r="G320">
        <v>153694.57999999999</v>
      </c>
      <c r="H320">
        <v>23694.58</v>
      </c>
      <c r="I320" s="30" t="s">
        <v>26</v>
      </c>
      <c r="J320" s="30" t="s">
        <v>118</v>
      </c>
      <c r="K320">
        <v>6</v>
      </c>
      <c r="L320" s="29">
        <v>46142</v>
      </c>
      <c r="M320" s="29">
        <v>45852</v>
      </c>
      <c r="N320" s="30" t="str">
        <f>VLOOKUP(Query1[[#This Row],[company_name]],'Org Mapping'!$B:$I,8,FALSE)</f>
        <v>DXC</v>
      </c>
      <c r="O320" s="30" t="str">
        <f>TEXT(Query1[[#This Row],[last_work_day]],"mmm'yy")</f>
        <v>Apr'26</v>
      </c>
    </row>
    <row r="321" spans="1:15" x14ac:dyDescent="0.35">
      <c r="A321" s="30" t="s">
        <v>1634</v>
      </c>
      <c r="B321" s="30" t="s">
        <v>117</v>
      </c>
      <c r="C321" s="30" t="s">
        <v>1705</v>
      </c>
      <c r="D321">
        <v>1</v>
      </c>
      <c r="E321" s="30" t="s">
        <v>1706</v>
      </c>
      <c r="F321" s="29">
        <v>45698</v>
      </c>
      <c r="G321">
        <v>354679.8</v>
      </c>
      <c r="H321">
        <v>38013.800000000003</v>
      </c>
      <c r="I321" s="30" t="s">
        <v>16</v>
      </c>
      <c r="J321" s="30" t="s">
        <v>118</v>
      </c>
      <c r="K321">
        <v>6</v>
      </c>
      <c r="L321" s="29">
        <v>46171</v>
      </c>
      <c r="M321" s="29">
        <v>46041</v>
      </c>
      <c r="N321" s="30" t="str">
        <f>VLOOKUP(Query1[[#This Row],[company_name]],'Org Mapping'!$B:$I,8,FALSE)</f>
        <v>DXC</v>
      </c>
      <c r="O321" s="30" t="str">
        <f>TEXT(Query1[[#This Row],[last_work_day]],"mmm'yy")</f>
        <v>May'26</v>
      </c>
    </row>
    <row r="322" spans="1:15" x14ac:dyDescent="0.35">
      <c r="A322" s="30" t="s">
        <v>1707</v>
      </c>
      <c r="B322" s="30" t="s">
        <v>186</v>
      </c>
      <c r="C322" s="30" t="s">
        <v>1708</v>
      </c>
      <c r="D322">
        <v>2</v>
      </c>
      <c r="E322" s="30" t="s">
        <v>1709</v>
      </c>
      <c r="F322" s="29">
        <v>45700</v>
      </c>
      <c r="G322">
        <v>219502.5</v>
      </c>
      <c r="H322">
        <v>52836.5</v>
      </c>
      <c r="I322" s="30" t="s">
        <v>37</v>
      </c>
      <c r="J322" s="30" t="s">
        <v>494</v>
      </c>
      <c r="K322">
        <v>6</v>
      </c>
      <c r="L322" s="29">
        <v>46030</v>
      </c>
      <c r="M322" s="29">
        <v>45915</v>
      </c>
      <c r="N322" s="30" t="str">
        <f>VLOOKUP(Query1[[#This Row],[company_name]],'Org Mapping'!$B:$I,8,FALSE)</f>
        <v>Prathap Sagar</v>
      </c>
      <c r="O322" s="30" t="str">
        <f>TEXT(Query1[[#This Row],[last_work_day]],"mmm'yy")</f>
        <v>Jan'26</v>
      </c>
    </row>
    <row r="323" spans="1:15" x14ac:dyDescent="0.35">
      <c r="A323" s="30" t="s">
        <v>1647</v>
      </c>
      <c r="B323" s="30" t="s">
        <v>39</v>
      </c>
      <c r="C323" s="30" t="s">
        <v>1710</v>
      </c>
      <c r="D323">
        <v>2</v>
      </c>
      <c r="E323" s="30" t="s">
        <v>1711</v>
      </c>
      <c r="F323" s="29">
        <v>45708</v>
      </c>
      <c r="G323">
        <v>39750</v>
      </c>
      <c r="H323">
        <v>2250</v>
      </c>
      <c r="I323" s="30" t="s">
        <v>26</v>
      </c>
      <c r="J323" s="30" t="s">
        <v>31</v>
      </c>
      <c r="K323">
        <v>6</v>
      </c>
      <c r="L323" s="29">
        <v>46111</v>
      </c>
      <c r="M323" s="29">
        <v>46080</v>
      </c>
      <c r="N323" s="30" t="str">
        <f>VLOOKUP(Query1[[#This Row],[company_name]],'Org Mapping'!$B:$I,8,FALSE)</f>
        <v>Mehr Hashim</v>
      </c>
      <c r="O323" s="30" t="str">
        <f>TEXT(Query1[[#This Row],[last_work_day]],"mmm'yy")</f>
        <v>Mar'26</v>
      </c>
    </row>
    <row r="324" spans="1:15" x14ac:dyDescent="0.35">
      <c r="A324" s="30" t="s">
        <v>1453</v>
      </c>
      <c r="B324" s="30" t="s">
        <v>39</v>
      </c>
      <c r="C324" s="30" t="s">
        <v>1712</v>
      </c>
      <c r="D324">
        <v>2</v>
      </c>
      <c r="E324" s="30" t="s">
        <v>1713</v>
      </c>
      <c r="F324" s="29">
        <v>45722</v>
      </c>
      <c r="G324">
        <v>49820</v>
      </c>
      <c r="H324">
        <v>2820</v>
      </c>
      <c r="I324" s="30" t="s">
        <v>26</v>
      </c>
      <c r="J324" s="30" t="s">
        <v>31</v>
      </c>
      <c r="K324">
        <v>6</v>
      </c>
      <c r="L324" s="29">
        <v>46175</v>
      </c>
      <c r="M324" s="29">
        <v>46146</v>
      </c>
      <c r="N324" s="30" t="str">
        <f>VLOOKUP(Query1[[#This Row],[company_name]],'Org Mapping'!$B:$I,8,FALSE)</f>
        <v>Mehr Hashim</v>
      </c>
      <c r="O324" s="30" t="str">
        <f>TEXT(Query1[[#This Row],[last_work_day]],"mmm'yy")</f>
        <v>Jun'26</v>
      </c>
    </row>
    <row r="325" spans="1:15" x14ac:dyDescent="0.35">
      <c r="A325" s="30" t="s">
        <v>1534</v>
      </c>
      <c r="B325" s="30" t="s">
        <v>1535</v>
      </c>
      <c r="C325" s="30" t="s">
        <v>1714</v>
      </c>
      <c r="D325">
        <v>2</v>
      </c>
      <c r="E325" s="30" t="s">
        <v>1715</v>
      </c>
      <c r="F325" s="29">
        <v>45702</v>
      </c>
      <c r="G325">
        <v>41300</v>
      </c>
      <c r="H325">
        <v>6300</v>
      </c>
      <c r="I325" s="30" t="s">
        <v>21</v>
      </c>
      <c r="J325" s="30" t="s">
        <v>113</v>
      </c>
      <c r="K325">
        <v>6</v>
      </c>
      <c r="L325" s="29">
        <v>46050</v>
      </c>
      <c r="M325" s="29">
        <v>46063</v>
      </c>
      <c r="N325" s="30" t="str">
        <f>VLOOKUP(Query1[[#This Row],[company_name]],'Org Mapping'!$B:$I,8,FALSE)</f>
        <v>(Sonia/Dikshitha)</v>
      </c>
      <c r="O325" s="30" t="str">
        <f>TEXT(Query1[[#This Row],[last_work_day]],"mmm'yy")</f>
        <v>Jan'26</v>
      </c>
    </row>
    <row r="326" spans="1:15" x14ac:dyDescent="0.35">
      <c r="A326" s="30" t="s">
        <v>390</v>
      </c>
      <c r="B326" s="30" t="s">
        <v>65</v>
      </c>
      <c r="C326" s="30" t="s">
        <v>504</v>
      </c>
      <c r="D326">
        <v>2</v>
      </c>
      <c r="E326" s="30" t="s">
        <v>505</v>
      </c>
      <c r="F326" s="29">
        <v>45702</v>
      </c>
      <c r="G326">
        <v>29500</v>
      </c>
      <c r="H326">
        <v>4500</v>
      </c>
      <c r="I326" s="30" t="s">
        <v>37</v>
      </c>
      <c r="J326" s="30" t="s">
        <v>76</v>
      </c>
      <c r="K326">
        <v>6</v>
      </c>
      <c r="L326" s="29">
        <v>46080</v>
      </c>
      <c r="M326" s="29">
        <v>45989</v>
      </c>
      <c r="N326" s="30" t="str">
        <f>VLOOKUP(Query1[[#This Row],[company_name]],'Org Mapping'!$B:$I,8,FALSE)</f>
        <v>Jawad Ulla Khan</v>
      </c>
      <c r="O326" s="30" t="str">
        <f>TEXT(Query1[[#This Row],[last_work_day]],"mmm'yy")</f>
        <v>Feb'26</v>
      </c>
    </row>
    <row r="327" spans="1:15" x14ac:dyDescent="0.35">
      <c r="A327" s="30" t="s">
        <v>1404</v>
      </c>
      <c r="B327" s="30" t="s">
        <v>39</v>
      </c>
      <c r="C327" s="30" t="s">
        <v>1716</v>
      </c>
      <c r="D327">
        <v>2</v>
      </c>
      <c r="E327" s="30" t="s">
        <v>1717</v>
      </c>
      <c r="F327" s="29">
        <v>45702</v>
      </c>
      <c r="G327">
        <v>524000</v>
      </c>
      <c r="H327">
        <v>240667</v>
      </c>
      <c r="I327" s="30" t="s">
        <v>91</v>
      </c>
      <c r="J327" s="30" t="s">
        <v>495</v>
      </c>
      <c r="K327">
        <v>6</v>
      </c>
      <c r="L327" s="29">
        <v>46058</v>
      </c>
      <c r="M327" s="29">
        <v>46027</v>
      </c>
      <c r="N327" s="30" t="str">
        <f>VLOOKUP(Query1[[#This Row],[company_name]],'Org Mapping'!$B:$I,8,FALSE)</f>
        <v>Mehr Hashim</v>
      </c>
      <c r="O327" s="30" t="str">
        <f>TEXT(Query1[[#This Row],[last_work_day]],"mmm'yy")</f>
        <v>Feb'26</v>
      </c>
    </row>
    <row r="328" spans="1:15" x14ac:dyDescent="0.35">
      <c r="A328" s="30" t="s">
        <v>1622</v>
      </c>
      <c r="B328" s="30" t="s">
        <v>1544</v>
      </c>
      <c r="C328" s="30" t="s">
        <v>1718</v>
      </c>
      <c r="D328">
        <v>2</v>
      </c>
      <c r="E328" s="30" t="s">
        <v>1719</v>
      </c>
      <c r="F328" s="29">
        <v>45712</v>
      </c>
      <c r="G328">
        <v>332062</v>
      </c>
      <c r="H328">
        <v>98729</v>
      </c>
      <c r="I328" s="30" t="s">
        <v>37</v>
      </c>
      <c r="J328" s="30" t="s">
        <v>494</v>
      </c>
      <c r="K328">
        <v>6</v>
      </c>
      <c r="L328" s="29">
        <v>46113</v>
      </c>
      <c r="M328" s="29">
        <v>46072</v>
      </c>
      <c r="N328" s="30" t="str">
        <f>VLOOKUP(Query1[[#This Row],[company_name]],'Org Mapping'!$B:$I,8,FALSE)</f>
        <v>Prathap Sagar</v>
      </c>
      <c r="O328" s="30" t="str">
        <f>TEXT(Query1[[#This Row],[last_work_day]],"mmm'yy")</f>
        <v>Apr'26</v>
      </c>
    </row>
    <row r="329" spans="1:15" x14ac:dyDescent="0.35">
      <c r="A329" s="30" t="s">
        <v>1686</v>
      </c>
      <c r="B329" s="30" t="s">
        <v>1544</v>
      </c>
      <c r="C329" s="30" t="s">
        <v>1720</v>
      </c>
      <c r="D329">
        <v>7</v>
      </c>
      <c r="E329" s="30" t="s">
        <v>1721</v>
      </c>
      <c r="F329" s="29">
        <v>45717</v>
      </c>
      <c r="G329">
        <v>94750.15</v>
      </c>
      <c r="H329">
        <v>4080.15</v>
      </c>
      <c r="I329" s="30" t="s">
        <v>26</v>
      </c>
      <c r="J329" s="30" t="s">
        <v>28</v>
      </c>
      <c r="K329">
        <v>6</v>
      </c>
      <c r="L329" s="29">
        <v>46173</v>
      </c>
      <c r="M329" s="29">
        <v>46049</v>
      </c>
      <c r="N329" s="30" t="str">
        <f>VLOOKUP(Query1[[#This Row],[company_name]],'Org Mapping'!$B:$I,8,FALSE)</f>
        <v>TBA</v>
      </c>
      <c r="O329" s="30" t="str">
        <f>TEXT(Query1[[#This Row],[last_work_day]],"mmm'yy")</f>
        <v>May'26</v>
      </c>
    </row>
    <row r="330" spans="1:15" x14ac:dyDescent="0.35">
      <c r="A330" s="30" t="s">
        <v>1595</v>
      </c>
      <c r="B330" s="30" t="s">
        <v>117</v>
      </c>
      <c r="C330" s="30" t="s">
        <v>1722</v>
      </c>
      <c r="D330">
        <v>1</v>
      </c>
      <c r="E330" s="30" t="s">
        <v>1723</v>
      </c>
      <c r="F330" s="29">
        <v>45713</v>
      </c>
      <c r="G330">
        <v>65024.63</v>
      </c>
      <c r="H330">
        <v>5024.63</v>
      </c>
      <c r="I330" s="30" t="s">
        <v>21</v>
      </c>
      <c r="J330" s="30" t="s">
        <v>118</v>
      </c>
      <c r="K330">
        <v>6</v>
      </c>
      <c r="L330" s="29">
        <v>46069</v>
      </c>
      <c r="M330" s="29">
        <v>45979</v>
      </c>
      <c r="N330" s="30" t="str">
        <f>VLOOKUP(Query1[[#This Row],[company_name]],'Org Mapping'!$B:$I,8,FALSE)</f>
        <v>DXC</v>
      </c>
      <c r="O330" s="30" t="str">
        <f>TEXT(Query1[[#This Row],[last_work_day]],"mmm'yy")</f>
        <v>Feb'26</v>
      </c>
    </row>
    <row r="331" spans="1:15" x14ac:dyDescent="0.35">
      <c r="A331" s="30" t="s">
        <v>330</v>
      </c>
      <c r="B331" s="30" t="s">
        <v>65</v>
      </c>
      <c r="C331" s="30" t="s">
        <v>506</v>
      </c>
      <c r="D331">
        <v>2</v>
      </c>
      <c r="E331" s="30" t="s">
        <v>507</v>
      </c>
      <c r="F331" s="29">
        <v>45715</v>
      </c>
      <c r="G331">
        <v>23684.959999999999</v>
      </c>
      <c r="H331">
        <v>4034.96</v>
      </c>
      <c r="I331" s="30" t="s">
        <v>37</v>
      </c>
      <c r="J331" s="30" t="s">
        <v>76</v>
      </c>
      <c r="K331">
        <v>6</v>
      </c>
      <c r="L331" s="29">
        <v>46087</v>
      </c>
      <c r="M331" s="29">
        <v>46062</v>
      </c>
      <c r="N331" s="30" t="str">
        <f>VLOOKUP(Query1[[#This Row],[company_name]],'Org Mapping'!$B:$I,8,FALSE)</f>
        <v>Jawad Ulla Khan</v>
      </c>
      <c r="O331" s="30" t="str">
        <f>TEXT(Query1[[#This Row],[last_work_day]],"mmm'yy")</f>
        <v>Mar'26</v>
      </c>
    </row>
    <row r="332" spans="1:15" x14ac:dyDescent="0.35">
      <c r="A332" s="30" t="s">
        <v>292</v>
      </c>
      <c r="B332" s="30" t="s">
        <v>293</v>
      </c>
      <c r="C332" s="30" t="s">
        <v>1724</v>
      </c>
      <c r="D332">
        <v>2</v>
      </c>
      <c r="E332" s="30" t="s">
        <v>1725</v>
      </c>
      <c r="F332" s="29">
        <v>45727</v>
      </c>
      <c r="G332">
        <v>243625</v>
      </c>
      <c r="H332">
        <v>18625</v>
      </c>
      <c r="I332" s="30" t="s">
        <v>16</v>
      </c>
      <c r="J332" s="30" t="s">
        <v>383</v>
      </c>
      <c r="K332">
        <v>6</v>
      </c>
      <c r="L332" s="29">
        <v>46080</v>
      </c>
      <c r="M332" s="29">
        <v>46000</v>
      </c>
      <c r="N332" s="30" t="str">
        <f>VLOOKUP(Query1[[#This Row],[company_name]],'Org Mapping'!$B:$I,8,FALSE)</f>
        <v>Deepak Desai</v>
      </c>
      <c r="O332" s="30" t="str">
        <f>TEXT(Query1[[#This Row],[last_work_day]],"mmm'yy")</f>
        <v>Feb'26</v>
      </c>
    </row>
    <row r="333" spans="1:15" x14ac:dyDescent="0.35">
      <c r="A333" s="30" t="s">
        <v>1726</v>
      </c>
      <c r="B333" s="30" t="s">
        <v>1657</v>
      </c>
      <c r="C333" s="30" t="s">
        <v>1727</v>
      </c>
      <c r="D333">
        <v>1</v>
      </c>
      <c r="E333" s="30" t="s">
        <v>1728</v>
      </c>
      <c r="F333" s="29">
        <v>45726</v>
      </c>
      <c r="G333">
        <v>43953</v>
      </c>
      <c r="H333">
        <v>6453</v>
      </c>
      <c r="I333" s="30" t="s">
        <v>26</v>
      </c>
      <c r="J333" s="30" t="s">
        <v>119</v>
      </c>
      <c r="K333">
        <v>6</v>
      </c>
      <c r="L333" s="29">
        <v>46142</v>
      </c>
      <c r="M333" s="29">
        <v>45880</v>
      </c>
      <c r="N333" s="30" t="str">
        <f>VLOOKUP(Query1[[#This Row],[company_name]],'Org Mapping'!$B:$I,8,FALSE)</f>
        <v>Anuradha</v>
      </c>
      <c r="O333" s="30" t="str">
        <f>TEXT(Query1[[#This Row],[last_work_day]],"mmm'yy")</f>
        <v>Apr'26</v>
      </c>
    </row>
    <row r="334" spans="1:15" x14ac:dyDescent="0.35">
      <c r="A334" s="30" t="s">
        <v>468</v>
      </c>
      <c r="B334" s="30" t="s">
        <v>65</v>
      </c>
      <c r="C334" s="30" t="s">
        <v>508</v>
      </c>
      <c r="D334">
        <v>2</v>
      </c>
      <c r="E334" s="30" t="s">
        <v>509</v>
      </c>
      <c r="F334" s="29">
        <v>45713</v>
      </c>
      <c r="G334">
        <v>41300</v>
      </c>
      <c r="H334">
        <v>6300</v>
      </c>
      <c r="I334" s="30" t="s">
        <v>26</v>
      </c>
      <c r="J334" s="30" t="s">
        <v>90</v>
      </c>
      <c r="K334">
        <v>6</v>
      </c>
      <c r="L334" s="29">
        <v>46114</v>
      </c>
      <c r="M334" s="29">
        <v>46062</v>
      </c>
      <c r="N334" s="30" t="str">
        <f>VLOOKUP(Query1[[#This Row],[company_name]],'Org Mapping'!$B:$I,8,FALSE)</f>
        <v>Jawad Ulla Khan</v>
      </c>
      <c r="O334" s="30" t="str">
        <f>TEXT(Query1[[#This Row],[last_work_day]],"mmm'yy")</f>
        <v>Apr'26</v>
      </c>
    </row>
    <row r="335" spans="1:15" x14ac:dyDescent="0.35">
      <c r="A335" s="30" t="s">
        <v>1647</v>
      </c>
      <c r="B335" s="30" t="s">
        <v>39</v>
      </c>
      <c r="C335" s="30" t="s">
        <v>1729</v>
      </c>
      <c r="D335">
        <v>2</v>
      </c>
      <c r="E335" s="30" t="s">
        <v>1730</v>
      </c>
      <c r="F335" s="29">
        <v>45715</v>
      </c>
      <c r="G335">
        <v>61833.33</v>
      </c>
      <c r="H335">
        <v>3500.33</v>
      </c>
      <c r="I335" s="30" t="s">
        <v>26</v>
      </c>
      <c r="J335" s="30" t="s">
        <v>31</v>
      </c>
      <c r="K335">
        <v>6</v>
      </c>
      <c r="L335" s="29">
        <v>46062</v>
      </c>
      <c r="M335" s="29">
        <v>46036</v>
      </c>
      <c r="N335" s="30" t="str">
        <f>VLOOKUP(Query1[[#This Row],[company_name]],'Org Mapping'!$B:$I,8,FALSE)</f>
        <v>Mehr Hashim</v>
      </c>
      <c r="O335" s="30" t="str">
        <f>TEXT(Query1[[#This Row],[last_work_day]],"mmm'yy")</f>
        <v>Feb'26</v>
      </c>
    </row>
    <row r="336" spans="1:15" x14ac:dyDescent="0.35">
      <c r="A336" s="30" t="s">
        <v>376</v>
      </c>
      <c r="B336" s="30" t="s">
        <v>65</v>
      </c>
      <c r="C336" s="30" t="s">
        <v>510</v>
      </c>
      <c r="D336">
        <v>2</v>
      </c>
      <c r="E336" s="30" t="s">
        <v>511</v>
      </c>
      <c r="F336" s="29">
        <v>45714</v>
      </c>
      <c r="G336">
        <v>23600</v>
      </c>
      <c r="H336">
        <v>3600</v>
      </c>
      <c r="I336" s="30" t="s">
        <v>26</v>
      </c>
      <c r="J336" s="30" t="s">
        <v>76</v>
      </c>
      <c r="K336">
        <v>6</v>
      </c>
      <c r="L336" s="29">
        <v>46059</v>
      </c>
      <c r="M336" s="29">
        <v>46028</v>
      </c>
      <c r="N336" s="30" t="str">
        <f>VLOOKUP(Query1[[#This Row],[company_name]],'Org Mapping'!$B:$I,8,FALSE)</f>
        <v>Jawad Ulla Khan</v>
      </c>
      <c r="O336" s="30" t="str">
        <f>TEXT(Query1[[#This Row],[last_work_day]],"mmm'yy")</f>
        <v>Feb'26</v>
      </c>
    </row>
    <row r="337" spans="1:15" x14ac:dyDescent="0.35">
      <c r="A337" s="30" t="s">
        <v>1731</v>
      </c>
      <c r="B337" s="30" t="s">
        <v>1494</v>
      </c>
      <c r="C337" s="30" t="s">
        <v>1732</v>
      </c>
      <c r="D337">
        <v>2</v>
      </c>
      <c r="E337" s="30" t="s">
        <v>1733</v>
      </c>
      <c r="F337" s="29">
        <v>45726</v>
      </c>
      <c r="G337">
        <v>242634</v>
      </c>
      <c r="H337">
        <v>59301</v>
      </c>
      <c r="I337" s="30" t="s">
        <v>16</v>
      </c>
      <c r="J337" s="30" t="s">
        <v>326</v>
      </c>
      <c r="K337">
        <v>6</v>
      </c>
      <c r="L337" s="29">
        <v>46173</v>
      </c>
      <c r="M337" s="29">
        <v>45953</v>
      </c>
      <c r="N337" s="30" t="str">
        <f>VLOOKUP(Query1[[#This Row],[company_name]],'Org Mapping'!$B:$I,8,FALSE)</f>
        <v>Deepak Desai</v>
      </c>
      <c r="O337" s="30" t="str">
        <f>TEXT(Query1[[#This Row],[last_work_day]],"mmm'yy")</f>
        <v>May'26</v>
      </c>
    </row>
    <row r="338" spans="1:15" x14ac:dyDescent="0.35">
      <c r="A338" s="30" t="s">
        <v>376</v>
      </c>
      <c r="B338" s="30" t="s">
        <v>65</v>
      </c>
      <c r="C338" s="30" t="s">
        <v>512</v>
      </c>
      <c r="D338">
        <v>2</v>
      </c>
      <c r="E338" s="30" t="s">
        <v>513</v>
      </c>
      <c r="F338" s="29">
        <v>45714</v>
      </c>
      <c r="G338">
        <v>23684.959999999999</v>
      </c>
      <c r="H338">
        <v>4034.96</v>
      </c>
      <c r="I338" s="30" t="s">
        <v>26</v>
      </c>
      <c r="J338" s="30" t="s">
        <v>76</v>
      </c>
      <c r="K338">
        <v>6</v>
      </c>
      <c r="L338" s="29">
        <v>46147</v>
      </c>
      <c r="M338" s="29">
        <v>46133</v>
      </c>
      <c r="N338" s="30" t="str">
        <f>VLOOKUP(Query1[[#This Row],[company_name]],'Org Mapping'!$B:$I,8,FALSE)</f>
        <v>Jawad Ulla Khan</v>
      </c>
      <c r="O338" s="30" t="str">
        <f>TEXT(Query1[[#This Row],[last_work_day]],"mmm'yy")</f>
        <v>May'26</v>
      </c>
    </row>
    <row r="339" spans="1:15" x14ac:dyDescent="0.35">
      <c r="A339" s="30" t="s">
        <v>371</v>
      </c>
      <c r="B339" s="30" t="s">
        <v>65</v>
      </c>
      <c r="C339" s="30" t="s">
        <v>514</v>
      </c>
      <c r="D339">
        <v>2</v>
      </c>
      <c r="E339" s="30" t="s">
        <v>515</v>
      </c>
      <c r="F339" s="29">
        <v>45714</v>
      </c>
      <c r="G339">
        <v>29500</v>
      </c>
      <c r="H339">
        <v>4500</v>
      </c>
      <c r="I339" s="30" t="s">
        <v>26</v>
      </c>
      <c r="J339" s="30" t="s">
        <v>76</v>
      </c>
      <c r="K339">
        <v>6</v>
      </c>
      <c r="L339" s="29">
        <v>46129</v>
      </c>
      <c r="M339" s="29">
        <v>46113</v>
      </c>
      <c r="N339" s="30" t="str">
        <f>VLOOKUP(Query1[[#This Row],[company_name]],'Org Mapping'!$B:$I,8,FALSE)</f>
        <v>Jawad Ulla Khan</v>
      </c>
      <c r="O339" s="30" t="str">
        <f>TEXT(Query1[[#This Row],[last_work_day]],"mmm'yy")</f>
        <v>Apr'26</v>
      </c>
    </row>
    <row r="340" spans="1:15" x14ac:dyDescent="0.35">
      <c r="A340" s="30" t="s">
        <v>1734</v>
      </c>
      <c r="B340" s="30" t="s">
        <v>1628</v>
      </c>
      <c r="C340" s="30" t="s">
        <v>1735</v>
      </c>
      <c r="D340">
        <v>2</v>
      </c>
      <c r="E340" s="30" t="s">
        <v>1736</v>
      </c>
      <c r="F340" s="29">
        <v>45719</v>
      </c>
      <c r="G340">
        <v>144000</v>
      </c>
      <c r="H340">
        <v>60667</v>
      </c>
      <c r="I340" s="30" t="s">
        <v>26</v>
      </c>
      <c r="J340" s="30" t="s">
        <v>139</v>
      </c>
      <c r="K340">
        <v>6</v>
      </c>
      <c r="L340" s="29">
        <v>46171</v>
      </c>
      <c r="M340" s="29">
        <v>46111</v>
      </c>
      <c r="N340" s="30" t="str">
        <f>VLOOKUP(Query1[[#This Row],[company_name]],'Org Mapping'!$B:$I,8,FALSE)</f>
        <v>Sadhna Shukla</v>
      </c>
      <c r="O340" s="30" t="str">
        <f>TEXT(Query1[[#This Row],[last_work_day]],"mmm'yy")</f>
        <v>May'26</v>
      </c>
    </row>
    <row r="341" spans="1:15" x14ac:dyDescent="0.35">
      <c r="A341" s="30" t="s">
        <v>1737</v>
      </c>
      <c r="B341" s="30" t="s">
        <v>502</v>
      </c>
      <c r="C341" s="30" t="s">
        <v>1738</v>
      </c>
      <c r="D341">
        <v>1</v>
      </c>
      <c r="E341" s="30" t="s">
        <v>1739</v>
      </c>
      <c r="F341" s="29">
        <v>45727</v>
      </c>
      <c r="G341">
        <v>355800.48</v>
      </c>
      <c r="H341">
        <v>72467.48</v>
      </c>
      <c r="I341" s="30" t="s">
        <v>26</v>
      </c>
      <c r="J341" s="30" t="s">
        <v>102</v>
      </c>
      <c r="K341">
        <v>6</v>
      </c>
      <c r="L341" s="29">
        <v>46030</v>
      </c>
      <c r="M341" s="29">
        <v>45999</v>
      </c>
      <c r="N341" s="30" t="str">
        <f>VLOOKUP(Query1[[#This Row],[company_name]],'Org Mapping'!$B:$I,8,FALSE)</f>
        <v>Mehr Hashim</v>
      </c>
      <c r="O341" s="30" t="str">
        <f>TEXT(Query1[[#This Row],[last_work_day]],"mmm'yy")</f>
        <v>Jan'26</v>
      </c>
    </row>
    <row r="342" spans="1:15" x14ac:dyDescent="0.35">
      <c r="A342" s="30" t="s">
        <v>1450</v>
      </c>
      <c r="B342" s="30" t="s">
        <v>1569</v>
      </c>
      <c r="C342" s="30" t="s">
        <v>1740</v>
      </c>
      <c r="D342">
        <v>2</v>
      </c>
      <c r="E342" s="30" t="s">
        <v>1741</v>
      </c>
      <c r="F342" s="29">
        <v>45754</v>
      </c>
      <c r="G342">
        <v>220500</v>
      </c>
      <c r="H342">
        <v>41334</v>
      </c>
      <c r="I342" s="30" t="s">
        <v>16</v>
      </c>
      <c r="J342" s="30" t="s">
        <v>48</v>
      </c>
      <c r="K342">
        <v>6</v>
      </c>
      <c r="L342" s="29">
        <v>46094</v>
      </c>
      <c r="M342" s="29">
        <v>46066</v>
      </c>
      <c r="N342" s="30" t="str">
        <f>VLOOKUP(Query1[[#This Row],[company_name]],'Org Mapping'!$B:$I,8,FALSE)</f>
        <v>Prathap Sagar</v>
      </c>
      <c r="O342" s="30" t="str">
        <f>TEXT(Query1[[#This Row],[last_work_day]],"mmm'yy")</f>
        <v>Mar'26</v>
      </c>
    </row>
    <row r="343" spans="1:15" x14ac:dyDescent="0.35">
      <c r="A343" s="30" t="s">
        <v>1634</v>
      </c>
      <c r="B343" s="30" t="s">
        <v>117</v>
      </c>
      <c r="C343" s="30" t="s">
        <v>1742</v>
      </c>
      <c r="D343">
        <v>4</v>
      </c>
      <c r="E343" s="30" t="s">
        <v>1743</v>
      </c>
      <c r="F343" s="29">
        <v>45716</v>
      </c>
      <c r="G343">
        <v>283743.84000000003</v>
      </c>
      <c r="H343">
        <v>58743.839999999997</v>
      </c>
      <c r="I343" s="30" t="s">
        <v>1279</v>
      </c>
      <c r="J343" s="30" t="s">
        <v>118</v>
      </c>
      <c r="K343">
        <v>6</v>
      </c>
      <c r="L343" s="29">
        <v>46053</v>
      </c>
      <c r="M343" s="29">
        <v>46060</v>
      </c>
      <c r="N343" s="30" t="str">
        <f>VLOOKUP(Query1[[#This Row],[company_name]],'Org Mapping'!$B:$I,8,FALSE)</f>
        <v>DXC</v>
      </c>
      <c r="O343" s="30" t="str">
        <f>TEXT(Query1[[#This Row],[last_work_day]],"mmm'yy")</f>
        <v>Jan'26</v>
      </c>
    </row>
    <row r="344" spans="1:15" x14ac:dyDescent="0.35">
      <c r="A344" s="30" t="s">
        <v>123</v>
      </c>
      <c r="B344" s="30" t="s">
        <v>43</v>
      </c>
      <c r="C344" s="30" t="s">
        <v>516</v>
      </c>
      <c r="D344">
        <v>6</v>
      </c>
      <c r="E344" s="30" t="s">
        <v>517</v>
      </c>
      <c r="F344" s="29">
        <v>45715</v>
      </c>
      <c r="G344">
        <v>53625</v>
      </c>
      <c r="H344">
        <v>7792</v>
      </c>
      <c r="I344" s="30" t="s">
        <v>26</v>
      </c>
      <c r="J344" s="30" t="s">
        <v>17</v>
      </c>
      <c r="K344">
        <v>6</v>
      </c>
      <c r="L344" s="29">
        <v>46099</v>
      </c>
      <c r="M344" s="29">
        <v>46069</v>
      </c>
      <c r="N344" s="30" t="str">
        <f>VLOOKUP(Query1[[#This Row],[company_name]],'Org Mapping'!$B:$I,8,FALSE)</f>
        <v>Jawad Ulla Khan</v>
      </c>
      <c r="O344" s="30" t="str">
        <f>TEXT(Query1[[#This Row],[last_work_day]],"mmm'yy")</f>
        <v>Mar'26</v>
      </c>
    </row>
    <row r="345" spans="1:15" x14ac:dyDescent="0.35">
      <c r="A345" s="30" t="s">
        <v>1595</v>
      </c>
      <c r="B345" s="30" t="s">
        <v>117</v>
      </c>
      <c r="C345" s="30" t="s">
        <v>1744</v>
      </c>
      <c r="D345">
        <v>4</v>
      </c>
      <c r="E345" s="30" t="s">
        <v>1745</v>
      </c>
      <c r="F345" s="29">
        <v>45719</v>
      </c>
      <c r="G345">
        <v>275862.07</v>
      </c>
      <c r="H345">
        <v>59196.07</v>
      </c>
      <c r="I345" s="30" t="s">
        <v>16</v>
      </c>
      <c r="J345" s="30" t="s">
        <v>118</v>
      </c>
      <c r="K345">
        <v>6</v>
      </c>
      <c r="L345" s="29">
        <v>46066</v>
      </c>
      <c r="M345" s="29">
        <v>45954</v>
      </c>
      <c r="N345" s="30" t="str">
        <f>VLOOKUP(Query1[[#This Row],[company_name]],'Org Mapping'!$B:$I,8,FALSE)</f>
        <v>DXC</v>
      </c>
      <c r="O345" s="30" t="str">
        <f>TEXT(Query1[[#This Row],[last_work_day]],"mmm'yy")</f>
        <v>Feb'26</v>
      </c>
    </row>
    <row r="346" spans="1:15" x14ac:dyDescent="0.35">
      <c r="A346" s="30" t="s">
        <v>330</v>
      </c>
      <c r="B346" s="30" t="s">
        <v>65</v>
      </c>
      <c r="C346" s="30" t="s">
        <v>518</v>
      </c>
      <c r="D346">
        <v>2</v>
      </c>
      <c r="E346" s="30" t="s">
        <v>519</v>
      </c>
      <c r="F346" s="29">
        <v>45720</v>
      </c>
      <c r="G346">
        <v>23684.959999999999</v>
      </c>
      <c r="H346">
        <v>4034.96</v>
      </c>
      <c r="I346" s="30" t="s">
        <v>26</v>
      </c>
      <c r="J346" s="30" t="s">
        <v>76</v>
      </c>
      <c r="K346">
        <v>6</v>
      </c>
      <c r="L346" s="29">
        <v>46129</v>
      </c>
      <c r="M346" s="29">
        <v>46097</v>
      </c>
      <c r="N346" s="30" t="str">
        <f>VLOOKUP(Query1[[#This Row],[company_name]],'Org Mapping'!$B:$I,8,FALSE)</f>
        <v>Jawad Ulla Khan</v>
      </c>
      <c r="O346" s="30" t="str">
        <f>TEXT(Query1[[#This Row],[last_work_day]],"mmm'yy")</f>
        <v>Apr'26</v>
      </c>
    </row>
    <row r="347" spans="1:15" x14ac:dyDescent="0.35">
      <c r="A347" s="30" t="s">
        <v>1726</v>
      </c>
      <c r="B347" s="30" t="s">
        <v>1657</v>
      </c>
      <c r="C347" s="30" t="s">
        <v>1746</v>
      </c>
      <c r="D347">
        <v>1</v>
      </c>
      <c r="E347" s="30" t="s">
        <v>1747</v>
      </c>
      <c r="F347" s="29">
        <v>45726</v>
      </c>
      <c r="G347">
        <v>78624</v>
      </c>
      <c r="H347">
        <v>28624</v>
      </c>
      <c r="I347" s="30" t="s">
        <v>21</v>
      </c>
      <c r="J347" s="30" t="s">
        <v>119</v>
      </c>
      <c r="K347">
        <v>6</v>
      </c>
      <c r="L347" s="29">
        <v>46148</v>
      </c>
      <c r="M347" s="29">
        <v>46064</v>
      </c>
      <c r="N347" s="30" t="str">
        <f>VLOOKUP(Query1[[#This Row],[company_name]],'Org Mapping'!$B:$I,8,FALSE)</f>
        <v>Anuradha</v>
      </c>
      <c r="O347" s="30" t="str">
        <f>TEXT(Query1[[#This Row],[last_work_day]],"mmm'yy")</f>
        <v>May'26</v>
      </c>
    </row>
    <row r="348" spans="1:15" x14ac:dyDescent="0.35">
      <c r="A348" s="30" t="s">
        <v>1613</v>
      </c>
      <c r="B348" s="30" t="s">
        <v>1562</v>
      </c>
      <c r="C348" s="30" t="s">
        <v>1748</v>
      </c>
      <c r="D348">
        <v>1</v>
      </c>
      <c r="E348" s="30" t="s">
        <v>1749</v>
      </c>
      <c r="F348" s="29">
        <v>45733</v>
      </c>
      <c r="G348">
        <v>78624</v>
      </c>
      <c r="H348">
        <v>32791</v>
      </c>
      <c r="I348" s="30" t="s">
        <v>21</v>
      </c>
      <c r="J348" s="30" t="s">
        <v>119</v>
      </c>
      <c r="K348">
        <v>6</v>
      </c>
      <c r="L348" s="29">
        <v>46148</v>
      </c>
      <c r="M348" s="29">
        <v>46064</v>
      </c>
      <c r="N348" s="30" t="str">
        <f>VLOOKUP(Query1[[#This Row],[company_name]],'Org Mapping'!$B:$I,8,FALSE)</f>
        <v>Anuradha</v>
      </c>
      <c r="O348" s="30" t="str">
        <f>TEXT(Query1[[#This Row],[last_work_day]],"mmm'yy")</f>
        <v>May'26</v>
      </c>
    </row>
    <row r="349" spans="1:15" x14ac:dyDescent="0.35">
      <c r="A349" s="30" t="s">
        <v>123</v>
      </c>
      <c r="B349" s="30" t="s">
        <v>43</v>
      </c>
      <c r="C349" s="30" t="s">
        <v>521</v>
      </c>
      <c r="D349">
        <v>6</v>
      </c>
      <c r="E349" s="30" t="s">
        <v>522</v>
      </c>
      <c r="F349" s="29">
        <v>45737</v>
      </c>
      <c r="G349">
        <v>48750</v>
      </c>
      <c r="H349">
        <v>7084</v>
      </c>
      <c r="I349" s="30" t="s">
        <v>523</v>
      </c>
      <c r="J349" s="30" t="s">
        <v>17</v>
      </c>
      <c r="K349">
        <v>6</v>
      </c>
      <c r="L349" s="29">
        <v>46098</v>
      </c>
      <c r="M349" s="29">
        <v>46104</v>
      </c>
      <c r="N349" s="30" t="str">
        <f>VLOOKUP(Query1[[#This Row],[company_name]],'Org Mapping'!$B:$I,8,FALSE)</f>
        <v>Jawad Ulla Khan</v>
      </c>
      <c r="O349" s="30" t="str">
        <f>TEXT(Query1[[#This Row],[last_work_day]],"mmm'yy")</f>
        <v>Mar'26</v>
      </c>
    </row>
    <row r="350" spans="1:15" x14ac:dyDescent="0.35">
      <c r="A350" s="30" t="s">
        <v>1588</v>
      </c>
      <c r="B350" s="30" t="s">
        <v>1657</v>
      </c>
      <c r="C350" s="30" t="s">
        <v>1750</v>
      </c>
      <c r="D350">
        <v>2</v>
      </c>
      <c r="E350" s="30" t="s">
        <v>1751</v>
      </c>
      <c r="F350" s="29">
        <v>45726</v>
      </c>
      <c r="G350">
        <v>250000</v>
      </c>
      <c r="H350">
        <v>41667</v>
      </c>
      <c r="I350" s="30" t="s">
        <v>16</v>
      </c>
      <c r="J350" s="30" t="s">
        <v>402</v>
      </c>
      <c r="K350">
        <v>6</v>
      </c>
      <c r="L350" s="29">
        <v>46083</v>
      </c>
      <c r="M350" s="29">
        <v>46051</v>
      </c>
      <c r="N350" s="30" t="str">
        <f>VLOOKUP(Query1[[#This Row],[company_name]],'Org Mapping'!$B:$I,8,FALSE)</f>
        <v>Mehr Hashim</v>
      </c>
      <c r="O350" s="30" t="str">
        <f>TEXT(Query1[[#This Row],[last_work_day]],"mmm'yy")</f>
        <v>Mar'26</v>
      </c>
    </row>
    <row r="351" spans="1:15" x14ac:dyDescent="0.35">
      <c r="A351" s="30" t="s">
        <v>1482</v>
      </c>
      <c r="B351" s="30" t="s">
        <v>39</v>
      </c>
      <c r="C351" s="30" t="s">
        <v>1752</v>
      </c>
      <c r="D351">
        <v>2</v>
      </c>
      <c r="E351" s="30" t="s">
        <v>1753</v>
      </c>
      <c r="F351" s="29">
        <v>45723</v>
      </c>
      <c r="G351">
        <v>440000</v>
      </c>
      <c r="H351">
        <v>190000</v>
      </c>
      <c r="I351" s="30" t="s">
        <v>16</v>
      </c>
      <c r="J351" s="30" t="s">
        <v>495</v>
      </c>
      <c r="K351">
        <v>6</v>
      </c>
      <c r="L351" s="29">
        <v>46031</v>
      </c>
      <c r="M351" s="29">
        <v>45995</v>
      </c>
      <c r="N351" s="30" t="str">
        <f>VLOOKUP(Query1[[#This Row],[company_name]],'Org Mapping'!$B:$I,8,FALSE)</f>
        <v>Mehr Hashim</v>
      </c>
      <c r="O351" s="30" t="str">
        <f>TEXT(Query1[[#This Row],[last_work_day]],"mmm'yy")</f>
        <v>Jan'26</v>
      </c>
    </row>
    <row r="352" spans="1:15" x14ac:dyDescent="0.35">
      <c r="A352" s="30" t="s">
        <v>1404</v>
      </c>
      <c r="B352" s="30" t="s">
        <v>39</v>
      </c>
      <c r="C352" s="30" t="s">
        <v>1754</v>
      </c>
      <c r="D352">
        <v>2</v>
      </c>
      <c r="E352" s="30" t="s">
        <v>1755</v>
      </c>
      <c r="F352" s="29">
        <v>45728</v>
      </c>
      <c r="G352">
        <v>285600</v>
      </c>
      <c r="H352">
        <v>227267</v>
      </c>
      <c r="I352" s="30" t="s">
        <v>16</v>
      </c>
      <c r="J352" s="30" t="s">
        <v>49</v>
      </c>
      <c r="K352">
        <v>6</v>
      </c>
      <c r="L352" s="29">
        <v>46142</v>
      </c>
      <c r="M352" s="29">
        <v>46129</v>
      </c>
      <c r="N352" s="30" t="str">
        <f>VLOOKUP(Query1[[#This Row],[company_name]],'Org Mapping'!$B:$I,8,FALSE)</f>
        <v>Mehr Hashim</v>
      </c>
      <c r="O352" s="30" t="str">
        <f>TEXT(Query1[[#This Row],[last_work_day]],"mmm'yy")</f>
        <v>Apr'26</v>
      </c>
    </row>
    <row r="353" spans="1:15" x14ac:dyDescent="0.35">
      <c r="A353" s="30" t="s">
        <v>75</v>
      </c>
      <c r="B353" s="30" t="s">
        <v>65</v>
      </c>
      <c r="C353" s="30" t="s">
        <v>525</v>
      </c>
      <c r="D353">
        <v>2</v>
      </c>
      <c r="E353" s="30" t="s">
        <v>526</v>
      </c>
      <c r="F353" s="29">
        <v>45729</v>
      </c>
      <c r="G353">
        <v>26531.119999999999</v>
      </c>
      <c r="H353">
        <v>4631.12</v>
      </c>
      <c r="I353" s="30" t="s">
        <v>37</v>
      </c>
      <c r="J353" s="30" t="s">
        <v>76</v>
      </c>
      <c r="K353">
        <v>6</v>
      </c>
      <c r="L353" s="29">
        <v>46112</v>
      </c>
      <c r="M353" s="29">
        <v>46062</v>
      </c>
      <c r="N353" s="30" t="str">
        <f>VLOOKUP(Query1[[#This Row],[company_name]],'Org Mapping'!$B:$I,8,FALSE)</f>
        <v>Jawad Ulla Khan</v>
      </c>
      <c r="O353" s="30" t="str">
        <f>TEXT(Query1[[#This Row],[last_work_day]],"mmm'yy")</f>
        <v>Mar'26</v>
      </c>
    </row>
    <row r="354" spans="1:15" x14ac:dyDescent="0.35">
      <c r="A354" s="30" t="s">
        <v>1518</v>
      </c>
      <c r="B354" s="30" t="s">
        <v>1756</v>
      </c>
      <c r="C354" s="30" t="s">
        <v>1757</v>
      </c>
      <c r="D354">
        <v>2</v>
      </c>
      <c r="E354" s="30" t="s">
        <v>1758</v>
      </c>
      <c r="F354" s="29">
        <v>45733</v>
      </c>
      <c r="G354">
        <v>30000</v>
      </c>
      <c r="H354">
        <v>5000</v>
      </c>
      <c r="I354" s="30" t="s">
        <v>26</v>
      </c>
      <c r="J354" s="30" t="s">
        <v>361</v>
      </c>
      <c r="K354">
        <v>6</v>
      </c>
      <c r="L354" s="29">
        <v>46155</v>
      </c>
      <c r="M354" s="29">
        <v>46127</v>
      </c>
      <c r="N354" s="30" t="str">
        <f>VLOOKUP(Query1[[#This Row],[company_name]],'Org Mapping'!$B:$I,8,FALSE)</f>
        <v>Prathap Sagar</v>
      </c>
      <c r="O354" s="30" t="str">
        <f>TEXT(Query1[[#This Row],[last_work_day]],"mmm'yy")</f>
        <v>May'26</v>
      </c>
    </row>
    <row r="355" spans="1:15" x14ac:dyDescent="0.35">
      <c r="A355" s="30" t="s">
        <v>360</v>
      </c>
      <c r="B355" s="30" t="s">
        <v>65</v>
      </c>
      <c r="C355" s="30" t="s">
        <v>528</v>
      </c>
      <c r="D355">
        <v>2</v>
      </c>
      <c r="E355" s="30" t="s">
        <v>529</v>
      </c>
      <c r="F355" s="29">
        <v>45735</v>
      </c>
      <c r="G355">
        <v>23187</v>
      </c>
      <c r="H355">
        <v>3537</v>
      </c>
      <c r="I355" s="30" t="s">
        <v>26</v>
      </c>
      <c r="J355" s="30" t="s">
        <v>76</v>
      </c>
      <c r="K355">
        <v>6</v>
      </c>
      <c r="L355" s="29">
        <v>46149</v>
      </c>
      <c r="M355" s="29">
        <v>46115</v>
      </c>
      <c r="N355" s="30" t="str">
        <f>VLOOKUP(Query1[[#This Row],[company_name]],'Org Mapping'!$B:$I,8,FALSE)</f>
        <v>Jawad Ulla Khan</v>
      </c>
      <c r="O355" s="30" t="str">
        <f>TEXT(Query1[[#This Row],[last_work_day]],"mmm'yy")</f>
        <v>May'26</v>
      </c>
    </row>
    <row r="356" spans="1:15" x14ac:dyDescent="0.35">
      <c r="A356" s="30" t="s">
        <v>39</v>
      </c>
      <c r="B356" s="30" t="s">
        <v>39</v>
      </c>
      <c r="C356" s="30" t="s">
        <v>1759</v>
      </c>
      <c r="D356">
        <v>2</v>
      </c>
      <c r="E356" s="30" t="s">
        <v>1760</v>
      </c>
      <c r="F356" s="29">
        <v>45762</v>
      </c>
      <c r="G356">
        <v>118000</v>
      </c>
      <c r="H356">
        <v>18000</v>
      </c>
      <c r="I356" s="30" t="s">
        <v>21</v>
      </c>
      <c r="J356" s="30" t="s">
        <v>207</v>
      </c>
      <c r="K356">
        <v>6</v>
      </c>
      <c r="L356" s="29">
        <v>46059</v>
      </c>
      <c r="M356" s="29">
        <v>46029</v>
      </c>
      <c r="N356" s="30" t="str">
        <f>VLOOKUP(Query1[[#This Row],[company_name]],'Org Mapping'!$B:$I,8,FALSE)</f>
        <v>Mehr Hashim</v>
      </c>
      <c r="O356" s="30" t="str">
        <f>TEXT(Query1[[#This Row],[last_work_day]],"mmm'yy")</f>
        <v>Feb'26</v>
      </c>
    </row>
    <row r="357" spans="1:15" x14ac:dyDescent="0.35">
      <c r="A357" s="30" t="s">
        <v>1634</v>
      </c>
      <c r="B357" s="30" t="s">
        <v>117</v>
      </c>
      <c r="C357" s="30" t="s">
        <v>1761</v>
      </c>
      <c r="D357">
        <v>1</v>
      </c>
      <c r="E357" s="30" t="s">
        <v>1762</v>
      </c>
      <c r="F357" s="29">
        <v>45735</v>
      </c>
      <c r="G357">
        <v>34985.22</v>
      </c>
      <c r="H357">
        <v>1485.22</v>
      </c>
      <c r="I357" s="30" t="s">
        <v>37</v>
      </c>
      <c r="J357" s="30" t="s">
        <v>118</v>
      </c>
      <c r="K357">
        <v>6</v>
      </c>
      <c r="L357" s="29">
        <v>46156</v>
      </c>
      <c r="M357" s="29">
        <v>45852</v>
      </c>
      <c r="N357" s="30" t="str">
        <f>VLOOKUP(Query1[[#This Row],[company_name]],'Org Mapping'!$B:$I,8,FALSE)</f>
        <v>DXC</v>
      </c>
      <c r="O357" s="30" t="str">
        <f>TEXT(Query1[[#This Row],[last_work_day]],"mmm'yy")</f>
        <v>May'26</v>
      </c>
    </row>
    <row r="358" spans="1:15" x14ac:dyDescent="0.35">
      <c r="A358" s="30" t="s">
        <v>390</v>
      </c>
      <c r="B358" s="30" t="s">
        <v>65</v>
      </c>
      <c r="C358" s="30" t="s">
        <v>530</v>
      </c>
      <c r="D358">
        <v>2</v>
      </c>
      <c r="E358" s="30" t="s">
        <v>531</v>
      </c>
      <c r="F358" s="29">
        <v>45736</v>
      </c>
      <c r="G358">
        <v>29500</v>
      </c>
      <c r="H358">
        <v>4500</v>
      </c>
      <c r="I358" s="30" t="s">
        <v>26</v>
      </c>
      <c r="J358" s="30" t="s">
        <v>76</v>
      </c>
      <c r="K358">
        <v>6</v>
      </c>
      <c r="L358" s="29">
        <v>46029</v>
      </c>
      <c r="M358" s="29">
        <v>46000</v>
      </c>
      <c r="N358" s="30" t="str">
        <f>VLOOKUP(Query1[[#This Row],[company_name]],'Org Mapping'!$B:$I,8,FALSE)</f>
        <v>Jawad Ulla Khan</v>
      </c>
      <c r="O358" s="30" t="str">
        <f>TEXT(Query1[[#This Row],[last_work_day]],"mmm'yy")</f>
        <v>Jan'26</v>
      </c>
    </row>
    <row r="359" spans="1:15" x14ac:dyDescent="0.35">
      <c r="A359" s="30" t="s">
        <v>1450</v>
      </c>
      <c r="B359" s="30" t="s">
        <v>1544</v>
      </c>
      <c r="C359" s="30" t="s">
        <v>1763</v>
      </c>
      <c r="D359">
        <v>2</v>
      </c>
      <c r="E359" s="30" t="s">
        <v>1764</v>
      </c>
      <c r="F359" s="29">
        <v>45737</v>
      </c>
      <c r="G359">
        <v>122220</v>
      </c>
      <c r="H359">
        <v>38887</v>
      </c>
      <c r="I359" s="30" t="s">
        <v>21</v>
      </c>
      <c r="J359" s="30" t="s">
        <v>48</v>
      </c>
      <c r="K359">
        <v>6</v>
      </c>
      <c r="L359" s="29">
        <v>46108</v>
      </c>
      <c r="M359" s="29">
        <v>46111</v>
      </c>
      <c r="N359" s="30" t="str">
        <f>VLOOKUP(Query1[[#This Row],[company_name]],'Org Mapping'!$B:$I,8,FALSE)</f>
        <v>Prathap Sagar</v>
      </c>
      <c r="O359" s="30" t="str">
        <f>TEXT(Query1[[#This Row],[last_work_day]],"mmm'yy")</f>
        <v>Mar'26</v>
      </c>
    </row>
    <row r="360" spans="1:15" x14ac:dyDescent="0.35">
      <c r="A360" s="30" t="s">
        <v>309</v>
      </c>
      <c r="B360" s="30" t="s">
        <v>43</v>
      </c>
      <c r="C360" s="30" t="s">
        <v>533</v>
      </c>
      <c r="D360">
        <v>6</v>
      </c>
      <c r="E360" s="30" t="s">
        <v>534</v>
      </c>
      <c r="F360" s="29">
        <v>45764</v>
      </c>
      <c r="G360">
        <v>43875</v>
      </c>
      <c r="H360">
        <v>6375</v>
      </c>
      <c r="I360" s="30" t="s">
        <v>26</v>
      </c>
      <c r="J360" s="30" t="s">
        <v>17</v>
      </c>
      <c r="K360">
        <v>6</v>
      </c>
      <c r="L360" s="29">
        <v>46107</v>
      </c>
      <c r="M360" s="29">
        <v>46099</v>
      </c>
      <c r="N360" s="30" t="str">
        <f>VLOOKUP(Query1[[#This Row],[company_name]],'Org Mapping'!$B:$I,8,FALSE)</f>
        <v>Jawad Ulla Khan</v>
      </c>
      <c r="O360" s="30" t="str">
        <f>TEXT(Query1[[#This Row],[last_work_day]],"mmm'yy")</f>
        <v>Mar'26</v>
      </c>
    </row>
    <row r="361" spans="1:15" x14ac:dyDescent="0.35">
      <c r="A361" s="30" t="s">
        <v>309</v>
      </c>
      <c r="B361" s="30" t="s">
        <v>43</v>
      </c>
      <c r="C361" s="30" t="s">
        <v>535</v>
      </c>
      <c r="D361">
        <v>6</v>
      </c>
      <c r="E361" s="30" t="s">
        <v>536</v>
      </c>
      <c r="F361" s="29">
        <v>45737</v>
      </c>
      <c r="G361">
        <v>47385</v>
      </c>
      <c r="H361">
        <v>6885</v>
      </c>
      <c r="I361" s="30" t="s">
        <v>26</v>
      </c>
      <c r="J361" s="30" t="s">
        <v>17</v>
      </c>
      <c r="K361">
        <v>6</v>
      </c>
      <c r="L361" s="29">
        <v>46170</v>
      </c>
      <c r="M361" s="29">
        <v>46142</v>
      </c>
      <c r="N361" s="30" t="str">
        <f>VLOOKUP(Query1[[#This Row],[company_name]],'Org Mapping'!$B:$I,8,FALSE)</f>
        <v>Jawad Ulla Khan</v>
      </c>
      <c r="O361" s="30" t="str">
        <f>TEXT(Query1[[#This Row],[last_work_day]],"mmm'yy")</f>
        <v>May'26</v>
      </c>
    </row>
    <row r="362" spans="1:15" x14ac:dyDescent="0.35">
      <c r="A362" s="30" t="s">
        <v>1565</v>
      </c>
      <c r="B362" s="30" t="s">
        <v>117</v>
      </c>
      <c r="C362" s="30" t="s">
        <v>1765</v>
      </c>
      <c r="D362">
        <v>4</v>
      </c>
      <c r="E362" s="30" t="s">
        <v>1766</v>
      </c>
      <c r="F362" s="29">
        <v>45740</v>
      </c>
      <c r="G362">
        <v>224250</v>
      </c>
      <c r="H362">
        <v>19250</v>
      </c>
      <c r="I362" s="30" t="s">
        <v>26</v>
      </c>
      <c r="J362" s="30" t="s">
        <v>118</v>
      </c>
      <c r="K362">
        <v>6</v>
      </c>
      <c r="L362" s="29">
        <v>46142</v>
      </c>
      <c r="M362" s="29">
        <v>45978</v>
      </c>
      <c r="N362" s="30" t="str">
        <f>VLOOKUP(Query1[[#This Row],[company_name]],'Org Mapping'!$B:$I,8,FALSE)</f>
        <v>DXC</v>
      </c>
      <c r="O362" s="30" t="str">
        <f>TEXT(Query1[[#This Row],[last_work_day]],"mmm'yy")</f>
        <v>Apr'26</v>
      </c>
    </row>
    <row r="363" spans="1:15" x14ac:dyDescent="0.35">
      <c r="A363" s="30" t="s">
        <v>39</v>
      </c>
      <c r="B363" s="30" t="s">
        <v>39</v>
      </c>
      <c r="C363" s="30" t="s">
        <v>1767</v>
      </c>
      <c r="D363">
        <v>2</v>
      </c>
      <c r="E363" s="30" t="s">
        <v>1768</v>
      </c>
      <c r="F363" s="29">
        <v>45740</v>
      </c>
      <c r="G363">
        <v>75966.67</v>
      </c>
      <c r="H363">
        <v>4300.67</v>
      </c>
      <c r="I363" s="30" t="s">
        <v>16</v>
      </c>
      <c r="J363" s="30" t="s">
        <v>31</v>
      </c>
      <c r="K363">
        <v>6</v>
      </c>
      <c r="L363" s="29">
        <v>46112</v>
      </c>
      <c r="M363" s="29">
        <v>46059</v>
      </c>
      <c r="N363" s="30" t="str">
        <f>VLOOKUP(Query1[[#This Row],[company_name]],'Org Mapping'!$B:$I,8,FALSE)</f>
        <v>Mehr Hashim</v>
      </c>
      <c r="O363" s="30" t="str">
        <f>TEXT(Query1[[#This Row],[last_work_day]],"mmm'yy")</f>
        <v>Mar'26</v>
      </c>
    </row>
    <row r="364" spans="1:15" x14ac:dyDescent="0.35">
      <c r="A364" s="30" t="s">
        <v>1500</v>
      </c>
      <c r="B364" s="30" t="s">
        <v>39</v>
      </c>
      <c r="C364" s="30" t="s">
        <v>1769</v>
      </c>
      <c r="D364">
        <v>2</v>
      </c>
      <c r="E364" s="30" t="s">
        <v>1770</v>
      </c>
      <c r="F364" s="29">
        <v>45740</v>
      </c>
      <c r="G364">
        <v>39750</v>
      </c>
      <c r="H364">
        <v>2250</v>
      </c>
      <c r="I364" s="30" t="s">
        <v>16</v>
      </c>
      <c r="J364" s="30" t="s">
        <v>31</v>
      </c>
      <c r="K364">
        <v>6</v>
      </c>
      <c r="L364" s="29">
        <v>46064</v>
      </c>
      <c r="M364" s="29">
        <v>46035</v>
      </c>
      <c r="N364" s="30" t="str">
        <f>VLOOKUP(Query1[[#This Row],[company_name]],'Org Mapping'!$B:$I,8,FALSE)</f>
        <v>Mehr Hashim</v>
      </c>
      <c r="O364" s="30" t="str">
        <f>TEXT(Query1[[#This Row],[last_work_day]],"mmm'yy")</f>
        <v>Feb'26</v>
      </c>
    </row>
    <row r="365" spans="1:15" x14ac:dyDescent="0.35">
      <c r="A365" s="30" t="s">
        <v>1523</v>
      </c>
      <c r="B365" s="30" t="s">
        <v>1562</v>
      </c>
      <c r="C365" s="30" t="s">
        <v>1771</v>
      </c>
      <c r="D365">
        <v>4</v>
      </c>
      <c r="E365" s="30" t="s">
        <v>1772</v>
      </c>
      <c r="F365" s="29">
        <v>45740</v>
      </c>
      <c r="G365">
        <v>353333.3</v>
      </c>
      <c r="H365">
        <v>20000.3</v>
      </c>
      <c r="I365" s="30" t="s">
        <v>16</v>
      </c>
      <c r="J365" s="30" t="s">
        <v>99</v>
      </c>
      <c r="K365">
        <v>6</v>
      </c>
      <c r="L365" s="29">
        <v>46171</v>
      </c>
      <c r="M365" s="29">
        <v>46076</v>
      </c>
      <c r="N365" s="30" t="str">
        <f>VLOOKUP(Query1[[#This Row],[company_name]],'Org Mapping'!$B:$I,8,FALSE)</f>
        <v>TBA</v>
      </c>
      <c r="O365" s="30" t="str">
        <f>TEXT(Query1[[#This Row],[last_work_day]],"mmm'yy")</f>
        <v>May'26</v>
      </c>
    </row>
    <row r="366" spans="1:15" x14ac:dyDescent="0.35">
      <c r="A366" s="30" t="s">
        <v>1731</v>
      </c>
      <c r="B366" s="30" t="s">
        <v>1494</v>
      </c>
      <c r="C366" s="30" t="s">
        <v>1773</v>
      </c>
      <c r="D366">
        <v>2</v>
      </c>
      <c r="E366" s="30" t="s">
        <v>1774</v>
      </c>
      <c r="F366" s="29">
        <v>45737</v>
      </c>
      <c r="G366">
        <v>165900</v>
      </c>
      <c r="H366">
        <v>86734</v>
      </c>
      <c r="I366" s="30" t="s">
        <v>16</v>
      </c>
      <c r="J366" s="30" t="s">
        <v>326</v>
      </c>
      <c r="K366">
        <v>6</v>
      </c>
      <c r="L366" s="29">
        <v>46024</v>
      </c>
      <c r="M366" s="29">
        <v>45988</v>
      </c>
      <c r="N366" s="30" t="str">
        <f>VLOOKUP(Query1[[#This Row],[company_name]],'Org Mapping'!$B:$I,8,FALSE)</f>
        <v>Deepak Desai</v>
      </c>
      <c r="O366" s="30" t="str">
        <f>TEXT(Query1[[#This Row],[last_work_day]],"mmm'yy")</f>
        <v>Jan'26</v>
      </c>
    </row>
    <row r="367" spans="1:15" x14ac:dyDescent="0.35">
      <c r="A367" s="30" t="s">
        <v>1775</v>
      </c>
      <c r="B367" s="30" t="s">
        <v>1544</v>
      </c>
      <c r="C367" s="30" t="s">
        <v>1776</v>
      </c>
      <c r="D367">
        <v>2</v>
      </c>
      <c r="E367" s="30" t="s">
        <v>1777</v>
      </c>
      <c r="F367" s="29">
        <v>45762</v>
      </c>
      <c r="G367">
        <v>192000</v>
      </c>
      <c r="H367">
        <v>58667</v>
      </c>
      <c r="I367" s="30" t="s">
        <v>21</v>
      </c>
      <c r="J367" s="30" t="s">
        <v>494</v>
      </c>
      <c r="K367">
        <v>6</v>
      </c>
      <c r="L367" s="29">
        <v>46038</v>
      </c>
      <c r="M367" s="29">
        <v>46035</v>
      </c>
      <c r="N367" s="30" t="str">
        <f>VLOOKUP(Query1[[#This Row],[company_name]],'Org Mapping'!$B:$I,8,FALSE)</f>
        <v>Prathap Sagar</v>
      </c>
      <c r="O367" s="30" t="str">
        <f>TEXT(Query1[[#This Row],[last_work_day]],"mmm'yy")</f>
        <v>Jan'26</v>
      </c>
    </row>
    <row r="368" spans="1:15" x14ac:dyDescent="0.35">
      <c r="A368" s="30" t="s">
        <v>279</v>
      </c>
      <c r="B368" s="30" t="s">
        <v>43</v>
      </c>
      <c r="C368" s="30" t="s">
        <v>1778</v>
      </c>
      <c r="D368">
        <v>2</v>
      </c>
      <c r="E368" s="30" t="s">
        <v>1779</v>
      </c>
      <c r="F368" s="29">
        <v>45740</v>
      </c>
      <c r="G368">
        <v>37090</v>
      </c>
      <c r="H368">
        <v>9590</v>
      </c>
      <c r="I368" s="30" t="s">
        <v>26</v>
      </c>
      <c r="J368" s="30" t="s">
        <v>537</v>
      </c>
      <c r="K368">
        <v>6</v>
      </c>
      <c r="L368" s="29">
        <v>46060</v>
      </c>
      <c r="M368" s="29">
        <v>46039</v>
      </c>
      <c r="N368" s="30" t="str">
        <f>VLOOKUP(Query1[[#This Row],[company_name]],'Org Mapping'!$B:$I,8,FALSE)</f>
        <v>UHG/Lenovo</v>
      </c>
      <c r="O368" s="30" t="str">
        <f>TEXT(Query1[[#This Row],[last_work_day]],"mmm'yy")</f>
        <v>Feb'26</v>
      </c>
    </row>
    <row r="369" spans="1:15" x14ac:dyDescent="0.35">
      <c r="A369" s="30" t="s">
        <v>481</v>
      </c>
      <c r="B369" s="30" t="s">
        <v>65</v>
      </c>
      <c r="C369" s="30" t="s">
        <v>1780</v>
      </c>
      <c r="D369">
        <v>2</v>
      </c>
      <c r="E369" s="30" t="s">
        <v>1781</v>
      </c>
      <c r="F369" s="29">
        <v>45740</v>
      </c>
      <c r="G369">
        <v>37090</v>
      </c>
      <c r="H369">
        <v>9590</v>
      </c>
      <c r="I369" s="30" t="s">
        <v>26</v>
      </c>
      <c r="J369" s="30" t="s">
        <v>537</v>
      </c>
      <c r="K369">
        <v>6</v>
      </c>
      <c r="L369" s="29">
        <v>46108</v>
      </c>
      <c r="M369" s="29">
        <v>46094</v>
      </c>
      <c r="N369" s="30" t="str">
        <f>VLOOKUP(Query1[[#This Row],[company_name]],'Org Mapping'!$B:$I,8,FALSE)</f>
        <v>UHG/Lenovo</v>
      </c>
      <c r="O369" s="30" t="str">
        <f>TEXT(Query1[[#This Row],[last_work_day]],"mmm'yy")</f>
        <v>Mar'26</v>
      </c>
    </row>
    <row r="370" spans="1:15" x14ac:dyDescent="0.35">
      <c r="A370" s="30" t="s">
        <v>401</v>
      </c>
      <c r="B370" s="30" t="s">
        <v>65</v>
      </c>
      <c r="C370" s="30" t="s">
        <v>1782</v>
      </c>
      <c r="D370">
        <v>2</v>
      </c>
      <c r="E370" s="30" t="s">
        <v>1783</v>
      </c>
      <c r="F370" s="29">
        <v>45740</v>
      </c>
      <c r="G370">
        <v>37090</v>
      </c>
      <c r="H370">
        <v>9590</v>
      </c>
      <c r="I370" s="30" t="s">
        <v>26</v>
      </c>
      <c r="J370" s="30" t="s">
        <v>537</v>
      </c>
      <c r="K370">
        <v>6</v>
      </c>
      <c r="L370" s="29">
        <v>46135</v>
      </c>
      <c r="M370" s="29">
        <v>46161</v>
      </c>
      <c r="N370" s="30" t="str">
        <f>VLOOKUP(Query1[[#This Row],[company_name]],'Org Mapping'!$B:$I,8,FALSE)</f>
        <v>UHG/Lenovo</v>
      </c>
      <c r="O370" s="30" t="str">
        <f>TEXT(Query1[[#This Row],[last_work_day]],"mmm'yy")</f>
        <v>Apr'26</v>
      </c>
    </row>
    <row r="371" spans="1:15" x14ac:dyDescent="0.35">
      <c r="A371" s="30" t="s">
        <v>360</v>
      </c>
      <c r="B371" s="30" t="s">
        <v>65</v>
      </c>
      <c r="C371" s="30" t="s">
        <v>1784</v>
      </c>
      <c r="D371">
        <v>2</v>
      </c>
      <c r="E371" s="30" t="s">
        <v>1785</v>
      </c>
      <c r="F371" s="29">
        <v>45740</v>
      </c>
      <c r="G371">
        <v>37090</v>
      </c>
      <c r="H371">
        <v>9590</v>
      </c>
      <c r="I371" s="30" t="s">
        <v>26</v>
      </c>
      <c r="J371" s="30" t="s">
        <v>537</v>
      </c>
      <c r="K371">
        <v>6</v>
      </c>
      <c r="L371" s="29">
        <v>46090</v>
      </c>
      <c r="M371" s="29">
        <v>46039</v>
      </c>
      <c r="N371" s="30" t="str">
        <f>VLOOKUP(Query1[[#This Row],[company_name]],'Org Mapping'!$B:$I,8,FALSE)</f>
        <v>UHG/Lenovo</v>
      </c>
      <c r="O371" s="30" t="str">
        <f>TEXT(Query1[[#This Row],[last_work_day]],"mmm'yy")</f>
        <v>Mar'26</v>
      </c>
    </row>
    <row r="372" spans="1:15" x14ac:dyDescent="0.35">
      <c r="A372" s="30" t="s">
        <v>468</v>
      </c>
      <c r="B372" s="30" t="s">
        <v>65</v>
      </c>
      <c r="C372" s="30" t="s">
        <v>1786</v>
      </c>
      <c r="D372">
        <v>2</v>
      </c>
      <c r="E372" s="30" t="s">
        <v>1787</v>
      </c>
      <c r="F372" s="29">
        <v>45740</v>
      </c>
      <c r="G372">
        <v>37090</v>
      </c>
      <c r="H372">
        <v>9590</v>
      </c>
      <c r="I372" s="30" t="s">
        <v>91</v>
      </c>
      <c r="J372" s="30" t="s">
        <v>537</v>
      </c>
      <c r="K372">
        <v>6</v>
      </c>
      <c r="L372" s="29">
        <v>46057</v>
      </c>
      <c r="M372" s="29">
        <v>46038</v>
      </c>
      <c r="N372" s="30" t="str">
        <f>VLOOKUP(Query1[[#This Row],[company_name]],'Org Mapping'!$B:$I,8,FALSE)</f>
        <v>UHG/Lenovo</v>
      </c>
      <c r="O372" s="30" t="str">
        <f>TEXT(Query1[[#This Row],[last_work_day]],"mmm'yy")</f>
        <v>Feb'26</v>
      </c>
    </row>
    <row r="373" spans="1:15" x14ac:dyDescent="0.35">
      <c r="A373" s="30" t="s">
        <v>360</v>
      </c>
      <c r="B373" s="30" t="s">
        <v>65</v>
      </c>
      <c r="C373" s="30" t="s">
        <v>538</v>
      </c>
      <c r="D373">
        <v>2</v>
      </c>
      <c r="E373" s="30" t="s">
        <v>539</v>
      </c>
      <c r="F373" s="29">
        <v>45743</v>
      </c>
      <c r="G373">
        <v>23684.959999999999</v>
      </c>
      <c r="H373">
        <v>4034.96</v>
      </c>
      <c r="I373" s="30" t="s">
        <v>26</v>
      </c>
      <c r="J373" s="30" t="s">
        <v>76</v>
      </c>
      <c r="K373">
        <v>6</v>
      </c>
      <c r="L373" s="29">
        <v>46111</v>
      </c>
      <c r="M373" s="29">
        <v>46111</v>
      </c>
      <c r="N373" s="30" t="str">
        <f>VLOOKUP(Query1[[#This Row],[company_name]],'Org Mapping'!$B:$I,8,FALSE)</f>
        <v>Jawad Ulla Khan</v>
      </c>
      <c r="O373" s="30" t="str">
        <f>TEXT(Query1[[#This Row],[last_work_day]],"mmm'yy")</f>
        <v>Mar'26</v>
      </c>
    </row>
    <row r="374" spans="1:15" x14ac:dyDescent="0.35">
      <c r="A374" s="30" t="s">
        <v>1788</v>
      </c>
      <c r="B374" s="30" t="s">
        <v>1789</v>
      </c>
      <c r="C374" s="30" t="s">
        <v>1790</v>
      </c>
      <c r="D374">
        <v>1</v>
      </c>
      <c r="E374" s="30" t="s">
        <v>1791</v>
      </c>
      <c r="F374" s="29">
        <v>45754</v>
      </c>
      <c r="G374">
        <v>78624</v>
      </c>
      <c r="H374">
        <v>16124</v>
      </c>
      <c r="I374" s="30" t="s">
        <v>26</v>
      </c>
      <c r="J374" s="30" t="s">
        <v>119</v>
      </c>
      <c r="K374">
        <v>6</v>
      </c>
      <c r="L374" s="29">
        <v>46150</v>
      </c>
      <c r="M374" s="29">
        <v>46090</v>
      </c>
      <c r="N374" s="30" t="str">
        <f>VLOOKUP(Query1[[#This Row],[company_name]],'Org Mapping'!$B:$I,8,FALSE)</f>
        <v>Anuradha</v>
      </c>
      <c r="O374" s="30" t="str">
        <f>TEXT(Query1[[#This Row],[last_work_day]],"mmm'yy")</f>
        <v>May'26</v>
      </c>
    </row>
    <row r="375" spans="1:15" x14ac:dyDescent="0.35">
      <c r="A375" s="30" t="s">
        <v>1500</v>
      </c>
      <c r="B375" s="30" t="s">
        <v>39</v>
      </c>
      <c r="C375" s="30" t="s">
        <v>1792</v>
      </c>
      <c r="D375">
        <v>2</v>
      </c>
      <c r="E375" s="30" t="s">
        <v>1793</v>
      </c>
      <c r="F375" s="29">
        <v>45748</v>
      </c>
      <c r="G375">
        <v>39750</v>
      </c>
      <c r="H375">
        <v>2250</v>
      </c>
      <c r="I375" s="30" t="s">
        <v>16</v>
      </c>
      <c r="J375" s="30" t="s">
        <v>31</v>
      </c>
      <c r="K375">
        <v>6</v>
      </c>
      <c r="L375" s="29">
        <v>46073</v>
      </c>
      <c r="M375" s="29">
        <v>46074</v>
      </c>
      <c r="N375" s="30" t="str">
        <f>VLOOKUP(Query1[[#This Row],[company_name]],'Org Mapping'!$B:$I,8,FALSE)</f>
        <v>Mehr Hashim</v>
      </c>
      <c r="O375" s="30" t="str">
        <f>TEXT(Query1[[#This Row],[last_work_day]],"mmm'yy")</f>
        <v>Feb'26</v>
      </c>
    </row>
    <row r="376" spans="1:15" x14ac:dyDescent="0.35">
      <c r="A376" s="30" t="s">
        <v>1647</v>
      </c>
      <c r="B376" s="30" t="s">
        <v>39</v>
      </c>
      <c r="C376" s="30" t="s">
        <v>1794</v>
      </c>
      <c r="D376">
        <v>2</v>
      </c>
      <c r="E376" s="30" t="s">
        <v>1795</v>
      </c>
      <c r="F376" s="29">
        <v>45748</v>
      </c>
      <c r="G376">
        <v>39750</v>
      </c>
      <c r="H376">
        <v>2250</v>
      </c>
      <c r="I376" s="30" t="s">
        <v>26</v>
      </c>
      <c r="J376" s="30" t="s">
        <v>31</v>
      </c>
      <c r="K376">
        <v>6</v>
      </c>
      <c r="L376" s="29">
        <v>46083</v>
      </c>
      <c r="M376" s="29">
        <v>46052</v>
      </c>
      <c r="N376" s="30" t="str">
        <f>VLOOKUP(Query1[[#This Row],[company_name]],'Org Mapping'!$B:$I,8,FALSE)</f>
        <v>Mehr Hashim</v>
      </c>
      <c r="O376" s="30" t="str">
        <f>TEXT(Query1[[#This Row],[last_work_day]],"mmm'yy")</f>
        <v>Mar'26</v>
      </c>
    </row>
    <row r="377" spans="1:15" x14ac:dyDescent="0.35">
      <c r="A377" s="30" t="s">
        <v>1647</v>
      </c>
      <c r="B377" s="30" t="s">
        <v>39</v>
      </c>
      <c r="C377" s="30" t="s">
        <v>1796</v>
      </c>
      <c r="D377">
        <v>2</v>
      </c>
      <c r="E377" s="30" t="s">
        <v>1797</v>
      </c>
      <c r="F377" s="29">
        <v>45748</v>
      </c>
      <c r="G377">
        <v>39750</v>
      </c>
      <c r="H377">
        <v>2250</v>
      </c>
      <c r="I377" s="30" t="s">
        <v>26</v>
      </c>
      <c r="J377" s="30" t="s">
        <v>31</v>
      </c>
      <c r="K377">
        <v>6</v>
      </c>
      <c r="L377" s="29">
        <v>46135</v>
      </c>
      <c r="M377" s="29">
        <v>46104</v>
      </c>
      <c r="N377" s="30" t="str">
        <f>VLOOKUP(Query1[[#This Row],[company_name]],'Org Mapping'!$B:$I,8,FALSE)</f>
        <v>Mehr Hashim</v>
      </c>
      <c r="O377" s="30" t="str">
        <f>TEXT(Query1[[#This Row],[last_work_day]],"mmm'yy")</f>
        <v>Apr'26</v>
      </c>
    </row>
    <row r="378" spans="1:15" x14ac:dyDescent="0.35">
      <c r="A378" s="30" t="s">
        <v>1565</v>
      </c>
      <c r="B378" s="30" t="s">
        <v>117</v>
      </c>
      <c r="C378" s="30" t="s">
        <v>1798</v>
      </c>
      <c r="D378">
        <v>4</v>
      </c>
      <c r="E378" s="30" t="s">
        <v>1799</v>
      </c>
      <c r="F378" s="29">
        <v>45754</v>
      </c>
      <c r="G378">
        <v>325123.15000000002</v>
      </c>
      <c r="H378">
        <v>100123.15</v>
      </c>
      <c r="I378" s="30" t="s">
        <v>26</v>
      </c>
      <c r="J378" s="30" t="s">
        <v>118</v>
      </c>
      <c r="K378">
        <v>6</v>
      </c>
      <c r="L378" s="29">
        <v>46164</v>
      </c>
      <c r="M378" s="29">
        <v>45909</v>
      </c>
      <c r="N378" s="30" t="str">
        <f>VLOOKUP(Query1[[#This Row],[company_name]],'Org Mapping'!$B:$I,8,FALSE)</f>
        <v>DXC</v>
      </c>
      <c r="O378" s="30" t="str">
        <f>TEXT(Query1[[#This Row],[last_work_day]],"mmm'yy")</f>
        <v>May'26</v>
      </c>
    </row>
    <row r="379" spans="1:15" x14ac:dyDescent="0.35">
      <c r="A379" s="30" t="s">
        <v>1800</v>
      </c>
      <c r="B379" s="30" t="s">
        <v>446</v>
      </c>
      <c r="C379" s="30" t="s">
        <v>1801</v>
      </c>
      <c r="D379">
        <v>1</v>
      </c>
      <c r="E379" s="30" t="s">
        <v>1802</v>
      </c>
      <c r="F379" s="29">
        <v>45757</v>
      </c>
      <c r="G379">
        <v>231047.04000000001</v>
      </c>
      <c r="H379">
        <v>139381.04</v>
      </c>
      <c r="I379" s="30" t="s">
        <v>37</v>
      </c>
      <c r="J379" s="30" t="s">
        <v>102</v>
      </c>
      <c r="K379">
        <v>6</v>
      </c>
      <c r="L379" s="29">
        <v>46052</v>
      </c>
      <c r="M379" s="29">
        <v>46010</v>
      </c>
      <c r="N379" s="30" t="str">
        <f>VLOOKUP(Query1[[#This Row],[company_name]],'Org Mapping'!$B:$I,8,FALSE)</f>
        <v>Mehr Hashim</v>
      </c>
      <c r="O379" s="30" t="str">
        <f>TEXT(Query1[[#This Row],[last_work_day]],"mmm'yy")</f>
        <v>Jan'26</v>
      </c>
    </row>
    <row r="380" spans="1:15" x14ac:dyDescent="0.35">
      <c r="A380" s="30" t="s">
        <v>1803</v>
      </c>
      <c r="B380" s="30" t="s">
        <v>1628</v>
      </c>
      <c r="C380" s="30" t="s">
        <v>1804</v>
      </c>
      <c r="D380">
        <v>2</v>
      </c>
      <c r="E380" s="30" t="s">
        <v>1805</v>
      </c>
      <c r="F380" s="29">
        <v>45748</v>
      </c>
      <c r="G380">
        <v>157111</v>
      </c>
      <c r="H380">
        <v>14283</v>
      </c>
      <c r="I380" s="30" t="s">
        <v>21</v>
      </c>
      <c r="J380" s="30" t="s">
        <v>541</v>
      </c>
      <c r="K380">
        <v>6</v>
      </c>
      <c r="L380" s="29">
        <v>46142</v>
      </c>
      <c r="M380" s="29">
        <v>46094</v>
      </c>
      <c r="N380" s="30" t="str">
        <f>VLOOKUP(Query1[[#This Row],[company_name]],'Org Mapping'!$B:$I,8,FALSE)</f>
        <v>Sadhna Shukla</v>
      </c>
      <c r="O380" s="30" t="str">
        <f>TEXT(Query1[[#This Row],[last_work_day]],"mmm'yy")</f>
        <v>Apr'26</v>
      </c>
    </row>
    <row r="381" spans="1:15" x14ac:dyDescent="0.35">
      <c r="A381" s="30" t="s">
        <v>430</v>
      </c>
      <c r="B381" s="30" t="s">
        <v>65</v>
      </c>
      <c r="C381" s="30" t="s">
        <v>1806</v>
      </c>
      <c r="D381">
        <v>2</v>
      </c>
      <c r="E381" s="30" t="s">
        <v>1807</v>
      </c>
      <c r="F381" s="29">
        <v>45748</v>
      </c>
      <c r="G381">
        <v>37090</v>
      </c>
      <c r="H381">
        <v>9590</v>
      </c>
      <c r="I381" s="30" t="s">
        <v>26</v>
      </c>
      <c r="J381" s="30" t="s">
        <v>537</v>
      </c>
      <c r="K381">
        <v>6</v>
      </c>
      <c r="L381" s="29">
        <v>46151</v>
      </c>
      <c r="M381" s="29">
        <v>46149</v>
      </c>
      <c r="N381" s="30" t="str">
        <f>VLOOKUP(Query1[[#This Row],[company_name]],'Org Mapping'!$B:$I,8,FALSE)</f>
        <v>UHG/Lenovo</v>
      </c>
      <c r="O381" s="30" t="str">
        <f>TEXT(Query1[[#This Row],[last_work_day]],"mmm'yy")</f>
        <v>May'26</v>
      </c>
    </row>
    <row r="382" spans="1:15" x14ac:dyDescent="0.35">
      <c r="A382" s="30" t="s">
        <v>75</v>
      </c>
      <c r="B382" s="30" t="s">
        <v>65</v>
      </c>
      <c r="C382" s="30" t="s">
        <v>1808</v>
      </c>
      <c r="D382">
        <v>2</v>
      </c>
      <c r="E382" s="30" t="s">
        <v>1809</v>
      </c>
      <c r="F382" s="29">
        <v>45748</v>
      </c>
      <c r="G382">
        <v>37090</v>
      </c>
      <c r="H382">
        <v>7090</v>
      </c>
      <c r="I382" s="30" t="s">
        <v>26</v>
      </c>
      <c r="J382" s="30" t="s">
        <v>537</v>
      </c>
      <c r="K382">
        <v>6</v>
      </c>
      <c r="L382" s="29">
        <v>46079</v>
      </c>
      <c r="M382" s="29">
        <v>46080</v>
      </c>
      <c r="N382" s="30" t="str">
        <f>VLOOKUP(Query1[[#This Row],[company_name]],'Org Mapping'!$B:$I,8,FALSE)</f>
        <v>UHG/Lenovo</v>
      </c>
      <c r="O382" s="30" t="str">
        <f>TEXT(Query1[[#This Row],[last_work_day]],"mmm'yy")</f>
        <v>Feb'26</v>
      </c>
    </row>
    <row r="383" spans="1:15" x14ac:dyDescent="0.35">
      <c r="A383" s="30" t="s">
        <v>1810</v>
      </c>
      <c r="B383" s="30" t="s">
        <v>1628</v>
      </c>
      <c r="C383" s="30" t="s">
        <v>1811</v>
      </c>
      <c r="D383">
        <v>2</v>
      </c>
      <c r="E383" s="30" t="s">
        <v>1812</v>
      </c>
      <c r="F383" s="29">
        <v>45747</v>
      </c>
      <c r="G383">
        <v>188000</v>
      </c>
      <c r="H383">
        <v>29667</v>
      </c>
      <c r="I383" s="30" t="s">
        <v>21</v>
      </c>
      <c r="J383" s="30" t="s">
        <v>524</v>
      </c>
      <c r="K383">
        <v>6</v>
      </c>
      <c r="L383" s="29">
        <v>46024</v>
      </c>
      <c r="M383" s="29">
        <v>46049</v>
      </c>
      <c r="N383" s="30" t="str">
        <f>VLOOKUP(Query1[[#This Row],[company_name]],'Org Mapping'!$B:$I,8,FALSE)</f>
        <v>Sadhna Shukla</v>
      </c>
      <c r="O383" s="30" t="str">
        <f>TEXT(Query1[[#This Row],[last_work_day]],"mmm'yy")</f>
        <v>Jan'26</v>
      </c>
    </row>
    <row r="384" spans="1:15" x14ac:dyDescent="0.35">
      <c r="A384" s="30" t="s">
        <v>471</v>
      </c>
      <c r="B384" s="30" t="s">
        <v>65</v>
      </c>
      <c r="C384" s="30" t="s">
        <v>1813</v>
      </c>
      <c r="D384">
        <v>2</v>
      </c>
      <c r="E384" s="30" t="s">
        <v>1814</v>
      </c>
      <c r="F384" s="29">
        <v>45748</v>
      </c>
      <c r="G384">
        <v>37090</v>
      </c>
      <c r="H384">
        <v>9590</v>
      </c>
      <c r="I384" s="30" t="s">
        <v>26</v>
      </c>
      <c r="J384" s="30" t="s">
        <v>537</v>
      </c>
      <c r="K384">
        <v>6</v>
      </c>
      <c r="L384" s="29">
        <v>46139</v>
      </c>
      <c r="M384" s="29">
        <v>46146</v>
      </c>
      <c r="N384" s="30" t="str">
        <f>VLOOKUP(Query1[[#This Row],[company_name]],'Org Mapping'!$B:$I,8,FALSE)</f>
        <v>UHG/Lenovo</v>
      </c>
      <c r="O384" s="30" t="str">
        <f>TEXT(Query1[[#This Row],[last_work_day]],"mmm'yy")</f>
        <v>Apr'26</v>
      </c>
    </row>
    <row r="385" spans="1:15" x14ac:dyDescent="0.35">
      <c r="A385" s="30" t="s">
        <v>1815</v>
      </c>
      <c r="B385" s="30" t="s">
        <v>1562</v>
      </c>
      <c r="C385" s="30" t="s">
        <v>1816</v>
      </c>
      <c r="D385">
        <v>1</v>
      </c>
      <c r="E385" s="30" t="s">
        <v>1817</v>
      </c>
      <c r="F385" s="29">
        <v>45754</v>
      </c>
      <c r="G385">
        <v>46683</v>
      </c>
      <c r="H385">
        <v>13350</v>
      </c>
      <c r="I385" s="30" t="s">
        <v>26</v>
      </c>
      <c r="J385" s="30" t="s">
        <v>119</v>
      </c>
      <c r="K385">
        <v>6</v>
      </c>
      <c r="L385" s="29">
        <v>46027</v>
      </c>
      <c r="M385" s="29">
        <v>45999</v>
      </c>
      <c r="N385" s="30" t="str">
        <f>VLOOKUP(Query1[[#This Row],[company_name]],'Org Mapping'!$B:$I,8,FALSE)</f>
        <v>Anuradha</v>
      </c>
      <c r="O385" s="30" t="str">
        <f>TEXT(Query1[[#This Row],[last_work_day]],"mmm'yy")</f>
        <v>Jan'26</v>
      </c>
    </row>
    <row r="386" spans="1:15" x14ac:dyDescent="0.35">
      <c r="A386" s="30" t="s">
        <v>1557</v>
      </c>
      <c r="B386" s="30" t="s">
        <v>1818</v>
      </c>
      <c r="C386" s="30" t="s">
        <v>1819</v>
      </c>
      <c r="D386">
        <v>2</v>
      </c>
      <c r="E386" s="30" t="s">
        <v>1820</v>
      </c>
      <c r="F386" s="29">
        <v>45762</v>
      </c>
      <c r="G386">
        <v>130132</v>
      </c>
      <c r="H386">
        <v>23466</v>
      </c>
      <c r="I386" s="30" t="s">
        <v>26</v>
      </c>
      <c r="J386" s="30" t="s">
        <v>113</v>
      </c>
      <c r="K386">
        <v>6</v>
      </c>
      <c r="L386" s="29">
        <v>46069</v>
      </c>
      <c r="M386" s="29">
        <v>46000</v>
      </c>
      <c r="N386" s="30" t="str">
        <f>VLOOKUP(Query1[[#This Row],[company_name]],'Org Mapping'!$B:$I,8,FALSE)</f>
        <v>(Sonia/Dikshitha)</v>
      </c>
      <c r="O386" s="30" t="str">
        <f>TEXT(Query1[[#This Row],[last_work_day]],"mmm'yy")</f>
        <v>Feb'26</v>
      </c>
    </row>
    <row r="387" spans="1:15" x14ac:dyDescent="0.35">
      <c r="A387" s="30" t="s">
        <v>360</v>
      </c>
      <c r="B387" s="30" t="s">
        <v>65</v>
      </c>
      <c r="C387" s="30" t="s">
        <v>1821</v>
      </c>
      <c r="D387">
        <v>2</v>
      </c>
      <c r="E387" s="30" t="s">
        <v>1822</v>
      </c>
      <c r="F387" s="29">
        <v>45756</v>
      </c>
      <c r="G387">
        <v>37090</v>
      </c>
      <c r="H387">
        <v>12090</v>
      </c>
      <c r="I387" s="30" t="s">
        <v>26</v>
      </c>
      <c r="J387" s="30" t="s">
        <v>537</v>
      </c>
      <c r="K387">
        <v>6</v>
      </c>
      <c r="L387" s="29">
        <v>46139</v>
      </c>
      <c r="M387" s="29">
        <v>46080</v>
      </c>
      <c r="N387" s="30" t="str">
        <f>VLOOKUP(Query1[[#This Row],[company_name]],'Org Mapping'!$B:$I,8,FALSE)</f>
        <v>UHG/Lenovo</v>
      </c>
      <c r="O387" s="30" t="str">
        <f>TEXT(Query1[[#This Row],[last_work_day]],"mmm'yy")</f>
        <v>Apr'26</v>
      </c>
    </row>
    <row r="388" spans="1:15" x14ac:dyDescent="0.35">
      <c r="A388" s="30" t="s">
        <v>1482</v>
      </c>
      <c r="B388" s="30" t="s">
        <v>39</v>
      </c>
      <c r="C388" s="30" t="s">
        <v>1823</v>
      </c>
      <c r="D388">
        <v>2</v>
      </c>
      <c r="E388" s="30" t="s">
        <v>1824</v>
      </c>
      <c r="F388" s="29">
        <v>45757</v>
      </c>
      <c r="G388">
        <v>314160</v>
      </c>
      <c r="H388">
        <v>105827</v>
      </c>
      <c r="I388" s="30" t="s">
        <v>16</v>
      </c>
      <c r="J388" s="30" t="s">
        <v>49</v>
      </c>
      <c r="K388">
        <v>6</v>
      </c>
      <c r="L388" s="29">
        <v>46112</v>
      </c>
      <c r="M388" s="29">
        <v>46058</v>
      </c>
      <c r="N388" s="30" t="str">
        <f>VLOOKUP(Query1[[#This Row],[company_name]],'Org Mapping'!$B:$I,8,FALSE)</f>
        <v>Mehr Hashim</v>
      </c>
      <c r="O388" s="30" t="str">
        <f>TEXT(Query1[[#This Row],[last_work_day]],"mmm'yy")</f>
        <v>Mar'26</v>
      </c>
    </row>
    <row r="389" spans="1:15" x14ac:dyDescent="0.35">
      <c r="A389" s="30" t="s">
        <v>1595</v>
      </c>
      <c r="B389" s="30" t="s">
        <v>117</v>
      </c>
      <c r="C389" s="30" t="s">
        <v>1825</v>
      </c>
      <c r="D389">
        <v>4</v>
      </c>
      <c r="E389" s="30" t="s">
        <v>1826</v>
      </c>
      <c r="F389" s="29">
        <v>45761</v>
      </c>
      <c r="G389">
        <v>285714.28999999998</v>
      </c>
      <c r="H389">
        <v>63464.29</v>
      </c>
      <c r="I389" s="30" t="s">
        <v>1279</v>
      </c>
      <c r="J389" s="30" t="s">
        <v>118</v>
      </c>
      <c r="K389">
        <v>6</v>
      </c>
      <c r="L389" s="29">
        <v>46053</v>
      </c>
      <c r="M389" s="29">
        <v>46060</v>
      </c>
      <c r="N389" s="30" t="str">
        <f>VLOOKUP(Query1[[#This Row],[company_name]],'Org Mapping'!$B:$I,8,FALSE)</f>
        <v>DXC</v>
      </c>
      <c r="O389" s="30" t="str">
        <f>TEXT(Query1[[#This Row],[last_work_day]],"mmm'yy")</f>
        <v>Jan'26</v>
      </c>
    </row>
    <row r="390" spans="1:15" x14ac:dyDescent="0.35">
      <c r="A390" s="30" t="s">
        <v>1827</v>
      </c>
      <c r="B390" s="30" t="s">
        <v>1628</v>
      </c>
      <c r="C390" s="30" t="s">
        <v>1828</v>
      </c>
      <c r="D390">
        <v>2</v>
      </c>
      <c r="E390" s="30" t="s">
        <v>1829</v>
      </c>
      <c r="F390" s="29">
        <v>45762</v>
      </c>
      <c r="G390">
        <v>92958.33</v>
      </c>
      <c r="H390">
        <v>2958.33</v>
      </c>
      <c r="I390" s="30" t="s">
        <v>21</v>
      </c>
      <c r="J390" s="30" t="s">
        <v>248</v>
      </c>
      <c r="K390">
        <v>6</v>
      </c>
      <c r="L390" s="29">
        <v>46059</v>
      </c>
      <c r="M390" s="29">
        <v>46034</v>
      </c>
      <c r="N390" s="30" t="str">
        <f>VLOOKUP(Query1[[#This Row],[company_name]],'Org Mapping'!$B:$I,8,FALSE)</f>
        <v>Sadhna Shukla</v>
      </c>
      <c r="O390" s="30" t="str">
        <f>TEXT(Query1[[#This Row],[last_work_day]],"mmm'yy")</f>
        <v>Feb'26</v>
      </c>
    </row>
    <row r="391" spans="1:15" x14ac:dyDescent="0.35">
      <c r="A391" s="30" t="s">
        <v>1421</v>
      </c>
      <c r="B391" s="30" t="s">
        <v>117</v>
      </c>
      <c r="C391" s="30" t="s">
        <v>1830</v>
      </c>
      <c r="D391">
        <v>4</v>
      </c>
      <c r="E391" s="30" t="s">
        <v>1831</v>
      </c>
      <c r="F391" s="29">
        <v>45758</v>
      </c>
      <c r="G391">
        <v>231527.09</v>
      </c>
      <c r="H391">
        <v>9277.09</v>
      </c>
      <c r="I391" s="30" t="s">
        <v>26</v>
      </c>
      <c r="J391" s="30" t="s">
        <v>118</v>
      </c>
      <c r="K391">
        <v>6</v>
      </c>
      <c r="L391" s="29">
        <v>46056</v>
      </c>
      <c r="M391" s="29">
        <v>45979</v>
      </c>
      <c r="N391" s="30" t="str">
        <f>VLOOKUP(Query1[[#This Row],[company_name]],'Org Mapping'!$B:$I,8,FALSE)</f>
        <v>DXC</v>
      </c>
      <c r="O391" s="30" t="str">
        <f>TEXT(Query1[[#This Row],[last_work_day]],"mmm'yy")</f>
        <v>Feb'26</v>
      </c>
    </row>
    <row r="392" spans="1:15" x14ac:dyDescent="0.35">
      <c r="A392" s="30" t="s">
        <v>1357</v>
      </c>
      <c r="B392" s="30" t="s">
        <v>117</v>
      </c>
      <c r="C392" s="30" t="s">
        <v>1832</v>
      </c>
      <c r="D392">
        <v>4</v>
      </c>
      <c r="E392" s="30" t="s">
        <v>1833</v>
      </c>
      <c r="F392" s="29">
        <v>45748</v>
      </c>
      <c r="G392">
        <v>291133</v>
      </c>
      <c r="H392">
        <v>21133</v>
      </c>
      <c r="I392" s="30" t="s">
        <v>16</v>
      </c>
      <c r="J392" s="30" t="s">
        <v>118</v>
      </c>
      <c r="K392">
        <v>6</v>
      </c>
      <c r="L392" s="29">
        <v>46169</v>
      </c>
      <c r="M392" s="29">
        <v>46139</v>
      </c>
      <c r="N392" s="30" t="str">
        <f>VLOOKUP(Query1[[#This Row],[company_name]],'Org Mapping'!$B:$I,8,FALSE)</f>
        <v>DXC</v>
      </c>
      <c r="O392" s="30" t="str">
        <f>TEXT(Query1[[#This Row],[last_work_day]],"mmm'yy")</f>
        <v>May'26</v>
      </c>
    </row>
    <row r="393" spans="1:15" x14ac:dyDescent="0.35">
      <c r="A393" s="30" t="s">
        <v>1464</v>
      </c>
      <c r="B393" s="30" t="s">
        <v>39</v>
      </c>
      <c r="C393" s="30" t="s">
        <v>1834</v>
      </c>
      <c r="D393">
        <v>2</v>
      </c>
      <c r="E393" s="30" t="s">
        <v>1835</v>
      </c>
      <c r="F393" s="29">
        <v>45758</v>
      </c>
      <c r="G393">
        <v>341666.67</v>
      </c>
      <c r="H393">
        <v>91666.67</v>
      </c>
      <c r="I393" s="30" t="s">
        <v>91</v>
      </c>
      <c r="J393" s="30" t="s">
        <v>49</v>
      </c>
      <c r="K393">
        <v>6</v>
      </c>
      <c r="L393" s="29">
        <v>46063</v>
      </c>
      <c r="M393" s="29">
        <v>45911</v>
      </c>
      <c r="N393" s="30" t="str">
        <f>VLOOKUP(Query1[[#This Row],[company_name]],'Org Mapping'!$B:$I,8,FALSE)</f>
        <v>Mehr Hashim</v>
      </c>
      <c r="O393" s="30" t="str">
        <f>TEXT(Query1[[#This Row],[last_work_day]],"mmm'yy")</f>
        <v>Feb'26</v>
      </c>
    </row>
    <row r="394" spans="1:15" x14ac:dyDescent="0.35">
      <c r="A394" s="30" t="s">
        <v>401</v>
      </c>
      <c r="B394" s="30" t="s">
        <v>65</v>
      </c>
      <c r="C394" s="30" t="s">
        <v>1836</v>
      </c>
      <c r="D394">
        <v>2</v>
      </c>
      <c r="E394" s="30" t="s">
        <v>1837</v>
      </c>
      <c r="F394" s="29">
        <v>45763</v>
      </c>
      <c r="G394">
        <v>37090</v>
      </c>
      <c r="H394">
        <v>7090</v>
      </c>
      <c r="I394" s="30" t="s">
        <v>26</v>
      </c>
      <c r="J394" s="30" t="s">
        <v>537</v>
      </c>
      <c r="K394">
        <v>6</v>
      </c>
      <c r="L394" s="29">
        <v>46132</v>
      </c>
      <c r="M394" s="29">
        <v>46132</v>
      </c>
      <c r="N394" s="30" t="str">
        <f>VLOOKUP(Query1[[#This Row],[company_name]],'Org Mapping'!$B:$I,8,FALSE)</f>
        <v>UHG/Lenovo</v>
      </c>
      <c r="O394" s="30" t="str">
        <f>TEXT(Query1[[#This Row],[last_work_day]],"mmm'yy")</f>
        <v>Apr'26</v>
      </c>
    </row>
    <row r="395" spans="1:15" x14ac:dyDescent="0.35">
      <c r="A395" s="30" t="s">
        <v>309</v>
      </c>
      <c r="B395" s="30" t="s">
        <v>43</v>
      </c>
      <c r="C395" s="30" t="s">
        <v>1838</v>
      </c>
      <c r="D395">
        <v>2</v>
      </c>
      <c r="E395" s="30" t="s">
        <v>1839</v>
      </c>
      <c r="F395" s="29">
        <v>45763</v>
      </c>
      <c r="G395">
        <v>37090</v>
      </c>
      <c r="H395">
        <v>12090</v>
      </c>
      <c r="I395" s="30" t="s">
        <v>92</v>
      </c>
      <c r="J395" s="30" t="s">
        <v>537</v>
      </c>
      <c r="K395">
        <v>6</v>
      </c>
      <c r="L395" s="29">
        <v>46038</v>
      </c>
      <c r="M395" s="29">
        <v>46038</v>
      </c>
      <c r="N395" s="30" t="str">
        <f>VLOOKUP(Query1[[#This Row],[company_name]],'Org Mapping'!$B:$I,8,FALSE)</f>
        <v>UHG/Lenovo</v>
      </c>
      <c r="O395" s="30" t="str">
        <f>TEXT(Query1[[#This Row],[last_work_day]],"mmm'yy")</f>
        <v>Jan'26</v>
      </c>
    </row>
    <row r="396" spans="1:15" x14ac:dyDescent="0.35">
      <c r="A396" s="30" t="s">
        <v>376</v>
      </c>
      <c r="B396" s="30" t="s">
        <v>65</v>
      </c>
      <c r="C396" s="30" t="s">
        <v>1840</v>
      </c>
      <c r="D396">
        <v>2</v>
      </c>
      <c r="E396" s="30" t="s">
        <v>1841</v>
      </c>
      <c r="F396" s="29">
        <v>45763</v>
      </c>
      <c r="G396">
        <v>37090</v>
      </c>
      <c r="H396">
        <v>7090</v>
      </c>
      <c r="I396" s="30" t="s">
        <v>26</v>
      </c>
      <c r="J396" s="30" t="s">
        <v>537</v>
      </c>
      <c r="K396">
        <v>6</v>
      </c>
      <c r="L396" s="29">
        <v>46174</v>
      </c>
      <c r="M396" s="29">
        <v>46161</v>
      </c>
      <c r="N396" s="30" t="str">
        <f>VLOOKUP(Query1[[#This Row],[company_name]],'Org Mapping'!$B:$I,8,FALSE)</f>
        <v>UHG/Lenovo</v>
      </c>
      <c r="O396" s="30" t="str">
        <f>TEXT(Query1[[#This Row],[last_work_day]],"mmm'yy")</f>
        <v>Jun'26</v>
      </c>
    </row>
    <row r="397" spans="1:15" x14ac:dyDescent="0.35">
      <c r="A397" s="30" t="s">
        <v>1523</v>
      </c>
      <c r="B397" s="30" t="s">
        <v>1562</v>
      </c>
      <c r="C397" s="30" t="s">
        <v>1842</v>
      </c>
      <c r="D397">
        <v>1</v>
      </c>
      <c r="E397" s="30" t="s">
        <v>1843</v>
      </c>
      <c r="F397" s="29">
        <v>45764</v>
      </c>
      <c r="G397">
        <v>140049</v>
      </c>
      <c r="H397">
        <v>56716</v>
      </c>
      <c r="I397" s="30" t="s">
        <v>16</v>
      </c>
      <c r="J397" s="30" t="s">
        <v>119</v>
      </c>
      <c r="K397">
        <v>6</v>
      </c>
      <c r="L397" s="29">
        <v>46134</v>
      </c>
      <c r="M397" s="29">
        <v>46098</v>
      </c>
      <c r="N397" s="30" t="str">
        <f>VLOOKUP(Query1[[#This Row],[company_name]],'Org Mapping'!$B:$I,8,FALSE)</f>
        <v>Anuradha</v>
      </c>
      <c r="O397" s="30" t="str">
        <f>TEXT(Query1[[#This Row],[last_work_day]],"mmm'yy")</f>
        <v>Apr'26</v>
      </c>
    </row>
    <row r="398" spans="1:15" x14ac:dyDescent="0.35">
      <c r="A398" s="30" t="s">
        <v>542</v>
      </c>
      <c r="B398" s="30" t="s">
        <v>65</v>
      </c>
      <c r="C398" s="30" t="s">
        <v>1844</v>
      </c>
      <c r="D398">
        <v>2</v>
      </c>
      <c r="E398" s="30" t="s">
        <v>1845</v>
      </c>
      <c r="F398" s="29">
        <v>45763</v>
      </c>
      <c r="G398">
        <v>37090</v>
      </c>
      <c r="H398">
        <v>12090</v>
      </c>
      <c r="I398" s="30" t="s">
        <v>26</v>
      </c>
      <c r="J398" s="30" t="s">
        <v>537</v>
      </c>
      <c r="K398">
        <v>6</v>
      </c>
      <c r="L398" s="29">
        <v>46175</v>
      </c>
      <c r="M398" s="29">
        <v>46161</v>
      </c>
      <c r="N398" s="30" t="str">
        <f>VLOOKUP(Query1[[#This Row],[company_name]],'Org Mapping'!$B:$I,8,FALSE)</f>
        <v>UHG/Lenovo</v>
      </c>
      <c r="O398" s="30" t="str">
        <f>TEXT(Query1[[#This Row],[last_work_day]],"mmm'yy")</f>
        <v>Jun'26</v>
      </c>
    </row>
    <row r="399" spans="1:15" x14ac:dyDescent="0.35">
      <c r="A399" s="30" t="s">
        <v>1634</v>
      </c>
      <c r="B399" s="30" t="s">
        <v>117</v>
      </c>
      <c r="C399" s="30" t="s">
        <v>1846</v>
      </c>
      <c r="D399">
        <v>4</v>
      </c>
      <c r="E399" s="30" t="s">
        <v>1847</v>
      </c>
      <c r="F399" s="29">
        <v>45770</v>
      </c>
      <c r="G399">
        <v>246305.42</v>
      </c>
      <c r="H399">
        <v>21305.42</v>
      </c>
      <c r="I399" s="30" t="s">
        <v>26</v>
      </c>
      <c r="J399" s="30" t="s">
        <v>118</v>
      </c>
      <c r="K399">
        <v>6</v>
      </c>
      <c r="L399" s="29">
        <v>46073</v>
      </c>
      <c r="M399" s="29">
        <v>46043</v>
      </c>
      <c r="N399" s="30" t="str">
        <f>VLOOKUP(Query1[[#This Row],[company_name]],'Org Mapping'!$B:$I,8,FALSE)</f>
        <v>DXC</v>
      </c>
      <c r="O399" s="30" t="str">
        <f>TEXT(Query1[[#This Row],[last_work_day]],"mmm'yy")</f>
        <v>Feb'26</v>
      </c>
    </row>
    <row r="400" spans="1:15" x14ac:dyDescent="0.35">
      <c r="A400" s="30" t="s">
        <v>1464</v>
      </c>
      <c r="B400" s="30" t="s">
        <v>39</v>
      </c>
      <c r="C400" s="30" t="s">
        <v>1848</v>
      </c>
      <c r="D400">
        <v>2</v>
      </c>
      <c r="E400" s="30" t="s">
        <v>1849</v>
      </c>
      <c r="F400" s="29">
        <v>45770</v>
      </c>
      <c r="G400">
        <v>96250</v>
      </c>
      <c r="H400">
        <v>8750</v>
      </c>
      <c r="I400" s="30" t="s">
        <v>21</v>
      </c>
      <c r="J400" s="30" t="s">
        <v>166</v>
      </c>
      <c r="K400">
        <v>6</v>
      </c>
      <c r="L400" s="29">
        <v>46100</v>
      </c>
      <c r="M400" s="29">
        <v>46073</v>
      </c>
      <c r="N400" s="30" t="str">
        <f>VLOOKUP(Query1[[#This Row],[company_name]],'Org Mapping'!$B:$I,8,FALSE)</f>
        <v>Mehr Hashim</v>
      </c>
      <c r="O400" s="30" t="str">
        <f>TEXT(Query1[[#This Row],[last_work_day]],"mmm'yy")</f>
        <v>Mar'26</v>
      </c>
    </row>
    <row r="401" spans="1:15" x14ac:dyDescent="0.35">
      <c r="A401" s="30" t="s">
        <v>1667</v>
      </c>
      <c r="B401" s="30" t="s">
        <v>39</v>
      </c>
      <c r="C401" s="30" t="s">
        <v>1850</v>
      </c>
      <c r="D401">
        <v>2</v>
      </c>
      <c r="E401" s="30" t="s">
        <v>1851</v>
      </c>
      <c r="F401" s="29">
        <v>45775</v>
      </c>
      <c r="G401">
        <v>285000</v>
      </c>
      <c r="H401">
        <v>185000</v>
      </c>
      <c r="I401" s="30" t="s">
        <v>26</v>
      </c>
      <c r="J401" s="30" t="s">
        <v>49</v>
      </c>
      <c r="K401">
        <v>6</v>
      </c>
      <c r="L401" s="29">
        <v>46114</v>
      </c>
      <c r="M401" s="29">
        <v>46097</v>
      </c>
      <c r="N401" s="30" t="str">
        <f>VLOOKUP(Query1[[#This Row],[company_name]],'Org Mapping'!$B:$I,8,FALSE)</f>
        <v>Mehr Hashim</v>
      </c>
      <c r="O401" s="30" t="str">
        <f>TEXT(Query1[[#This Row],[last_work_day]],"mmm'yy")</f>
        <v>Apr'26</v>
      </c>
    </row>
    <row r="402" spans="1:15" x14ac:dyDescent="0.35">
      <c r="A402" s="30" t="s">
        <v>429</v>
      </c>
      <c r="B402" s="30" t="s">
        <v>65</v>
      </c>
      <c r="C402" s="30" t="s">
        <v>548</v>
      </c>
      <c r="D402">
        <v>2</v>
      </c>
      <c r="E402" s="30" t="s">
        <v>549</v>
      </c>
      <c r="F402" s="29">
        <v>45772</v>
      </c>
      <c r="G402">
        <v>21240</v>
      </c>
      <c r="H402">
        <v>3240</v>
      </c>
      <c r="I402" s="30" t="s">
        <v>92</v>
      </c>
      <c r="J402" s="30" t="s">
        <v>76</v>
      </c>
      <c r="K402">
        <v>6</v>
      </c>
      <c r="L402" s="29">
        <v>46097</v>
      </c>
      <c r="M402" s="29">
        <v>46086</v>
      </c>
      <c r="N402" s="30" t="str">
        <f>VLOOKUP(Query1[[#This Row],[company_name]],'Org Mapping'!$B:$I,8,FALSE)</f>
        <v>Jawad Ulla Khan</v>
      </c>
      <c r="O402" s="30" t="str">
        <f>TEXT(Query1[[#This Row],[last_work_day]],"mmm'yy")</f>
        <v>Mar'26</v>
      </c>
    </row>
    <row r="403" spans="1:15" x14ac:dyDescent="0.35">
      <c r="A403" s="30" t="s">
        <v>550</v>
      </c>
      <c r="B403" s="30" t="s">
        <v>65</v>
      </c>
      <c r="C403" s="30" t="s">
        <v>1852</v>
      </c>
      <c r="D403">
        <v>2</v>
      </c>
      <c r="E403" s="30" t="s">
        <v>1853</v>
      </c>
      <c r="F403" s="29">
        <v>45771</v>
      </c>
      <c r="G403">
        <v>37090</v>
      </c>
      <c r="H403">
        <v>12090</v>
      </c>
      <c r="I403" s="30" t="s">
        <v>92</v>
      </c>
      <c r="J403" s="30" t="s">
        <v>537</v>
      </c>
      <c r="K403">
        <v>6</v>
      </c>
      <c r="L403" s="29">
        <v>46094</v>
      </c>
      <c r="M403" s="29">
        <v>46094</v>
      </c>
      <c r="N403" s="30" t="str">
        <f>VLOOKUP(Query1[[#This Row],[company_name]],'Org Mapping'!$B:$I,8,FALSE)</f>
        <v>UHG/Lenovo</v>
      </c>
      <c r="O403" s="30" t="str">
        <f>TEXT(Query1[[#This Row],[last_work_day]],"mmm'yy")</f>
        <v>Mar'26</v>
      </c>
    </row>
    <row r="404" spans="1:15" x14ac:dyDescent="0.35">
      <c r="A404" s="30" t="s">
        <v>1497</v>
      </c>
      <c r="B404" s="30" t="s">
        <v>39</v>
      </c>
      <c r="C404" s="30" t="s">
        <v>1854</v>
      </c>
      <c r="D404">
        <v>2</v>
      </c>
      <c r="E404" s="30" t="s">
        <v>1855</v>
      </c>
      <c r="F404" s="29">
        <v>45770</v>
      </c>
      <c r="G404">
        <v>440000</v>
      </c>
      <c r="H404">
        <v>223334</v>
      </c>
      <c r="I404" s="30" t="s">
        <v>16</v>
      </c>
      <c r="J404" s="30" t="s">
        <v>495</v>
      </c>
      <c r="K404">
        <v>6</v>
      </c>
      <c r="L404" s="29">
        <v>46146</v>
      </c>
      <c r="M404" s="29">
        <v>46113</v>
      </c>
      <c r="N404" s="30" t="str">
        <f>VLOOKUP(Query1[[#This Row],[company_name]],'Org Mapping'!$B:$I,8,FALSE)</f>
        <v>Mehr Hashim</v>
      </c>
      <c r="O404" s="30" t="str">
        <f>TEXT(Query1[[#This Row],[last_work_day]],"mmm'yy")</f>
        <v>May'26</v>
      </c>
    </row>
    <row r="405" spans="1:15" x14ac:dyDescent="0.35">
      <c r="A405" s="30" t="s">
        <v>1500</v>
      </c>
      <c r="B405" s="30" t="s">
        <v>39</v>
      </c>
      <c r="C405" s="30" t="s">
        <v>1856</v>
      </c>
      <c r="D405">
        <v>2</v>
      </c>
      <c r="E405" s="30" t="s">
        <v>1857</v>
      </c>
      <c r="F405" s="29">
        <v>45771</v>
      </c>
      <c r="G405">
        <v>39750</v>
      </c>
      <c r="H405">
        <v>2250</v>
      </c>
      <c r="I405" s="30" t="s">
        <v>26</v>
      </c>
      <c r="J405" s="30" t="s">
        <v>31</v>
      </c>
      <c r="K405">
        <v>6</v>
      </c>
      <c r="L405" s="29">
        <v>46167</v>
      </c>
      <c r="M405" s="29">
        <v>46135</v>
      </c>
      <c r="N405" s="30" t="str">
        <f>VLOOKUP(Query1[[#This Row],[company_name]],'Org Mapping'!$B:$I,8,FALSE)</f>
        <v>Mehr Hashim</v>
      </c>
      <c r="O405" s="30" t="str">
        <f>TEXT(Query1[[#This Row],[last_work_day]],"mmm'yy")</f>
        <v>May'26</v>
      </c>
    </row>
    <row r="406" spans="1:15" x14ac:dyDescent="0.35">
      <c r="A406" s="30" t="s">
        <v>553</v>
      </c>
      <c r="B406" s="30" t="s">
        <v>65</v>
      </c>
      <c r="C406" s="30" t="s">
        <v>1858</v>
      </c>
      <c r="D406">
        <v>2</v>
      </c>
      <c r="E406" s="30" t="s">
        <v>1859</v>
      </c>
      <c r="F406" s="29">
        <v>45771</v>
      </c>
      <c r="G406">
        <v>37090</v>
      </c>
      <c r="H406">
        <v>12090</v>
      </c>
      <c r="I406" s="30" t="s">
        <v>26</v>
      </c>
      <c r="J406" s="30" t="s">
        <v>537</v>
      </c>
      <c r="K406">
        <v>6</v>
      </c>
      <c r="L406" s="29">
        <v>46085</v>
      </c>
      <c r="M406" s="29">
        <v>46087</v>
      </c>
      <c r="N406" s="30" t="str">
        <f>VLOOKUP(Query1[[#This Row],[company_name]],'Org Mapping'!$B:$I,8,FALSE)</f>
        <v>UHG/Lenovo</v>
      </c>
      <c r="O406" s="30" t="str">
        <f>TEXT(Query1[[#This Row],[last_work_day]],"mmm'yy")</f>
        <v>Mar'26</v>
      </c>
    </row>
    <row r="407" spans="1:15" x14ac:dyDescent="0.35">
      <c r="A407" s="30" t="s">
        <v>1731</v>
      </c>
      <c r="B407" s="30" t="s">
        <v>293</v>
      </c>
      <c r="C407" s="30" t="s">
        <v>1860</v>
      </c>
      <c r="D407">
        <v>2</v>
      </c>
      <c r="E407" s="30" t="s">
        <v>1861</v>
      </c>
      <c r="F407" s="29">
        <v>45776</v>
      </c>
      <c r="G407">
        <v>195888</v>
      </c>
      <c r="H407">
        <v>95888</v>
      </c>
      <c r="I407" s="30" t="s">
        <v>37</v>
      </c>
      <c r="J407" s="30" t="s">
        <v>326</v>
      </c>
      <c r="K407">
        <v>6</v>
      </c>
      <c r="L407" s="29">
        <v>46148</v>
      </c>
      <c r="M407" s="29">
        <v>46120</v>
      </c>
      <c r="N407" s="30" t="str">
        <f>VLOOKUP(Query1[[#This Row],[company_name]],'Org Mapping'!$B:$I,8,FALSE)</f>
        <v>Deepak Desai</v>
      </c>
      <c r="O407" s="30" t="str">
        <f>TEXT(Query1[[#This Row],[last_work_day]],"mmm'yy")</f>
        <v>May'26</v>
      </c>
    </row>
    <row r="408" spans="1:15" x14ac:dyDescent="0.35">
      <c r="A408" s="30" t="s">
        <v>1565</v>
      </c>
      <c r="B408" s="30" t="s">
        <v>117</v>
      </c>
      <c r="C408" s="30" t="s">
        <v>1862</v>
      </c>
      <c r="D408">
        <v>2</v>
      </c>
      <c r="E408" s="30" t="s">
        <v>1863</v>
      </c>
      <c r="F408" s="29">
        <v>45778</v>
      </c>
      <c r="G408">
        <v>28500</v>
      </c>
      <c r="H408">
        <v>1834</v>
      </c>
      <c r="I408" s="30" t="s">
        <v>37</v>
      </c>
      <c r="J408" s="30" t="s">
        <v>554</v>
      </c>
      <c r="K408">
        <v>6</v>
      </c>
      <c r="L408" s="29">
        <v>46112</v>
      </c>
      <c r="M408" s="29">
        <v>46057</v>
      </c>
      <c r="N408" s="30" t="str">
        <f>VLOOKUP(Query1[[#This Row],[company_name]],'Org Mapping'!$B:$I,8,FALSE)</f>
        <v>TBA</v>
      </c>
      <c r="O408" s="30" t="str">
        <f>TEXT(Query1[[#This Row],[last_work_day]],"mmm'yy")</f>
        <v>Mar'26</v>
      </c>
    </row>
    <row r="409" spans="1:15" x14ac:dyDescent="0.35">
      <c r="A409" s="30" t="s">
        <v>1634</v>
      </c>
      <c r="B409" s="30" t="s">
        <v>117</v>
      </c>
      <c r="C409" s="30" t="s">
        <v>1864</v>
      </c>
      <c r="D409">
        <v>2</v>
      </c>
      <c r="E409" s="30" t="s">
        <v>1865</v>
      </c>
      <c r="F409" s="29">
        <v>45778</v>
      </c>
      <c r="G409">
        <v>30000</v>
      </c>
      <c r="H409">
        <v>1250</v>
      </c>
      <c r="I409" s="30" t="s">
        <v>37</v>
      </c>
      <c r="J409" s="30" t="s">
        <v>554</v>
      </c>
      <c r="K409">
        <v>6</v>
      </c>
      <c r="L409" s="29">
        <v>46080</v>
      </c>
      <c r="M409" s="29">
        <v>46057</v>
      </c>
      <c r="N409" s="30" t="str">
        <f>VLOOKUP(Query1[[#This Row],[company_name]],'Org Mapping'!$B:$I,8,FALSE)</f>
        <v>TBA</v>
      </c>
      <c r="O409" s="30" t="str">
        <f>TEXT(Query1[[#This Row],[last_work_day]],"mmm'yy")</f>
        <v>Feb'26</v>
      </c>
    </row>
    <row r="410" spans="1:15" x14ac:dyDescent="0.35">
      <c r="A410" s="30" t="s">
        <v>1500</v>
      </c>
      <c r="B410" s="30" t="s">
        <v>39</v>
      </c>
      <c r="C410" s="30" t="s">
        <v>1866</v>
      </c>
      <c r="D410">
        <v>2</v>
      </c>
      <c r="E410" s="30" t="s">
        <v>1867</v>
      </c>
      <c r="F410" s="29">
        <v>45785</v>
      </c>
      <c r="G410">
        <v>39750</v>
      </c>
      <c r="H410">
        <v>2250</v>
      </c>
      <c r="I410" s="30" t="s">
        <v>26</v>
      </c>
      <c r="J410" s="30" t="s">
        <v>31</v>
      </c>
      <c r="K410">
        <v>6</v>
      </c>
      <c r="L410" s="29">
        <v>46062</v>
      </c>
      <c r="M410" s="29">
        <v>46030</v>
      </c>
      <c r="N410" s="30" t="str">
        <f>VLOOKUP(Query1[[#This Row],[company_name]],'Org Mapping'!$B:$I,8,FALSE)</f>
        <v>Mehr Hashim</v>
      </c>
      <c r="O410" s="30" t="str">
        <f>TEXT(Query1[[#This Row],[last_work_day]],"mmm'yy")</f>
        <v>Feb'26</v>
      </c>
    </row>
    <row r="411" spans="1:15" x14ac:dyDescent="0.35">
      <c r="A411" s="30" t="s">
        <v>1868</v>
      </c>
      <c r="B411" s="30" t="s">
        <v>1818</v>
      </c>
      <c r="C411" s="30" t="s">
        <v>1869</v>
      </c>
      <c r="D411">
        <v>2</v>
      </c>
      <c r="E411" s="30" t="s">
        <v>1870</v>
      </c>
      <c r="F411" s="29">
        <v>45821</v>
      </c>
      <c r="G411">
        <v>86250</v>
      </c>
      <c r="H411">
        <v>11250</v>
      </c>
      <c r="I411" s="30" t="s">
        <v>21</v>
      </c>
      <c r="J411" s="30" t="s">
        <v>113</v>
      </c>
      <c r="K411">
        <v>6</v>
      </c>
      <c r="L411" s="29">
        <v>46031</v>
      </c>
      <c r="M411" s="29">
        <v>45943</v>
      </c>
      <c r="N411" s="30" t="str">
        <f>VLOOKUP(Query1[[#This Row],[company_name]],'Org Mapping'!$B:$I,8,FALSE)</f>
        <v>(Sonia/Dikshitha)</v>
      </c>
      <c r="O411" s="30" t="str">
        <f>TEXT(Query1[[#This Row],[last_work_day]],"mmm'yy")</f>
        <v>Jan'26</v>
      </c>
    </row>
    <row r="412" spans="1:15" x14ac:dyDescent="0.35">
      <c r="A412" s="30" t="s">
        <v>360</v>
      </c>
      <c r="B412" s="30" t="s">
        <v>65</v>
      </c>
      <c r="C412" s="30" t="s">
        <v>1871</v>
      </c>
      <c r="D412">
        <v>2</v>
      </c>
      <c r="E412" s="30" t="s">
        <v>1872</v>
      </c>
      <c r="F412" s="29">
        <v>45783</v>
      </c>
      <c r="G412">
        <v>37090</v>
      </c>
      <c r="H412">
        <v>12090</v>
      </c>
      <c r="I412" s="30" t="s">
        <v>26</v>
      </c>
      <c r="J412" s="30" t="s">
        <v>537</v>
      </c>
      <c r="K412">
        <v>6</v>
      </c>
      <c r="L412" s="29">
        <v>46132</v>
      </c>
      <c r="M412" s="29">
        <v>46132</v>
      </c>
      <c r="N412" s="30" t="str">
        <f>VLOOKUP(Query1[[#This Row],[company_name]],'Org Mapping'!$B:$I,8,FALSE)</f>
        <v>UHG/Lenovo</v>
      </c>
      <c r="O412" s="30" t="str">
        <f>TEXT(Query1[[#This Row],[last_work_day]],"mmm'yy")</f>
        <v>Apr'26</v>
      </c>
    </row>
    <row r="413" spans="1:15" x14ac:dyDescent="0.35">
      <c r="A413" s="30" t="s">
        <v>553</v>
      </c>
      <c r="B413" s="30" t="s">
        <v>65</v>
      </c>
      <c r="C413" s="30" t="s">
        <v>1873</v>
      </c>
      <c r="D413">
        <v>2</v>
      </c>
      <c r="E413" s="30" t="s">
        <v>1874</v>
      </c>
      <c r="F413" s="29">
        <v>45783</v>
      </c>
      <c r="G413">
        <v>37090</v>
      </c>
      <c r="H413">
        <v>12090</v>
      </c>
      <c r="I413" s="30" t="s">
        <v>26</v>
      </c>
      <c r="J413" s="30" t="s">
        <v>537</v>
      </c>
      <c r="K413">
        <v>6</v>
      </c>
      <c r="L413" s="29">
        <v>46165</v>
      </c>
      <c r="M413" s="29">
        <v>46161</v>
      </c>
      <c r="N413" s="30" t="str">
        <f>VLOOKUP(Query1[[#This Row],[company_name]],'Org Mapping'!$B:$I,8,FALSE)</f>
        <v>UHG/Lenovo</v>
      </c>
      <c r="O413" s="30" t="str">
        <f>TEXT(Query1[[#This Row],[last_work_day]],"mmm'yy")</f>
        <v>May'26</v>
      </c>
    </row>
    <row r="414" spans="1:15" x14ac:dyDescent="0.35">
      <c r="A414" s="30" t="s">
        <v>1680</v>
      </c>
      <c r="B414" s="30" t="s">
        <v>1544</v>
      </c>
      <c r="C414" s="30" t="s">
        <v>1875</v>
      </c>
      <c r="D414">
        <v>2</v>
      </c>
      <c r="E414" s="30" t="s">
        <v>1876</v>
      </c>
      <c r="F414" s="29">
        <v>45796</v>
      </c>
      <c r="G414">
        <v>241500</v>
      </c>
      <c r="H414">
        <v>24834</v>
      </c>
      <c r="I414" s="30" t="s">
        <v>16</v>
      </c>
      <c r="J414" s="30" t="s">
        <v>48</v>
      </c>
      <c r="K414">
        <v>6</v>
      </c>
      <c r="L414" s="29">
        <v>46099</v>
      </c>
      <c r="M414" s="29">
        <v>46072</v>
      </c>
      <c r="N414" s="30" t="str">
        <f>VLOOKUP(Query1[[#This Row],[company_name]],'Org Mapping'!$B:$I,8,FALSE)</f>
        <v>Prathap Sagar</v>
      </c>
      <c r="O414" s="30" t="str">
        <f>TEXT(Query1[[#This Row],[last_work_day]],"mmm'yy")</f>
        <v>Mar'26</v>
      </c>
    </row>
    <row r="415" spans="1:15" x14ac:dyDescent="0.35">
      <c r="A415" s="30" t="s">
        <v>1656</v>
      </c>
      <c r="B415" s="30" t="s">
        <v>1657</v>
      </c>
      <c r="C415" s="30" t="s">
        <v>1877</v>
      </c>
      <c r="D415">
        <v>2</v>
      </c>
      <c r="E415" s="30" t="s">
        <v>1878</v>
      </c>
      <c r="F415" s="29">
        <v>45784</v>
      </c>
      <c r="G415">
        <v>336000</v>
      </c>
      <c r="H415">
        <v>94334</v>
      </c>
      <c r="I415" s="30" t="s">
        <v>16</v>
      </c>
      <c r="J415" s="30" t="s">
        <v>233</v>
      </c>
      <c r="K415">
        <v>6</v>
      </c>
      <c r="L415" s="29">
        <v>46066</v>
      </c>
      <c r="M415" s="29">
        <v>46042</v>
      </c>
      <c r="N415" s="30" t="str">
        <f>VLOOKUP(Query1[[#This Row],[company_name]],'Org Mapping'!$B:$I,8,FALSE)</f>
        <v>Anuradha</v>
      </c>
      <c r="O415" s="30" t="str">
        <f>TEXT(Query1[[#This Row],[last_work_day]],"mmm'yy")</f>
        <v>Feb'26</v>
      </c>
    </row>
    <row r="416" spans="1:15" x14ac:dyDescent="0.35">
      <c r="A416" s="30" t="s">
        <v>360</v>
      </c>
      <c r="B416" s="30" t="s">
        <v>65</v>
      </c>
      <c r="C416" s="30" t="s">
        <v>1879</v>
      </c>
      <c r="D416">
        <v>2</v>
      </c>
      <c r="E416" s="30" t="s">
        <v>1880</v>
      </c>
      <c r="F416" s="29">
        <v>45783</v>
      </c>
      <c r="G416">
        <v>37090</v>
      </c>
      <c r="H416">
        <v>12090</v>
      </c>
      <c r="I416" s="30" t="s">
        <v>26</v>
      </c>
      <c r="J416" s="30" t="s">
        <v>537</v>
      </c>
      <c r="K416">
        <v>6</v>
      </c>
      <c r="L416" s="29">
        <v>46174</v>
      </c>
      <c r="M416" s="29">
        <v>46161</v>
      </c>
      <c r="N416" s="30" t="str">
        <f>VLOOKUP(Query1[[#This Row],[company_name]],'Org Mapping'!$B:$I,8,FALSE)</f>
        <v>UHG/Lenovo</v>
      </c>
      <c r="O416" s="30" t="str">
        <f>TEXT(Query1[[#This Row],[last_work_day]],"mmm'yy")</f>
        <v>Jun'26</v>
      </c>
    </row>
    <row r="417" spans="1:15" x14ac:dyDescent="0.35">
      <c r="A417" s="30" t="s">
        <v>1500</v>
      </c>
      <c r="B417" s="30" t="s">
        <v>39</v>
      </c>
      <c r="C417" s="30" t="s">
        <v>1881</v>
      </c>
      <c r="D417">
        <v>2</v>
      </c>
      <c r="E417" s="30" t="s">
        <v>1882</v>
      </c>
      <c r="F417" s="29">
        <v>45785</v>
      </c>
      <c r="G417">
        <v>39750</v>
      </c>
      <c r="H417">
        <v>2250</v>
      </c>
      <c r="I417" s="30" t="s">
        <v>26</v>
      </c>
      <c r="J417" s="30" t="s">
        <v>31</v>
      </c>
      <c r="K417">
        <v>6</v>
      </c>
      <c r="L417" s="29">
        <v>46055</v>
      </c>
      <c r="M417" s="29">
        <v>45961</v>
      </c>
      <c r="N417" s="30" t="str">
        <f>VLOOKUP(Query1[[#This Row],[company_name]],'Org Mapping'!$B:$I,8,FALSE)</f>
        <v>Mehr Hashim</v>
      </c>
      <c r="O417" s="30" t="str">
        <f>TEXT(Query1[[#This Row],[last_work_day]],"mmm'yy")</f>
        <v>Feb'26</v>
      </c>
    </row>
    <row r="418" spans="1:15" x14ac:dyDescent="0.35">
      <c r="A418" s="30" t="s">
        <v>1500</v>
      </c>
      <c r="B418" s="30" t="s">
        <v>39</v>
      </c>
      <c r="C418" s="30" t="s">
        <v>1883</v>
      </c>
      <c r="D418">
        <v>2</v>
      </c>
      <c r="E418" s="30" t="s">
        <v>1884</v>
      </c>
      <c r="F418" s="29">
        <v>45792</v>
      </c>
      <c r="G418">
        <v>40280</v>
      </c>
      <c r="H418">
        <v>2280</v>
      </c>
      <c r="I418" s="30" t="s">
        <v>26</v>
      </c>
      <c r="J418" s="30" t="s">
        <v>31</v>
      </c>
      <c r="K418">
        <v>6</v>
      </c>
      <c r="L418" s="29">
        <v>46100</v>
      </c>
      <c r="M418" s="29">
        <v>46101</v>
      </c>
      <c r="N418" s="30" t="str">
        <f>VLOOKUP(Query1[[#This Row],[company_name]],'Org Mapping'!$B:$I,8,FALSE)</f>
        <v>Mehr Hashim</v>
      </c>
      <c r="O418" s="30" t="str">
        <f>TEXT(Query1[[#This Row],[last_work_day]],"mmm'yy")</f>
        <v>Mar'26</v>
      </c>
    </row>
    <row r="419" spans="1:15" x14ac:dyDescent="0.35">
      <c r="A419" s="30" t="s">
        <v>1531</v>
      </c>
      <c r="B419" s="30" t="s">
        <v>1562</v>
      </c>
      <c r="C419" s="30" t="s">
        <v>1885</v>
      </c>
      <c r="D419">
        <v>1</v>
      </c>
      <c r="E419" s="30" t="s">
        <v>1886</v>
      </c>
      <c r="F419" s="29">
        <v>45785</v>
      </c>
      <c r="G419">
        <v>46683</v>
      </c>
      <c r="H419">
        <v>13350</v>
      </c>
      <c r="I419" s="30" t="s">
        <v>16</v>
      </c>
      <c r="J419" s="30" t="s">
        <v>119</v>
      </c>
      <c r="K419">
        <v>6</v>
      </c>
      <c r="L419" s="29">
        <v>46167</v>
      </c>
      <c r="M419" s="29">
        <v>45952</v>
      </c>
      <c r="N419" s="30" t="str">
        <f>VLOOKUP(Query1[[#This Row],[company_name]],'Org Mapping'!$B:$I,8,FALSE)</f>
        <v>Anuradha</v>
      </c>
      <c r="O419" s="30" t="str">
        <f>TEXT(Query1[[#This Row],[last_work_day]],"mmm'yy")</f>
        <v>May'26</v>
      </c>
    </row>
    <row r="420" spans="1:15" x14ac:dyDescent="0.35">
      <c r="A420" s="30" t="s">
        <v>553</v>
      </c>
      <c r="B420" s="30" t="s">
        <v>65</v>
      </c>
      <c r="C420" s="30" t="s">
        <v>1887</v>
      </c>
      <c r="D420">
        <v>2</v>
      </c>
      <c r="E420" s="30" t="s">
        <v>1888</v>
      </c>
      <c r="F420" s="29">
        <v>45784</v>
      </c>
      <c r="G420">
        <v>37090</v>
      </c>
      <c r="H420">
        <v>12090</v>
      </c>
      <c r="I420" s="30" t="s">
        <v>26</v>
      </c>
      <c r="J420" s="30" t="s">
        <v>537</v>
      </c>
      <c r="K420">
        <v>6</v>
      </c>
      <c r="L420" s="29">
        <v>46150</v>
      </c>
      <c r="M420" s="29">
        <v>46150</v>
      </c>
      <c r="N420" s="30" t="str">
        <f>VLOOKUP(Query1[[#This Row],[company_name]],'Org Mapping'!$B:$I,8,FALSE)</f>
        <v>UHG/Lenovo</v>
      </c>
      <c r="O420" s="30" t="str">
        <f>TEXT(Query1[[#This Row],[last_work_day]],"mmm'yy")</f>
        <v>May'26</v>
      </c>
    </row>
    <row r="421" spans="1:15" x14ac:dyDescent="0.35">
      <c r="A421" s="30" t="s">
        <v>360</v>
      </c>
      <c r="B421" s="30" t="s">
        <v>65</v>
      </c>
      <c r="C421" s="30" t="s">
        <v>1889</v>
      </c>
      <c r="D421">
        <v>2</v>
      </c>
      <c r="E421" s="30" t="s">
        <v>1890</v>
      </c>
      <c r="F421" s="29">
        <v>45784</v>
      </c>
      <c r="G421">
        <v>37090</v>
      </c>
      <c r="H421">
        <v>7090</v>
      </c>
      <c r="I421" s="30" t="s">
        <v>26</v>
      </c>
      <c r="J421" s="30" t="s">
        <v>537</v>
      </c>
      <c r="K421">
        <v>6</v>
      </c>
      <c r="L421" s="29">
        <v>46174</v>
      </c>
      <c r="M421" s="29">
        <v>46161</v>
      </c>
      <c r="N421" s="30" t="str">
        <f>VLOOKUP(Query1[[#This Row],[company_name]],'Org Mapping'!$B:$I,8,FALSE)</f>
        <v>UHG/Lenovo</v>
      </c>
      <c r="O421" s="30" t="str">
        <f>TEXT(Query1[[#This Row],[last_work_day]],"mmm'yy")</f>
        <v>Jun'26</v>
      </c>
    </row>
    <row r="422" spans="1:15" x14ac:dyDescent="0.35">
      <c r="A422" s="30" t="s">
        <v>1891</v>
      </c>
      <c r="B422" s="30" t="s">
        <v>503</v>
      </c>
      <c r="C422" s="30" t="s">
        <v>1892</v>
      </c>
      <c r="D422">
        <v>2</v>
      </c>
      <c r="E422" s="30" t="s">
        <v>1893</v>
      </c>
      <c r="F422" s="29">
        <v>45789</v>
      </c>
      <c r="G422">
        <v>188500</v>
      </c>
      <c r="H422">
        <v>63500</v>
      </c>
      <c r="I422" s="30" t="s">
        <v>21</v>
      </c>
      <c r="J422" s="30" t="s">
        <v>524</v>
      </c>
      <c r="K422">
        <v>6</v>
      </c>
      <c r="L422" s="29">
        <v>46089</v>
      </c>
      <c r="M422" s="29">
        <v>46091</v>
      </c>
      <c r="N422" s="30" t="str">
        <f>VLOOKUP(Query1[[#This Row],[company_name]],'Org Mapping'!$B:$I,8,FALSE)</f>
        <v>Sadhna Shukla</v>
      </c>
      <c r="O422" s="30" t="str">
        <f>TEXT(Query1[[#This Row],[last_work_day]],"mmm'yy")</f>
        <v>Mar'26</v>
      </c>
    </row>
    <row r="423" spans="1:15" x14ac:dyDescent="0.35">
      <c r="A423" s="30" t="s">
        <v>1894</v>
      </c>
      <c r="B423" s="30" t="s">
        <v>1756</v>
      </c>
      <c r="C423" s="30" t="s">
        <v>1895</v>
      </c>
      <c r="D423">
        <v>2</v>
      </c>
      <c r="E423" s="30" t="s">
        <v>1896</v>
      </c>
      <c r="F423" s="29">
        <v>45789</v>
      </c>
      <c r="G423">
        <v>272391</v>
      </c>
      <c r="H423">
        <v>22391</v>
      </c>
      <c r="I423" s="30" t="s">
        <v>21</v>
      </c>
      <c r="J423" s="30" t="s">
        <v>561</v>
      </c>
      <c r="K423">
        <v>6</v>
      </c>
      <c r="L423" s="29">
        <v>46035</v>
      </c>
      <c r="M423" s="29">
        <v>46003</v>
      </c>
      <c r="N423" s="30" t="str">
        <f>VLOOKUP(Query1[[#This Row],[company_name]],'Org Mapping'!$B:$I,8,FALSE)</f>
        <v>TBA</v>
      </c>
      <c r="O423" s="30" t="str">
        <f>TEXT(Query1[[#This Row],[last_work_day]],"mmm'yy")</f>
        <v>Jan'26</v>
      </c>
    </row>
    <row r="424" spans="1:15" x14ac:dyDescent="0.35">
      <c r="A424" s="30" t="s">
        <v>557</v>
      </c>
      <c r="B424" s="30" t="s">
        <v>65</v>
      </c>
      <c r="C424" s="30" t="s">
        <v>1897</v>
      </c>
      <c r="D424">
        <v>2</v>
      </c>
      <c r="E424" s="30" t="s">
        <v>1898</v>
      </c>
      <c r="F424" s="29">
        <v>45793</v>
      </c>
      <c r="G424">
        <v>37090</v>
      </c>
      <c r="H424">
        <v>12090</v>
      </c>
      <c r="I424" s="30" t="s">
        <v>26</v>
      </c>
      <c r="J424" s="30" t="s">
        <v>537</v>
      </c>
      <c r="K424">
        <v>6</v>
      </c>
      <c r="L424" s="29">
        <v>46164</v>
      </c>
      <c r="M424" s="29">
        <v>46161</v>
      </c>
      <c r="N424" s="30" t="str">
        <f>VLOOKUP(Query1[[#This Row],[company_name]],'Org Mapping'!$B:$I,8,FALSE)</f>
        <v>UHG/Lenovo</v>
      </c>
      <c r="O424" s="30" t="str">
        <f>TEXT(Query1[[#This Row],[last_work_day]],"mmm'yy")</f>
        <v>May'26</v>
      </c>
    </row>
    <row r="425" spans="1:15" x14ac:dyDescent="0.35">
      <c r="A425" s="30" t="s">
        <v>553</v>
      </c>
      <c r="B425" s="30" t="s">
        <v>65</v>
      </c>
      <c r="C425" s="30" t="s">
        <v>1899</v>
      </c>
      <c r="D425">
        <v>2</v>
      </c>
      <c r="E425" s="30" t="s">
        <v>1900</v>
      </c>
      <c r="F425" s="29">
        <v>45793</v>
      </c>
      <c r="G425">
        <v>37090</v>
      </c>
      <c r="H425">
        <v>12090</v>
      </c>
      <c r="I425" s="30" t="s">
        <v>26</v>
      </c>
      <c r="J425" s="30" t="s">
        <v>537</v>
      </c>
      <c r="K425">
        <v>6</v>
      </c>
      <c r="L425" s="29">
        <v>46174</v>
      </c>
      <c r="M425" s="29">
        <v>46161</v>
      </c>
      <c r="N425" s="30" t="str">
        <f>VLOOKUP(Query1[[#This Row],[company_name]],'Org Mapping'!$B:$I,8,FALSE)</f>
        <v>UHG/Lenovo</v>
      </c>
      <c r="O425" s="30" t="str">
        <f>TEXT(Query1[[#This Row],[last_work_day]],"mmm'yy")</f>
        <v>Jun'26</v>
      </c>
    </row>
    <row r="426" spans="1:15" x14ac:dyDescent="0.35">
      <c r="A426" s="30" t="s">
        <v>1464</v>
      </c>
      <c r="B426" s="30" t="s">
        <v>39</v>
      </c>
      <c r="C426" s="30" t="s">
        <v>1901</v>
      </c>
      <c r="D426">
        <v>2</v>
      </c>
      <c r="E426" s="30" t="s">
        <v>1902</v>
      </c>
      <c r="F426" s="29">
        <v>45804</v>
      </c>
      <c r="G426">
        <v>125000</v>
      </c>
      <c r="H426">
        <v>66667</v>
      </c>
      <c r="I426" s="30" t="s">
        <v>16</v>
      </c>
      <c r="J426" s="30" t="s">
        <v>49</v>
      </c>
      <c r="K426">
        <v>6</v>
      </c>
      <c r="L426" s="29">
        <v>46171</v>
      </c>
      <c r="M426" s="29">
        <v>46129</v>
      </c>
      <c r="N426" s="30" t="str">
        <f>VLOOKUP(Query1[[#This Row],[company_name]],'Org Mapping'!$B:$I,8,FALSE)</f>
        <v>Mehr Hashim</v>
      </c>
      <c r="O426" s="30" t="str">
        <f>TEXT(Query1[[#This Row],[last_work_day]],"mmm'yy")</f>
        <v>May'26</v>
      </c>
    </row>
    <row r="427" spans="1:15" x14ac:dyDescent="0.35">
      <c r="A427" s="30" t="s">
        <v>553</v>
      </c>
      <c r="B427" s="30" t="s">
        <v>65</v>
      </c>
      <c r="C427" s="30" t="s">
        <v>1903</v>
      </c>
      <c r="D427">
        <v>2</v>
      </c>
      <c r="E427" s="30" t="s">
        <v>1904</v>
      </c>
      <c r="F427" s="29">
        <v>45793</v>
      </c>
      <c r="G427">
        <v>37090</v>
      </c>
      <c r="H427">
        <v>12090</v>
      </c>
      <c r="I427" s="30" t="s">
        <v>26</v>
      </c>
      <c r="J427" s="30" t="s">
        <v>537</v>
      </c>
      <c r="K427">
        <v>6</v>
      </c>
      <c r="L427" s="29">
        <v>46169</v>
      </c>
      <c r="M427" s="29">
        <v>46161</v>
      </c>
      <c r="N427" s="30" t="str">
        <f>VLOOKUP(Query1[[#This Row],[company_name]],'Org Mapping'!$B:$I,8,FALSE)</f>
        <v>UHG/Lenovo</v>
      </c>
      <c r="O427" s="30" t="str">
        <f>TEXT(Query1[[#This Row],[last_work_day]],"mmm'yy")</f>
        <v>May'26</v>
      </c>
    </row>
    <row r="428" spans="1:15" x14ac:dyDescent="0.35">
      <c r="A428" s="30" t="s">
        <v>1482</v>
      </c>
      <c r="B428" s="30" t="s">
        <v>39</v>
      </c>
      <c r="C428" s="30" t="s">
        <v>1905</v>
      </c>
      <c r="D428">
        <v>2</v>
      </c>
      <c r="E428" s="30" t="s">
        <v>1906</v>
      </c>
      <c r="F428" s="29">
        <v>45796</v>
      </c>
      <c r="G428">
        <v>440000</v>
      </c>
      <c r="H428">
        <v>131667</v>
      </c>
      <c r="I428" s="30" t="s">
        <v>16</v>
      </c>
      <c r="J428" s="30" t="s">
        <v>495</v>
      </c>
      <c r="K428">
        <v>6</v>
      </c>
      <c r="L428" s="29">
        <v>46150</v>
      </c>
      <c r="M428" s="29">
        <v>46122</v>
      </c>
      <c r="N428" s="30" t="str">
        <f>VLOOKUP(Query1[[#This Row],[company_name]],'Org Mapping'!$B:$I,8,FALSE)</f>
        <v>Mehr Hashim</v>
      </c>
      <c r="O428" s="30" t="str">
        <f>TEXT(Query1[[#This Row],[last_work_day]],"mmm'yy")</f>
        <v>May'26</v>
      </c>
    </row>
    <row r="429" spans="1:15" x14ac:dyDescent="0.35">
      <c r="A429" s="30" t="s">
        <v>1500</v>
      </c>
      <c r="B429" s="30" t="s">
        <v>39</v>
      </c>
      <c r="C429" s="30" t="s">
        <v>1907</v>
      </c>
      <c r="D429">
        <v>2</v>
      </c>
      <c r="E429" s="30" t="s">
        <v>1908</v>
      </c>
      <c r="F429" s="29">
        <v>45806</v>
      </c>
      <c r="G429">
        <v>39750</v>
      </c>
      <c r="H429">
        <v>2250</v>
      </c>
      <c r="I429" s="30" t="s">
        <v>26</v>
      </c>
      <c r="J429" s="30" t="s">
        <v>31</v>
      </c>
      <c r="K429">
        <v>6</v>
      </c>
      <c r="L429" s="29">
        <v>46036</v>
      </c>
      <c r="M429" s="29">
        <v>46030</v>
      </c>
      <c r="N429" s="30" t="str">
        <f>VLOOKUP(Query1[[#This Row],[company_name]],'Org Mapping'!$B:$I,8,FALSE)</f>
        <v>Mehr Hashim</v>
      </c>
      <c r="O429" s="30" t="str">
        <f>TEXT(Query1[[#This Row],[last_work_day]],"mmm'yy")</f>
        <v>Jan'26</v>
      </c>
    </row>
    <row r="430" spans="1:15" x14ac:dyDescent="0.35">
      <c r="A430" s="30" t="s">
        <v>309</v>
      </c>
      <c r="B430" s="30" t="s">
        <v>43</v>
      </c>
      <c r="C430" s="30" t="s">
        <v>562</v>
      </c>
      <c r="D430">
        <v>6</v>
      </c>
      <c r="E430" s="30" t="s">
        <v>563</v>
      </c>
      <c r="F430" s="29">
        <v>45799</v>
      </c>
      <c r="G430">
        <v>50700</v>
      </c>
      <c r="H430">
        <v>7367</v>
      </c>
      <c r="I430" s="30" t="s">
        <v>91</v>
      </c>
      <c r="J430" s="30" t="s">
        <v>17</v>
      </c>
      <c r="K430">
        <v>6</v>
      </c>
      <c r="L430" s="29">
        <v>46036</v>
      </c>
      <c r="M430" s="29">
        <v>46042</v>
      </c>
      <c r="N430" s="30" t="str">
        <f>VLOOKUP(Query1[[#This Row],[company_name]],'Org Mapping'!$B:$I,8,FALSE)</f>
        <v>Jawad Ulla Khan</v>
      </c>
      <c r="O430" s="30" t="str">
        <f>TEXT(Query1[[#This Row],[last_work_day]],"mmm'yy")</f>
        <v>Jan'26</v>
      </c>
    </row>
    <row r="431" spans="1:15" x14ac:dyDescent="0.35">
      <c r="A431" s="30" t="s">
        <v>481</v>
      </c>
      <c r="B431" s="30" t="s">
        <v>65</v>
      </c>
      <c r="C431" s="30" t="s">
        <v>1909</v>
      </c>
      <c r="D431">
        <v>2</v>
      </c>
      <c r="E431" s="30" t="s">
        <v>1910</v>
      </c>
      <c r="F431" s="29">
        <v>45793</v>
      </c>
      <c r="G431">
        <v>37090</v>
      </c>
      <c r="H431">
        <v>12090</v>
      </c>
      <c r="I431" s="30" t="s">
        <v>91</v>
      </c>
      <c r="J431" s="30" t="s">
        <v>537</v>
      </c>
      <c r="K431">
        <v>6</v>
      </c>
      <c r="L431" s="29">
        <v>46045</v>
      </c>
      <c r="M431" s="29">
        <v>46049</v>
      </c>
      <c r="N431" s="30" t="str">
        <f>VLOOKUP(Query1[[#This Row],[company_name]],'Org Mapping'!$B:$I,8,FALSE)</f>
        <v>UHG/Lenovo</v>
      </c>
      <c r="O431" s="30" t="str">
        <f>TEXT(Query1[[#This Row],[last_work_day]],"mmm'yy")</f>
        <v>Jan'26</v>
      </c>
    </row>
    <row r="432" spans="1:15" x14ac:dyDescent="0.35">
      <c r="A432" s="30" t="s">
        <v>1911</v>
      </c>
      <c r="B432" s="30" t="s">
        <v>39</v>
      </c>
      <c r="C432" s="30" t="s">
        <v>1912</v>
      </c>
      <c r="D432">
        <v>2</v>
      </c>
      <c r="E432" s="30" t="s">
        <v>1913</v>
      </c>
      <c r="F432" s="29">
        <v>45817</v>
      </c>
      <c r="G432">
        <v>48583.33</v>
      </c>
      <c r="H432">
        <v>2750.33</v>
      </c>
      <c r="I432" s="30" t="s">
        <v>26</v>
      </c>
      <c r="J432" s="30" t="s">
        <v>31</v>
      </c>
      <c r="K432">
        <v>6</v>
      </c>
      <c r="L432" s="29">
        <v>46038</v>
      </c>
      <c r="M432" s="29">
        <v>46008</v>
      </c>
      <c r="N432" s="30" t="str">
        <f>VLOOKUP(Query1[[#This Row],[company_name]],'Org Mapping'!$B:$I,8,FALSE)</f>
        <v>Mehr Hashim</v>
      </c>
      <c r="O432" s="30" t="str">
        <f>TEXT(Query1[[#This Row],[last_work_day]],"mmm'yy")</f>
        <v>Jan'26</v>
      </c>
    </row>
    <row r="433" spans="1:15" x14ac:dyDescent="0.35">
      <c r="A433" s="30" t="s">
        <v>481</v>
      </c>
      <c r="B433" s="30" t="s">
        <v>65</v>
      </c>
      <c r="C433" s="30" t="s">
        <v>1914</v>
      </c>
      <c r="D433">
        <v>2</v>
      </c>
      <c r="E433" s="30" t="s">
        <v>1915</v>
      </c>
      <c r="F433" s="29">
        <v>45800</v>
      </c>
      <c r="G433">
        <v>37090</v>
      </c>
      <c r="H433">
        <v>12090</v>
      </c>
      <c r="I433" s="30" t="s">
        <v>26</v>
      </c>
      <c r="J433" s="30" t="s">
        <v>537</v>
      </c>
      <c r="K433">
        <v>6</v>
      </c>
      <c r="L433" s="29">
        <v>46129</v>
      </c>
      <c r="M433" s="29">
        <v>46136</v>
      </c>
      <c r="N433" s="30" t="str">
        <f>VLOOKUP(Query1[[#This Row],[company_name]],'Org Mapping'!$B:$I,8,FALSE)</f>
        <v>UHG/Lenovo</v>
      </c>
      <c r="O433" s="30" t="str">
        <f>TEXT(Query1[[#This Row],[last_work_day]],"mmm'yy")</f>
        <v>Apr'26</v>
      </c>
    </row>
    <row r="434" spans="1:15" x14ac:dyDescent="0.35">
      <c r="A434" s="30" t="s">
        <v>553</v>
      </c>
      <c r="B434" s="30" t="s">
        <v>65</v>
      </c>
      <c r="C434" s="30" t="s">
        <v>1916</v>
      </c>
      <c r="D434">
        <v>2</v>
      </c>
      <c r="E434" s="30" t="s">
        <v>1917</v>
      </c>
      <c r="F434" s="29">
        <v>45800</v>
      </c>
      <c r="G434">
        <v>37090</v>
      </c>
      <c r="H434">
        <v>12090</v>
      </c>
      <c r="I434" s="30" t="s">
        <v>26</v>
      </c>
      <c r="J434" s="30" t="s">
        <v>537</v>
      </c>
      <c r="K434">
        <v>6</v>
      </c>
      <c r="L434" s="29">
        <v>46024</v>
      </c>
      <c r="M434" s="29">
        <v>45995</v>
      </c>
      <c r="N434" s="30" t="str">
        <f>VLOOKUP(Query1[[#This Row],[company_name]],'Org Mapping'!$B:$I,8,FALSE)</f>
        <v>UHG/Lenovo</v>
      </c>
      <c r="O434" s="30" t="str">
        <f>TEXT(Query1[[#This Row],[last_work_day]],"mmm'yy")</f>
        <v>Jan'26</v>
      </c>
    </row>
    <row r="435" spans="1:15" x14ac:dyDescent="0.35">
      <c r="A435" s="30" t="s">
        <v>1911</v>
      </c>
      <c r="B435" s="30" t="s">
        <v>39</v>
      </c>
      <c r="C435" s="30" t="s">
        <v>1918</v>
      </c>
      <c r="D435">
        <v>2</v>
      </c>
      <c r="E435" s="30" t="s">
        <v>1919</v>
      </c>
      <c r="F435" s="29">
        <v>45799</v>
      </c>
      <c r="G435">
        <v>40280</v>
      </c>
      <c r="H435">
        <v>2280</v>
      </c>
      <c r="I435" s="30" t="s">
        <v>91</v>
      </c>
      <c r="J435" s="30" t="s">
        <v>31</v>
      </c>
      <c r="K435">
        <v>6</v>
      </c>
      <c r="L435" s="29">
        <v>46083</v>
      </c>
      <c r="M435" s="29">
        <v>46069</v>
      </c>
      <c r="N435" s="30" t="str">
        <f>VLOOKUP(Query1[[#This Row],[company_name]],'Org Mapping'!$B:$I,8,FALSE)</f>
        <v>Mehr Hashim</v>
      </c>
      <c r="O435" s="30" t="str">
        <f>TEXT(Query1[[#This Row],[last_work_day]],"mmm'yy")</f>
        <v>Mar'26</v>
      </c>
    </row>
    <row r="436" spans="1:15" x14ac:dyDescent="0.35">
      <c r="A436" s="30" t="s">
        <v>98</v>
      </c>
      <c r="B436" s="30" t="s">
        <v>65</v>
      </c>
      <c r="C436" s="30" t="s">
        <v>564</v>
      </c>
      <c r="D436">
        <v>2</v>
      </c>
      <c r="E436" s="30" t="s">
        <v>565</v>
      </c>
      <c r="F436" s="29">
        <v>45800</v>
      </c>
      <c r="G436">
        <v>23718</v>
      </c>
      <c r="H436">
        <v>3618</v>
      </c>
      <c r="I436" s="30" t="s">
        <v>26</v>
      </c>
      <c r="J436" s="30" t="s">
        <v>76</v>
      </c>
      <c r="K436">
        <v>6</v>
      </c>
      <c r="L436" s="29">
        <v>46086</v>
      </c>
      <c r="M436" s="29">
        <v>45971</v>
      </c>
      <c r="N436" s="30" t="str">
        <f>VLOOKUP(Query1[[#This Row],[company_name]],'Org Mapping'!$B:$I,8,FALSE)</f>
        <v>Jawad Ulla Khan</v>
      </c>
      <c r="O436" s="30" t="str">
        <f>TEXT(Query1[[#This Row],[last_work_day]],"mmm'yy")</f>
        <v>Mar'26</v>
      </c>
    </row>
    <row r="437" spans="1:15" x14ac:dyDescent="0.35">
      <c r="A437" s="30" t="s">
        <v>343</v>
      </c>
      <c r="B437" s="30" t="s">
        <v>293</v>
      </c>
      <c r="C437" s="30" t="s">
        <v>1920</v>
      </c>
      <c r="D437">
        <v>2</v>
      </c>
      <c r="E437" s="30" t="s">
        <v>1921</v>
      </c>
      <c r="F437" s="29">
        <v>45803</v>
      </c>
      <c r="G437">
        <v>352632</v>
      </c>
      <c r="H437">
        <v>119299</v>
      </c>
      <c r="I437" s="30" t="s">
        <v>16</v>
      </c>
      <c r="J437" s="30" t="s">
        <v>257</v>
      </c>
      <c r="K437">
        <v>6</v>
      </c>
      <c r="L437" s="29">
        <v>46108</v>
      </c>
      <c r="M437" s="29">
        <v>46063</v>
      </c>
      <c r="N437" s="30" t="str">
        <f>VLOOKUP(Query1[[#This Row],[company_name]],'Org Mapping'!$B:$I,8,FALSE)</f>
        <v>Anuradha</v>
      </c>
      <c r="O437" s="30" t="str">
        <f>TEXT(Query1[[#This Row],[last_work_day]],"mmm'yy")</f>
        <v>Mar'26</v>
      </c>
    </row>
    <row r="438" spans="1:15" x14ac:dyDescent="0.35">
      <c r="A438" s="30" t="s">
        <v>1911</v>
      </c>
      <c r="B438" s="30" t="s">
        <v>39</v>
      </c>
      <c r="C438" s="30" t="s">
        <v>1922</v>
      </c>
      <c r="D438">
        <v>2</v>
      </c>
      <c r="E438" s="30" t="s">
        <v>1923</v>
      </c>
      <c r="F438" s="29">
        <v>45803</v>
      </c>
      <c r="G438">
        <v>48583.33</v>
      </c>
      <c r="H438">
        <v>2750.33</v>
      </c>
      <c r="I438" s="30" t="s">
        <v>26</v>
      </c>
      <c r="J438" s="30" t="s">
        <v>31</v>
      </c>
      <c r="K438">
        <v>6</v>
      </c>
      <c r="L438" s="29">
        <v>46084</v>
      </c>
      <c r="M438" s="29">
        <v>46050</v>
      </c>
      <c r="N438" s="30" t="str">
        <f>VLOOKUP(Query1[[#This Row],[company_name]],'Org Mapping'!$B:$I,8,FALSE)</f>
        <v>Mehr Hashim</v>
      </c>
      <c r="O438" s="30" t="str">
        <f>TEXT(Query1[[#This Row],[last_work_day]],"mmm'yy")</f>
        <v>Mar'26</v>
      </c>
    </row>
    <row r="439" spans="1:15" x14ac:dyDescent="0.35">
      <c r="A439" s="30" t="s">
        <v>553</v>
      </c>
      <c r="B439" s="30" t="s">
        <v>65</v>
      </c>
      <c r="C439" s="30" t="s">
        <v>1924</v>
      </c>
      <c r="D439">
        <v>2</v>
      </c>
      <c r="E439" s="30" t="s">
        <v>1925</v>
      </c>
      <c r="F439" s="29">
        <v>45800</v>
      </c>
      <c r="G439">
        <v>37090</v>
      </c>
      <c r="H439">
        <v>12090</v>
      </c>
      <c r="I439" s="30" t="s">
        <v>26</v>
      </c>
      <c r="J439" s="30" t="s">
        <v>537</v>
      </c>
      <c r="K439">
        <v>6</v>
      </c>
      <c r="L439" s="29">
        <v>46070</v>
      </c>
      <c r="M439" s="29">
        <v>46070</v>
      </c>
      <c r="N439" s="30" t="str">
        <f>VLOOKUP(Query1[[#This Row],[company_name]],'Org Mapping'!$B:$I,8,FALSE)</f>
        <v>UHG/Lenovo</v>
      </c>
      <c r="O439" s="30" t="str">
        <f>TEXT(Query1[[#This Row],[last_work_day]],"mmm'yy")</f>
        <v>Feb'26</v>
      </c>
    </row>
    <row r="440" spans="1:15" x14ac:dyDescent="0.35">
      <c r="A440" s="30" t="s">
        <v>546</v>
      </c>
      <c r="B440" s="30" t="s">
        <v>65</v>
      </c>
      <c r="C440" s="30" t="s">
        <v>1926</v>
      </c>
      <c r="D440">
        <v>2</v>
      </c>
      <c r="E440" s="30" t="s">
        <v>1927</v>
      </c>
      <c r="F440" s="29">
        <v>45800</v>
      </c>
      <c r="G440">
        <v>37090</v>
      </c>
      <c r="H440">
        <v>12090</v>
      </c>
      <c r="I440" s="30" t="s">
        <v>26</v>
      </c>
      <c r="J440" s="30" t="s">
        <v>537</v>
      </c>
      <c r="K440">
        <v>6</v>
      </c>
      <c r="L440" s="29">
        <v>46165</v>
      </c>
      <c r="M440" s="29">
        <v>46149</v>
      </c>
      <c r="N440" s="30" t="str">
        <f>VLOOKUP(Query1[[#This Row],[company_name]],'Org Mapping'!$B:$I,8,FALSE)</f>
        <v>UHG/Lenovo</v>
      </c>
      <c r="O440" s="30" t="str">
        <f>TEXT(Query1[[#This Row],[last_work_day]],"mmm'yy")</f>
        <v>May'26</v>
      </c>
    </row>
    <row r="441" spans="1:15" x14ac:dyDescent="0.35">
      <c r="A441" s="30" t="s">
        <v>546</v>
      </c>
      <c r="B441" s="30" t="s">
        <v>65</v>
      </c>
      <c r="C441" s="30" t="s">
        <v>1928</v>
      </c>
      <c r="D441">
        <v>2</v>
      </c>
      <c r="E441" s="30" t="s">
        <v>1929</v>
      </c>
      <c r="F441" s="29">
        <v>45800</v>
      </c>
      <c r="G441">
        <v>37090</v>
      </c>
      <c r="H441">
        <v>12090</v>
      </c>
      <c r="I441" s="30" t="s">
        <v>26</v>
      </c>
      <c r="J441" s="30" t="s">
        <v>537</v>
      </c>
      <c r="K441">
        <v>6</v>
      </c>
      <c r="L441" s="29">
        <v>46115</v>
      </c>
      <c r="M441" s="29">
        <v>46115</v>
      </c>
      <c r="N441" s="30" t="str">
        <f>VLOOKUP(Query1[[#This Row],[company_name]],'Org Mapping'!$B:$I,8,FALSE)</f>
        <v>UHG/Lenovo</v>
      </c>
      <c r="O441" s="30" t="str">
        <f>TEXT(Query1[[#This Row],[last_work_day]],"mmm'yy")</f>
        <v>Apr'26</v>
      </c>
    </row>
    <row r="442" spans="1:15" x14ac:dyDescent="0.35">
      <c r="A442" s="30" t="s">
        <v>98</v>
      </c>
      <c r="B442" s="30" t="s">
        <v>65</v>
      </c>
      <c r="C442" s="30" t="s">
        <v>1930</v>
      </c>
      <c r="D442">
        <v>2</v>
      </c>
      <c r="E442" s="30" t="s">
        <v>1931</v>
      </c>
      <c r="F442" s="29">
        <v>45804</v>
      </c>
      <c r="G442">
        <v>35441</v>
      </c>
      <c r="H442">
        <v>6650</v>
      </c>
      <c r="I442" s="30" t="s">
        <v>26</v>
      </c>
      <c r="J442" s="30" t="s">
        <v>566</v>
      </c>
      <c r="K442">
        <v>6</v>
      </c>
      <c r="L442" s="29">
        <v>46045</v>
      </c>
      <c r="M442" s="29">
        <v>46053</v>
      </c>
      <c r="N442" s="30" t="str">
        <f>VLOOKUP(Query1[[#This Row],[company_name]],'Org Mapping'!$B:$I,8,FALSE)</f>
        <v>UHG/Lenovo</v>
      </c>
      <c r="O442" s="30" t="str">
        <f>TEXT(Query1[[#This Row],[last_work_day]],"mmm'yy")</f>
        <v>Jan'26</v>
      </c>
    </row>
    <row r="443" spans="1:15" x14ac:dyDescent="0.35">
      <c r="A443" s="30" t="s">
        <v>98</v>
      </c>
      <c r="B443" s="30" t="s">
        <v>65</v>
      </c>
      <c r="C443" s="30" t="s">
        <v>1932</v>
      </c>
      <c r="D443">
        <v>2</v>
      </c>
      <c r="E443" s="30" t="s">
        <v>1933</v>
      </c>
      <c r="F443" s="29">
        <v>45804</v>
      </c>
      <c r="G443">
        <v>45587.92</v>
      </c>
      <c r="H443">
        <v>6650.92</v>
      </c>
      <c r="I443" s="30" t="s">
        <v>21</v>
      </c>
      <c r="J443" s="30" t="s">
        <v>566</v>
      </c>
      <c r="K443">
        <v>6</v>
      </c>
      <c r="L443" s="29">
        <v>46029</v>
      </c>
      <c r="M443" s="29">
        <v>46035</v>
      </c>
      <c r="N443" s="30" t="str">
        <f>VLOOKUP(Query1[[#This Row],[company_name]],'Org Mapping'!$B:$I,8,FALSE)</f>
        <v>UHG/Lenovo</v>
      </c>
      <c r="O443" s="30" t="str">
        <f>TEXT(Query1[[#This Row],[last_work_day]],"mmm'yy")</f>
        <v>Jan'26</v>
      </c>
    </row>
    <row r="444" spans="1:15" x14ac:dyDescent="0.35">
      <c r="A444" s="30" t="s">
        <v>98</v>
      </c>
      <c r="B444" s="30" t="s">
        <v>65</v>
      </c>
      <c r="C444" s="30" t="s">
        <v>1934</v>
      </c>
      <c r="D444">
        <v>2</v>
      </c>
      <c r="E444" s="30" t="s">
        <v>1935</v>
      </c>
      <c r="F444" s="29">
        <v>45804</v>
      </c>
      <c r="G444">
        <v>36907</v>
      </c>
      <c r="H444">
        <v>6650</v>
      </c>
      <c r="I444" s="30" t="s">
        <v>26</v>
      </c>
      <c r="J444" s="30" t="s">
        <v>566</v>
      </c>
      <c r="K444">
        <v>6</v>
      </c>
      <c r="L444" s="29">
        <v>46172</v>
      </c>
      <c r="M444" s="29">
        <v>46161</v>
      </c>
      <c r="N444" s="30" t="str">
        <f>VLOOKUP(Query1[[#This Row],[company_name]],'Org Mapping'!$B:$I,8,FALSE)</f>
        <v>UHG/Lenovo</v>
      </c>
      <c r="O444" s="30" t="str">
        <f>TEXT(Query1[[#This Row],[last_work_day]],"mmm'yy")</f>
        <v>May'26</v>
      </c>
    </row>
    <row r="445" spans="1:15" x14ac:dyDescent="0.35">
      <c r="A445" s="30" t="s">
        <v>481</v>
      </c>
      <c r="B445" s="30" t="s">
        <v>65</v>
      </c>
      <c r="C445" s="30" t="s">
        <v>1936</v>
      </c>
      <c r="D445">
        <v>2</v>
      </c>
      <c r="E445" s="30" t="s">
        <v>1937</v>
      </c>
      <c r="F445" s="29">
        <v>45808</v>
      </c>
      <c r="G445">
        <v>34051</v>
      </c>
      <c r="H445">
        <v>6650</v>
      </c>
      <c r="I445" s="30" t="s">
        <v>26</v>
      </c>
      <c r="J445" s="30" t="s">
        <v>566</v>
      </c>
      <c r="K445">
        <v>6</v>
      </c>
      <c r="L445" s="29">
        <v>46127</v>
      </c>
      <c r="M445" s="29">
        <v>46161</v>
      </c>
      <c r="N445" s="30" t="str">
        <f>VLOOKUP(Query1[[#This Row],[company_name]],'Org Mapping'!$B:$I,8,FALSE)</f>
        <v>UHG/Lenovo</v>
      </c>
      <c r="O445" s="30" t="str">
        <f>TEXT(Query1[[#This Row],[last_work_day]],"mmm'yy")</f>
        <v>Apr'26</v>
      </c>
    </row>
    <row r="446" spans="1:15" x14ac:dyDescent="0.35">
      <c r="A446" s="30" t="s">
        <v>542</v>
      </c>
      <c r="B446" s="30" t="s">
        <v>65</v>
      </c>
      <c r="C446" s="30" t="s">
        <v>1938</v>
      </c>
      <c r="D446">
        <v>2</v>
      </c>
      <c r="E446" s="30" t="s">
        <v>1939</v>
      </c>
      <c r="F446" s="29">
        <v>45825</v>
      </c>
      <c r="G446">
        <v>68599.08</v>
      </c>
      <c r="H446">
        <v>6650.08</v>
      </c>
      <c r="I446" s="30" t="s">
        <v>21</v>
      </c>
      <c r="J446" s="30" t="s">
        <v>566</v>
      </c>
      <c r="K446">
        <v>6</v>
      </c>
      <c r="L446" s="29">
        <v>46122</v>
      </c>
      <c r="M446" s="29">
        <v>46083</v>
      </c>
      <c r="N446" s="30" t="str">
        <f>VLOOKUP(Query1[[#This Row],[company_name]],'Org Mapping'!$B:$I,8,FALSE)</f>
        <v>UHG/Lenovo</v>
      </c>
      <c r="O446" s="30" t="str">
        <f>TEXT(Query1[[#This Row],[last_work_day]],"mmm'yy")</f>
        <v>Apr'26</v>
      </c>
    </row>
    <row r="447" spans="1:15" x14ac:dyDescent="0.35">
      <c r="A447" s="30" t="s">
        <v>430</v>
      </c>
      <c r="B447" s="30" t="s">
        <v>65</v>
      </c>
      <c r="C447" s="30" t="s">
        <v>1940</v>
      </c>
      <c r="D447">
        <v>2</v>
      </c>
      <c r="E447" s="30" t="s">
        <v>1941</v>
      </c>
      <c r="F447" s="29">
        <v>45808</v>
      </c>
      <c r="G447">
        <v>31822</v>
      </c>
      <c r="H447">
        <v>6650</v>
      </c>
      <c r="I447" s="30" t="s">
        <v>26</v>
      </c>
      <c r="J447" s="30" t="s">
        <v>566</v>
      </c>
      <c r="K447">
        <v>6</v>
      </c>
      <c r="L447" s="29">
        <v>46062</v>
      </c>
      <c r="M447" s="29">
        <v>46064</v>
      </c>
      <c r="N447" s="30" t="str">
        <f>VLOOKUP(Query1[[#This Row],[company_name]],'Org Mapping'!$B:$I,8,FALSE)</f>
        <v>UHG/Lenovo</v>
      </c>
      <c r="O447" s="30" t="str">
        <f>TEXT(Query1[[#This Row],[last_work_day]],"mmm'yy")</f>
        <v>Feb'26</v>
      </c>
    </row>
    <row r="448" spans="1:15" x14ac:dyDescent="0.35">
      <c r="A448" s="30" t="s">
        <v>542</v>
      </c>
      <c r="B448" s="30" t="s">
        <v>65</v>
      </c>
      <c r="C448" s="30" t="s">
        <v>1942</v>
      </c>
      <c r="D448">
        <v>2</v>
      </c>
      <c r="E448" s="30" t="s">
        <v>1943</v>
      </c>
      <c r="F448" s="29">
        <v>45804</v>
      </c>
      <c r="G448">
        <v>35371</v>
      </c>
      <c r="H448">
        <v>6650</v>
      </c>
      <c r="I448" s="30" t="s">
        <v>26</v>
      </c>
      <c r="J448" s="30" t="s">
        <v>566</v>
      </c>
      <c r="K448">
        <v>6</v>
      </c>
      <c r="L448" s="29">
        <v>46132</v>
      </c>
      <c r="M448" s="29">
        <v>46132</v>
      </c>
      <c r="N448" s="30" t="str">
        <f>VLOOKUP(Query1[[#This Row],[company_name]],'Org Mapping'!$B:$I,8,FALSE)</f>
        <v>UHG/Lenovo</v>
      </c>
      <c r="O448" s="30" t="str">
        <f>TEXT(Query1[[#This Row],[last_work_day]],"mmm'yy")</f>
        <v>Apr'26</v>
      </c>
    </row>
    <row r="449" spans="1:15" x14ac:dyDescent="0.35">
      <c r="A449" s="30" t="s">
        <v>360</v>
      </c>
      <c r="B449" s="30" t="s">
        <v>65</v>
      </c>
      <c r="C449" s="30" t="s">
        <v>1944</v>
      </c>
      <c r="D449">
        <v>2</v>
      </c>
      <c r="E449" s="30" t="s">
        <v>1945</v>
      </c>
      <c r="F449" s="29">
        <v>45806</v>
      </c>
      <c r="G449">
        <v>36258</v>
      </c>
      <c r="H449">
        <v>6650</v>
      </c>
      <c r="I449" s="30" t="s">
        <v>26</v>
      </c>
      <c r="J449" s="30" t="s">
        <v>566</v>
      </c>
      <c r="K449">
        <v>6</v>
      </c>
      <c r="L449" s="29">
        <v>46023</v>
      </c>
      <c r="M449" s="29">
        <v>46023</v>
      </c>
      <c r="N449" s="30" t="str">
        <f>VLOOKUP(Query1[[#This Row],[company_name]],'Org Mapping'!$B:$I,8,FALSE)</f>
        <v>UHG/Lenovo</v>
      </c>
      <c r="O449" s="30" t="str">
        <f>TEXT(Query1[[#This Row],[last_work_day]],"mmm'yy")</f>
        <v>Jan'26</v>
      </c>
    </row>
    <row r="450" spans="1:15" x14ac:dyDescent="0.35">
      <c r="A450" s="30" t="s">
        <v>481</v>
      </c>
      <c r="B450" s="30" t="s">
        <v>65</v>
      </c>
      <c r="C450" s="30" t="s">
        <v>1946</v>
      </c>
      <c r="D450">
        <v>2</v>
      </c>
      <c r="E450" s="30" t="s">
        <v>1947</v>
      </c>
      <c r="F450" s="29">
        <v>45827</v>
      </c>
      <c r="G450">
        <v>31822</v>
      </c>
      <c r="H450">
        <v>6650</v>
      </c>
      <c r="I450" s="30" t="s">
        <v>26</v>
      </c>
      <c r="J450" s="30" t="s">
        <v>566</v>
      </c>
      <c r="K450">
        <v>6</v>
      </c>
      <c r="L450" s="29">
        <v>46134</v>
      </c>
      <c r="M450" s="29">
        <v>46104</v>
      </c>
      <c r="N450" s="30" t="str">
        <f>VLOOKUP(Query1[[#This Row],[company_name]],'Org Mapping'!$B:$I,8,FALSE)</f>
        <v>UHG/Lenovo</v>
      </c>
      <c r="O450" s="30" t="str">
        <f>TEXT(Query1[[#This Row],[last_work_day]],"mmm'yy")</f>
        <v>Apr'26</v>
      </c>
    </row>
    <row r="451" spans="1:15" x14ac:dyDescent="0.35">
      <c r="A451" s="30" t="s">
        <v>75</v>
      </c>
      <c r="B451" s="30" t="s">
        <v>65</v>
      </c>
      <c r="C451" s="30" t="s">
        <v>1948</v>
      </c>
      <c r="D451">
        <v>2</v>
      </c>
      <c r="E451" s="30" t="s">
        <v>1949</v>
      </c>
      <c r="F451" s="29">
        <v>45825</v>
      </c>
      <c r="G451">
        <v>57029.58</v>
      </c>
      <c r="H451">
        <v>6650.58</v>
      </c>
      <c r="I451" s="30" t="s">
        <v>26</v>
      </c>
      <c r="J451" s="30" t="s">
        <v>566</v>
      </c>
      <c r="K451">
        <v>6</v>
      </c>
      <c r="L451" s="29">
        <v>46065</v>
      </c>
      <c r="M451" s="29">
        <v>46066</v>
      </c>
      <c r="N451" s="30" t="str">
        <f>VLOOKUP(Query1[[#This Row],[company_name]],'Org Mapping'!$B:$I,8,FALSE)</f>
        <v>UHG/Lenovo</v>
      </c>
      <c r="O451" s="30" t="str">
        <f>TEXT(Query1[[#This Row],[last_work_day]],"mmm'yy")</f>
        <v>Feb'26</v>
      </c>
    </row>
    <row r="452" spans="1:15" x14ac:dyDescent="0.35">
      <c r="A452" s="30" t="s">
        <v>401</v>
      </c>
      <c r="B452" s="30" t="s">
        <v>65</v>
      </c>
      <c r="C452" s="30" t="s">
        <v>1950</v>
      </c>
      <c r="D452">
        <v>2</v>
      </c>
      <c r="E452" s="30" t="s">
        <v>1951</v>
      </c>
      <c r="F452" s="29">
        <v>45808</v>
      </c>
      <c r="G452">
        <v>36576</v>
      </c>
      <c r="H452">
        <v>6650</v>
      </c>
      <c r="I452" s="30" t="s">
        <v>26</v>
      </c>
      <c r="J452" s="30" t="s">
        <v>566</v>
      </c>
      <c r="K452">
        <v>6</v>
      </c>
      <c r="L452" s="29">
        <v>46027</v>
      </c>
      <c r="M452" s="29">
        <v>46028</v>
      </c>
      <c r="N452" s="30" t="str">
        <f>VLOOKUP(Query1[[#This Row],[company_name]],'Org Mapping'!$B:$I,8,FALSE)</f>
        <v>UHG/Lenovo</v>
      </c>
      <c r="O452" s="30" t="str">
        <f>TEXT(Query1[[#This Row],[last_work_day]],"mmm'yy")</f>
        <v>Jan'26</v>
      </c>
    </row>
    <row r="453" spans="1:15" x14ac:dyDescent="0.35">
      <c r="A453" s="30" t="s">
        <v>542</v>
      </c>
      <c r="B453" s="30" t="s">
        <v>65</v>
      </c>
      <c r="C453" s="30" t="s">
        <v>1952</v>
      </c>
      <c r="D453">
        <v>2</v>
      </c>
      <c r="E453" s="30" t="s">
        <v>1953</v>
      </c>
      <c r="F453" s="29">
        <v>45804</v>
      </c>
      <c r="G453">
        <v>34178</v>
      </c>
      <c r="H453">
        <v>6650</v>
      </c>
      <c r="I453" s="30" t="s">
        <v>26</v>
      </c>
      <c r="J453" s="30" t="s">
        <v>566</v>
      </c>
      <c r="K453">
        <v>6</v>
      </c>
      <c r="L453" s="29">
        <v>46153</v>
      </c>
      <c r="M453" s="29">
        <v>46154</v>
      </c>
      <c r="N453" s="30" t="str">
        <f>VLOOKUP(Query1[[#This Row],[company_name]],'Org Mapping'!$B:$I,8,FALSE)</f>
        <v>UHG/Lenovo</v>
      </c>
      <c r="O453" s="30" t="str">
        <f>TEXT(Query1[[#This Row],[last_work_day]],"mmm'yy")</f>
        <v>May'26</v>
      </c>
    </row>
    <row r="454" spans="1:15" x14ac:dyDescent="0.35">
      <c r="A454" s="30" t="s">
        <v>390</v>
      </c>
      <c r="B454" s="30" t="s">
        <v>65</v>
      </c>
      <c r="C454" s="30" t="s">
        <v>1954</v>
      </c>
      <c r="D454">
        <v>2</v>
      </c>
      <c r="E454" s="30" t="s">
        <v>1955</v>
      </c>
      <c r="F454" s="29">
        <v>45806</v>
      </c>
      <c r="G454">
        <v>34843</v>
      </c>
      <c r="H454">
        <v>6651</v>
      </c>
      <c r="I454" s="30" t="s">
        <v>26</v>
      </c>
      <c r="J454" s="30" t="s">
        <v>566</v>
      </c>
      <c r="K454">
        <v>6</v>
      </c>
      <c r="L454" s="29">
        <v>46148</v>
      </c>
      <c r="M454" s="29">
        <v>46149</v>
      </c>
      <c r="N454" s="30" t="str">
        <f>VLOOKUP(Query1[[#This Row],[company_name]],'Org Mapping'!$B:$I,8,FALSE)</f>
        <v>UHG/Lenovo</v>
      </c>
      <c r="O454" s="30" t="str">
        <f>TEXT(Query1[[#This Row],[last_work_day]],"mmm'yy")</f>
        <v>May'26</v>
      </c>
    </row>
    <row r="455" spans="1:15" x14ac:dyDescent="0.35">
      <c r="A455" s="30" t="s">
        <v>429</v>
      </c>
      <c r="B455" s="30" t="s">
        <v>65</v>
      </c>
      <c r="C455" s="30" t="s">
        <v>1956</v>
      </c>
      <c r="D455">
        <v>2</v>
      </c>
      <c r="E455" s="30" t="s">
        <v>1957</v>
      </c>
      <c r="F455" s="29">
        <v>45827</v>
      </c>
      <c r="G455">
        <v>33150</v>
      </c>
      <c r="H455">
        <v>6650</v>
      </c>
      <c r="I455" s="30" t="s">
        <v>26</v>
      </c>
      <c r="J455" s="30" t="s">
        <v>566</v>
      </c>
      <c r="K455">
        <v>6</v>
      </c>
      <c r="L455" s="29">
        <v>46052</v>
      </c>
      <c r="M455" s="29">
        <v>46022</v>
      </c>
      <c r="N455" s="30" t="str">
        <f>VLOOKUP(Query1[[#This Row],[company_name]],'Org Mapping'!$B:$I,8,FALSE)</f>
        <v>UHG/Lenovo</v>
      </c>
      <c r="O455" s="30" t="str">
        <f>TEXT(Query1[[#This Row],[last_work_day]],"mmm'yy")</f>
        <v>Jan'26</v>
      </c>
    </row>
    <row r="456" spans="1:15" x14ac:dyDescent="0.35">
      <c r="A456" s="30" t="s">
        <v>553</v>
      </c>
      <c r="B456" s="30" t="s">
        <v>65</v>
      </c>
      <c r="C456" s="30" t="s">
        <v>1958</v>
      </c>
      <c r="D456">
        <v>2</v>
      </c>
      <c r="E456" s="30" t="s">
        <v>1959</v>
      </c>
      <c r="F456" s="29">
        <v>45806</v>
      </c>
      <c r="I456" s="30" t="s">
        <v>26</v>
      </c>
      <c r="J456" s="30" t="s">
        <v>566</v>
      </c>
      <c r="K456">
        <v>6</v>
      </c>
      <c r="L456" s="29">
        <v>46125</v>
      </c>
      <c r="M456" s="29">
        <v>46126</v>
      </c>
      <c r="N456" s="30" t="str">
        <f>VLOOKUP(Query1[[#This Row],[company_name]],'Org Mapping'!$B:$I,8,FALSE)</f>
        <v>UHG/Lenovo</v>
      </c>
      <c r="O456" s="30" t="str">
        <f>TEXT(Query1[[#This Row],[last_work_day]],"mmm'yy")</f>
        <v>Apr'26</v>
      </c>
    </row>
    <row r="457" spans="1:15" x14ac:dyDescent="0.35">
      <c r="A457" s="30" t="s">
        <v>1827</v>
      </c>
      <c r="B457" s="30" t="s">
        <v>1628</v>
      </c>
      <c r="C457" s="30" t="s">
        <v>1960</v>
      </c>
      <c r="D457">
        <v>2</v>
      </c>
      <c r="E457" s="30" t="s">
        <v>1961</v>
      </c>
      <c r="F457" s="29">
        <v>45803</v>
      </c>
      <c r="G457">
        <v>160000</v>
      </c>
      <c r="H457">
        <v>10000</v>
      </c>
      <c r="I457" s="30" t="s">
        <v>21</v>
      </c>
      <c r="J457" s="30" t="s">
        <v>524</v>
      </c>
      <c r="K457">
        <v>6</v>
      </c>
      <c r="L457" s="29">
        <v>46080</v>
      </c>
      <c r="M457" s="29">
        <v>45976</v>
      </c>
      <c r="N457" s="30" t="str">
        <f>VLOOKUP(Query1[[#This Row],[company_name]],'Org Mapping'!$B:$I,8,FALSE)</f>
        <v>Sadhna Shukla</v>
      </c>
      <c r="O457" s="30" t="str">
        <f>TEXT(Query1[[#This Row],[last_work_day]],"mmm'yy")</f>
        <v>Feb'26</v>
      </c>
    </row>
    <row r="458" spans="1:15" x14ac:dyDescent="0.35">
      <c r="A458" s="30" t="s">
        <v>471</v>
      </c>
      <c r="B458" s="30" t="s">
        <v>65</v>
      </c>
      <c r="C458" s="30" t="s">
        <v>1962</v>
      </c>
      <c r="D458">
        <v>2</v>
      </c>
      <c r="E458" s="30" t="s">
        <v>1963</v>
      </c>
      <c r="F458" s="29">
        <v>45825</v>
      </c>
      <c r="G458">
        <v>36699</v>
      </c>
      <c r="H458">
        <v>6650</v>
      </c>
      <c r="I458" s="30" t="s">
        <v>26</v>
      </c>
      <c r="J458" s="30" t="s">
        <v>566</v>
      </c>
      <c r="K458">
        <v>6</v>
      </c>
      <c r="L458" s="29">
        <v>46071</v>
      </c>
      <c r="M458" s="29">
        <v>46076</v>
      </c>
      <c r="N458" s="30" t="str">
        <f>VLOOKUP(Query1[[#This Row],[company_name]],'Org Mapping'!$B:$I,8,FALSE)</f>
        <v>UHG/Lenovo</v>
      </c>
      <c r="O458" s="30" t="str">
        <f>TEXT(Query1[[#This Row],[last_work_day]],"mmm'yy")</f>
        <v>Feb'26</v>
      </c>
    </row>
    <row r="459" spans="1:15" x14ac:dyDescent="0.35">
      <c r="A459" s="30" t="s">
        <v>429</v>
      </c>
      <c r="B459" s="30" t="s">
        <v>65</v>
      </c>
      <c r="C459" s="30" t="s">
        <v>1964</v>
      </c>
      <c r="D459">
        <v>2</v>
      </c>
      <c r="E459" s="30" t="s">
        <v>1965</v>
      </c>
      <c r="F459" s="29">
        <v>45825</v>
      </c>
      <c r="G459">
        <v>39627</v>
      </c>
      <c r="H459">
        <v>6650</v>
      </c>
      <c r="I459" s="30" t="s">
        <v>21</v>
      </c>
      <c r="J459" s="30" t="s">
        <v>566</v>
      </c>
      <c r="K459">
        <v>6</v>
      </c>
      <c r="L459" s="29">
        <v>46043</v>
      </c>
      <c r="M459" s="29">
        <v>46055</v>
      </c>
      <c r="N459" s="30" t="str">
        <f>VLOOKUP(Query1[[#This Row],[company_name]],'Org Mapping'!$B:$I,8,FALSE)</f>
        <v>UHG/Lenovo</v>
      </c>
      <c r="O459" s="30" t="str">
        <f>TEXT(Query1[[#This Row],[last_work_day]],"mmm'yy")</f>
        <v>Jan'26</v>
      </c>
    </row>
    <row r="460" spans="1:15" x14ac:dyDescent="0.35">
      <c r="A460" s="30" t="s">
        <v>401</v>
      </c>
      <c r="B460" s="30" t="s">
        <v>65</v>
      </c>
      <c r="C460" s="30" t="s">
        <v>1966</v>
      </c>
      <c r="D460">
        <v>2</v>
      </c>
      <c r="E460" s="30" t="s">
        <v>1967</v>
      </c>
      <c r="F460" s="29">
        <v>45825</v>
      </c>
      <c r="G460">
        <v>34988</v>
      </c>
      <c r="H460">
        <v>6650</v>
      </c>
      <c r="I460" s="30" t="s">
        <v>26</v>
      </c>
      <c r="J460" s="30" t="s">
        <v>566</v>
      </c>
      <c r="K460">
        <v>6</v>
      </c>
      <c r="L460" s="29">
        <v>46097</v>
      </c>
      <c r="M460" s="29">
        <v>46066</v>
      </c>
      <c r="N460" s="30" t="str">
        <f>VLOOKUP(Query1[[#This Row],[company_name]],'Org Mapping'!$B:$I,8,FALSE)</f>
        <v>UHG/Lenovo</v>
      </c>
      <c r="O460" s="30" t="str">
        <f>TEXT(Query1[[#This Row],[last_work_day]],"mmm'yy")</f>
        <v>Mar'26</v>
      </c>
    </row>
    <row r="461" spans="1:15" x14ac:dyDescent="0.35">
      <c r="A461" s="30" t="s">
        <v>542</v>
      </c>
      <c r="B461" s="30" t="s">
        <v>65</v>
      </c>
      <c r="C461" s="30" t="s">
        <v>1968</v>
      </c>
      <c r="D461">
        <v>2</v>
      </c>
      <c r="E461" s="30" t="s">
        <v>1969</v>
      </c>
      <c r="F461" s="29">
        <v>45829</v>
      </c>
      <c r="G461">
        <v>33489</v>
      </c>
      <c r="H461">
        <v>6650</v>
      </c>
      <c r="I461" s="30" t="s">
        <v>26</v>
      </c>
      <c r="J461" s="30" t="s">
        <v>566</v>
      </c>
      <c r="K461">
        <v>6</v>
      </c>
      <c r="L461" s="29">
        <v>46077</v>
      </c>
      <c r="M461" s="29">
        <v>45966</v>
      </c>
      <c r="N461" s="30" t="str">
        <f>VLOOKUP(Query1[[#This Row],[company_name]],'Org Mapping'!$B:$I,8,FALSE)</f>
        <v>UHG/Lenovo</v>
      </c>
      <c r="O461" s="30" t="str">
        <f>TEXT(Query1[[#This Row],[last_work_day]],"mmm'yy")</f>
        <v>Feb'26</v>
      </c>
    </row>
    <row r="462" spans="1:15" x14ac:dyDescent="0.35">
      <c r="A462" s="30" t="s">
        <v>542</v>
      </c>
      <c r="B462" s="30" t="s">
        <v>65</v>
      </c>
      <c r="C462" s="30" t="s">
        <v>1970</v>
      </c>
      <c r="D462">
        <v>2</v>
      </c>
      <c r="E462" s="30" t="s">
        <v>1971</v>
      </c>
      <c r="F462" s="29">
        <v>45804</v>
      </c>
      <c r="G462">
        <v>33675</v>
      </c>
      <c r="H462">
        <v>6650</v>
      </c>
      <c r="I462" s="30" t="s">
        <v>91</v>
      </c>
      <c r="J462" s="30" t="s">
        <v>566</v>
      </c>
      <c r="K462">
        <v>6</v>
      </c>
      <c r="L462" s="29">
        <v>46059</v>
      </c>
      <c r="M462" s="29">
        <v>46062</v>
      </c>
      <c r="N462" s="30" t="str">
        <f>VLOOKUP(Query1[[#This Row],[company_name]],'Org Mapping'!$B:$I,8,FALSE)</f>
        <v>UHG/Lenovo</v>
      </c>
      <c r="O462" s="30" t="str">
        <f>TEXT(Query1[[#This Row],[last_work_day]],"mmm'yy")</f>
        <v>Feb'26</v>
      </c>
    </row>
    <row r="463" spans="1:15" x14ac:dyDescent="0.35">
      <c r="A463" s="30" t="s">
        <v>360</v>
      </c>
      <c r="B463" s="30" t="s">
        <v>65</v>
      </c>
      <c r="C463" s="30" t="s">
        <v>1972</v>
      </c>
      <c r="D463">
        <v>2</v>
      </c>
      <c r="E463" s="30" t="s">
        <v>1973</v>
      </c>
      <c r="F463" s="29">
        <v>45808</v>
      </c>
      <c r="G463">
        <v>35681</v>
      </c>
      <c r="H463">
        <v>6651</v>
      </c>
      <c r="I463" s="30" t="s">
        <v>26</v>
      </c>
      <c r="J463" s="30" t="s">
        <v>566</v>
      </c>
      <c r="K463">
        <v>6</v>
      </c>
      <c r="L463" s="29">
        <v>46168</v>
      </c>
      <c r="M463" s="29">
        <v>46162</v>
      </c>
      <c r="N463" s="30" t="str">
        <f>VLOOKUP(Query1[[#This Row],[company_name]],'Org Mapping'!$B:$I,8,FALSE)</f>
        <v>UHG/Lenovo</v>
      </c>
      <c r="O463" s="30" t="str">
        <f>TEXT(Query1[[#This Row],[last_work_day]],"mmm'yy")</f>
        <v>May'26</v>
      </c>
    </row>
    <row r="464" spans="1:15" x14ac:dyDescent="0.35">
      <c r="A464" s="30" t="s">
        <v>542</v>
      </c>
      <c r="B464" s="30" t="s">
        <v>65</v>
      </c>
      <c r="C464" s="30" t="s">
        <v>1974</v>
      </c>
      <c r="D464">
        <v>2</v>
      </c>
      <c r="E464" s="30" t="s">
        <v>1975</v>
      </c>
      <c r="F464" s="29">
        <v>45829</v>
      </c>
      <c r="G464">
        <v>32017</v>
      </c>
      <c r="H464">
        <v>6650</v>
      </c>
      <c r="I464" s="30" t="s">
        <v>26</v>
      </c>
      <c r="J464" s="30" t="s">
        <v>566</v>
      </c>
      <c r="K464">
        <v>6</v>
      </c>
      <c r="L464" s="29">
        <v>46092</v>
      </c>
      <c r="M464" s="29">
        <v>46063</v>
      </c>
      <c r="N464" s="30" t="str">
        <f>VLOOKUP(Query1[[#This Row],[company_name]],'Org Mapping'!$B:$I,8,FALSE)</f>
        <v>UHG/Lenovo</v>
      </c>
      <c r="O464" s="30" t="str">
        <f>TEXT(Query1[[#This Row],[last_work_day]],"mmm'yy")</f>
        <v>Mar'26</v>
      </c>
    </row>
    <row r="465" spans="1:15" x14ac:dyDescent="0.35">
      <c r="A465" s="30" t="s">
        <v>481</v>
      </c>
      <c r="B465" s="30" t="s">
        <v>65</v>
      </c>
      <c r="C465" s="30" t="s">
        <v>567</v>
      </c>
      <c r="D465">
        <v>2</v>
      </c>
      <c r="E465" s="30" t="s">
        <v>1976</v>
      </c>
      <c r="F465" s="29">
        <v>45827</v>
      </c>
      <c r="G465">
        <v>37071.65</v>
      </c>
      <c r="H465">
        <v>6649.65</v>
      </c>
      <c r="I465" s="30" t="s">
        <v>26</v>
      </c>
      <c r="J465" s="30" t="s">
        <v>566</v>
      </c>
      <c r="K465">
        <v>6</v>
      </c>
      <c r="L465" s="29">
        <v>46097</v>
      </c>
      <c r="M465" s="29">
        <v>46070</v>
      </c>
      <c r="N465" s="30" t="str">
        <f>VLOOKUP(Query1[[#This Row],[company_name]],'Org Mapping'!$B:$I,8,FALSE)</f>
        <v>UHG/Lenovo</v>
      </c>
      <c r="O465" s="30" t="str">
        <f>TEXT(Query1[[#This Row],[last_work_day]],"mmm'yy")</f>
        <v>Mar'26</v>
      </c>
    </row>
    <row r="466" spans="1:15" x14ac:dyDescent="0.35">
      <c r="A466" s="30" t="s">
        <v>390</v>
      </c>
      <c r="B466" s="30" t="s">
        <v>65</v>
      </c>
      <c r="C466" s="30" t="s">
        <v>1977</v>
      </c>
      <c r="D466">
        <v>2</v>
      </c>
      <c r="E466" s="30" t="s">
        <v>1978</v>
      </c>
      <c r="F466" s="29">
        <v>45804</v>
      </c>
      <c r="G466">
        <v>34189</v>
      </c>
      <c r="H466">
        <v>6650</v>
      </c>
      <c r="I466" s="30" t="s">
        <v>26</v>
      </c>
      <c r="J466" s="30" t="s">
        <v>566</v>
      </c>
      <c r="K466">
        <v>6</v>
      </c>
      <c r="L466" s="29">
        <v>46144</v>
      </c>
      <c r="M466" s="29">
        <v>46146</v>
      </c>
      <c r="N466" s="30" t="str">
        <f>VLOOKUP(Query1[[#This Row],[company_name]],'Org Mapping'!$B:$I,8,FALSE)</f>
        <v>UHG/Lenovo</v>
      </c>
      <c r="O466" s="30" t="str">
        <f>TEXT(Query1[[#This Row],[last_work_day]],"mmm'yy")</f>
        <v>May'26</v>
      </c>
    </row>
    <row r="467" spans="1:15" x14ac:dyDescent="0.35">
      <c r="A467" s="30" t="s">
        <v>430</v>
      </c>
      <c r="B467" s="30" t="s">
        <v>65</v>
      </c>
      <c r="C467" s="30" t="s">
        <v>1979</v>
      </c>
      <c r="D467">
        <v>2</v>
      </c>
      <c r="E467" s="30" t="s">
        <v>1980</v>
      </c>
      <c r="F467" s="29">
        <v>45827</v>
      </c>
      <c r="G467">
        <v>31822</v>
      </c>
      <c r="H467">
        <v>6650</v>
      </c>
      <c r="I467" s="30" t="s">
        <v>26</v>
      </c>
      <c r="J467" s="30" t="s">
        <v>566</v>
      </c>
      <c r="K467">
        <v>6</v>
      </c>
      <c r="L467" s="29">
        <v>46065</v>
      </c>
      <c r="M467" s="29">
        <v>46073</v>
      </c>
      <c r="N467" s="30" t="str">
        <f>VLOOKUP(Query1[[#This Row],[company_name]],'Org Mapping'!$B:$I,8,FALSE)</f>
        <v>UHG/Lenovo</v>
      </c>
      <c r="O467" s="30" t="str">
        <f>TEXT(Query1[[#This Row],[last_work_day]],"mmm'yy")</f>
        <v>Feb'26</v>
      </c>
    </row>
    <row r="468" spans="1:15" x14ac:dyDescent="0.35">
      <c r="A468" s="30" t="s">
        <v>542</v>
      </c>
      <c r="B468" s="30" t="s">
        <v>65</v>
      </c>
      <c r="C468" s="30" t="s">
        <v>1981</v>
      </c>
      <c r="D468">
        <v>2</v>
      </c>
      <c r="E468" s="30" t="s">
        <v>1982</v>
      </c>
      <c r="F468" s="29">
        <v>45804</v>
      </c>
      <c r="G468">
        <v>31822</v>
      </c>
      <c r="H468">
        <v>6650</v>
      </c>
      <c r="I468" s="30" t="s">
        <v>26</v>
      </c>
      <c r="J468" s="30" t="s">
        <v>566</v>
      </c>
      <c r="K468">
        <v>6</v>
      </c>
      <c r="L468" s="29">
        <v>46059</v>
      </c>
      <c r="M468" s="29">
        <v>46059</v>
      </c>
      <c r="N468" s="30" t="str">
        <f>VLOOKUP(Query1[[#This Row],[company_name]],'Org Mapping'!$B:$I,8,FALSE)</f>
        <v>UHG/Lenovo</v>
      </c>
      <c r="O468" s="30" t="str">
        <f>TEXT(Query1[[#This Row],[last_work_day]],"mmm'yy")</f>
        <v>Feb'26</v>
      </c>
    </row>
    <row r="469" spans="1:15" x14ac:dyDescent="0.35">
      <c r="A469" s="30" t="s">
        <v>542</v>
      </c>
      <c r="B469" s="30" t="s">
        <v>65</v>
      </c>
      <c r="C469" s="30" t="s">
        <v>1983</v>
      </c>
      <c r="D469">
        <v>2</v>
      </c>
      <c r="E469" s="30" t="s">
        <v>1984</v>
      </c>
      <c r="F469" s="29">
        <v>45829</v>
      </c>
      <c r="G469">
        <v>33587</v>
      </c>
      <c r="H469">
        <v>6650</v>
      </c>
      <c r="I469" s="30" t="s">
        <v>26</v>
      </c>
      <c r="J469" s="30" t="s">
        <v>566</v>
      </c>
      <c r="K469">
        <v>6</v>
      </c>
      <c r="L469" s="29">
        <v>46122</v>
      </c>
      <c r="M469" s="29">
        <v>46114</v>
      </c>
      <c r="N469" s="30" t="str">
        <f>VLOOKUP(Query1[[#This Row],[company_name]],'Org Mapping'!$B:$I,8,FALSE)</f>
        <v>UHG/Lenovo</v>
      </c>
      <c r="O469" s="30" t="str">
        <f>TEXT(Query1[[#This Row],[last_work_day]],"mmm'yy")</f>
        <v>Apr'26</v>
      </c>
    </row>
    <row r="470" spans="1:15" x14ac:dyDescent="0.35">
      <c r="A470" s="30" t="s">
        <v>542</v>
      </c>
      <c r="B470" s="30" t="s">
        <v>65</v>
      </c>
      <c r="C470" s="30" t="s">
        <v>1985</v>
      </c>
      <c r="D470">
        <v>2</v>
      </c>
      <c r="E470" s="30" t="s">
        <v>1986</v>
      </c>
      <c r="F470" s="29">
        <v>45806</v>
      </c>
      <c r="G470">
        <v>31822</v>
      </c>
      <c r="H470">
        <v>6650</v>
      </c>
      <c r="I470" s="30" t="s">
        <v>26</v>
      </c>
      <c r="J470" s="30" t="s">
        <v>566</v>
      </c>
      <c r="K470">
        <v>6</v>
      </c>
      <c r="L470" s="29">
        <v>46038</v>
      </c>
      <c r="M470" s="29">
        <v>46038</v>
      </c>
      <c r="N470" s="30" t="str">
        <f>VLOOKUP(Query1[[#This Row],[company_name]],'Org Mapping'!$B:$I,8,FALSE)</f>
        <v>UHG/Lenovo</v>
      </c>
      <c r="O470" s="30" t="str">
        <f>TEXT(Query1[[#This Row],[last_work_day]],"mmm'yy")</f>
        <v>Jan'26</v>
      </c>
    </row>
    <row r="471" spans="1:15" x14ac:dyDescent="0.35">
      <c r="A471" s="30" t="s">
        <v>360</v>
      </c>
      <c r="B471" s="30" t="s">
        <v>65</v>
      </c>
      <c r="C471" s="30" t="s">
        <v>1987</v>
      </c>
      <c r="D471">
        <v>2</v>
      </c>
      <c r="E471" s="30" t="s">
        <v>1988</v>
      </c>
      <c r="F471" s="29">
        <v>45808</v>
      </c>
      <c r="G471">
        <v>42416.25</v>
      </c>
      <c r="H471">
        <v>6650.25</v>
      </c>
      <c r="I471" s="30" t="s">
        <v>26</v>
      </c>
      <c r="J471" s="30" t="s">
        <v>566</v>
      </c>
      <c r="K471">
        <v>6</v>
      </c>
      <c r="L471" s="29">
        <v>46038</v>
      </c>
      <c r="M471" s="29">
        <v>46038</v>
      </c>
      <c r="N471" s="30" t="str">
        <f>VLOOKUP(Query1[[#This Row],[company_name]],'Org Mapping'!$B:$I,8,FALSE)</f>
        <v>UHG/Lenovo</v>
      </c>
      <c r="O471" s="30" t="str">
        <f>TEXT(Query1[[#This Row],[last_work_day]],"mmm'yy")</f>
        <v>Jan'26</v>
      </c>
    </row>
    <row r="472" spans="1:15" x14ac:dyDescent="0.35">
      <c r="A472" s="30" t="s">
        <v>542</v>
      </c>
      <c r="B472" s="30" t="s">
        <v>65</v>
      </c>
      <c r="C472" s="30" t="s">
        <v>1989</v>
      </c>
      <c r="D472">
        <v>2</v>
      </c>
      <c r="E472" s="30" t="s">
        <v>1990</v>
      </c>
      <c r="F472" s="29">
        <v>45827</v>
      </c>
      <c r="G472">
        <v>31822</v>
      </c>
      <c r="H472">
        <v>6650</v>
      </c>
      <c r="I472" s="30" t="s">
        <v>26</v>
      </c>
      <c r="J472" s="30" t="s">
        <v>566</v>
      </c>
      <c r="K472">
        <v>6</v>
      </c>
      <c r="L472" s="29">
        <v>46120</v>
      </c>
      <c r="M472" s="29">
        <v>46090</v>
      </c>
      <c r="N472" s="30" t="str">
        <f>VLOOKUP(Query1[[#This Row],[company_name]],'Org Mapping'!$B:$I,8,FALSE)</f>
        <v>UHG/Lenovo</v>
      </c>
      <c r="O472" s="30" t="str">
        <f>TEXT(Query1[[#This Row],[last_work_day]],"mmm'yy")</f>
        <v>Apr'26</v>
      </c>
    </row>
    <row r="473" spans="1:15" x14ac:dyDescent="0.35">
      <c r="A473" s="30" t="s">
        <v>390</v>
      </c>
      <c r="B473" s="30" t="s">
        <v>65</v>
      </c>
      <c r="C473" s="30" t="s">
        <v>1991</v>
      </c>
      <c r="D473">
        <v>2</v>
      </c>
      <c r="E473" s="30" t="s">
        <v>1992</v>
      </c>
      <c r="F473" s="29">
        <v>45827</v>
      </c>
      <c r="G473">
        <v>31822</v>
      </c>
      <c r="H473">
        <v>6650</v>
      </c>
      <c r="I473" s="30" t="s">
        <v>26</v>
      </c>
      <c r="J473" s="30" t="s">
        <v>566</v>
      </c>
      <c r="K473">
        <v>6</v>
      </c>
      <c r="L473" s="29">
        <v>46136</v>
      </c>
      <c r="M473" s="29">
        <v>46106</v>
      </c>
      <c r="N473" s="30" t="str">
        <f>VLOOKUP(Query1[[#This Row],[company_name]],'Org Mapping'!$B:$I,8,FALSE)</f>
        <v>UHG/Lenovo</v>
      </c>
      <c r="O473" s="30" t="str">
        <f>TEXT(Query1[[#This Row],[last_work_day]],"mmm'yy")</f>
        <v>Apr'26</v>
      </c>
    </row>
    <row r="474" spans="1:15" x14ac:dyDescent="0.35">
      <c r="A474" s="30" t="s">
        <v>481</v>
      </c>
      <c r="B474" s="30" t="s">
        <v>65</v>
      </c>
      <c r="C474" s="30" t="s">
        <v>1993</v>
      </c>
      <c r="D474">
        <v>2</v>
      </c>
      <c r="E474" s="30" t="s">
        <v>1994</v>
      </c>
      <c r="F474" s="29">
        <v>45806</v>
      </c>
      <c r="G474">
        <v>33911</v>
      </c>
      <c r="H474">
        <v>6650</v>
      </c>
      <c r="I474" s="30" t="s">
        <v>26</v>
      </c>
      <c r="J474" s="30" t="s">
        <v>566</v>
      </c>
      <c r="K474">
        <v>6</v>
      </c>
      <c r="L474" s="29">
        <v>46073</v>
      </c>
      <c r="M474" s="29">
        <v>46073</v>
      </c>
      <c r="N474" s="30" t="str">
        <f>VLOOKUP(Query1[[#This Row],[company_name]],'Org Mapping'!$B:$I,8,FALSE)</f>
        <v>UHG/Lenovo</v>
      </c>
      <c r="O474" s="30" t="str">
        <f>TEXT(Query1[[#This Row],[last_work_day]],"mmm'yy")</f>
        <v>Feb'26</v>
      </c>
    </row>
    <row r="475" spans="1:15" x14ac:dyDescent="0.35">
      <c r="A475" s="30" t="s">
        <v>542</v>
      </c>
      <c r="B475" s="30" t="s">
        <v>65</v>
      </c>
      <c r="C475" s="30" t="s">
        <v>1995</v>
      </c>
      <c r="D475">
        <v>2</v>
      </c>
      <c r="E475" s="30" t="s">
        <v>1996</v>
      </c>
      <c r="F475" s="29">
        <v>45827</v>
      </c>
      <c r="G475">
        <v>31822</v>
      </c>
      <c r="H475">
        <v>6650</v>
      </c>
      <c r="I475" s="30" t="s">
        <v>26</v>
      </c>
      <c r="J475" s="30" t="s">
        <v>566</v>
      </c>
      <c r="K475">
        <v>6</v>
      </c>
      <c r="L475" s="29">
        <v>46114</v>
      </c>
      <c r="M475" s="29">
        <v>46085</v>
      </c>
      <c r="N475" s="30" t="str">
        <f>VLOOKUP(Query1[[#This Row],[company_name]],'Org Mapping'!$B:$I,8,FALSE)</f>
        <v>UHG/Lenovo</v>
      </c>
      <c r="O475" s="30" t="str">
        <f>TEXT(Query1[[#This Row],[last_work_day]],"mmm'yy")</f>
        <v>Apr'26</v>
      </c>
    </row>
    <row r="476" spans="1:15" x14ac:dyDescent="0.35">
      <c r="A476" s="30" t="s">
        <v>542</v>
      </c>
      <c r="B476" s="30" t="s">
        <v>65</v>
      </c>
      <c r="C476" s="30" t="s">
        <v>1997</v>
      </c>
      <c r="D476">
        <v>2</v>
      </c>
      <c r="E476" s="30" t="s">
        <v>1998</v>
      </c>
      <c r="F476" s="29">
        <v>45804</v>
      </c>
      <c r="G476">
        <v>54431.92</v>
      </c>
      <c r="H476">
        <v>6650.92</v>
      </c>
      <c r="I476" s="30" t="s">
        <v>21</v>
      </c>
      <c r="J476" s="30" t="s">
        <v>566</v>
      </c>
      <c r="K476">
        <v>6</v>
      </c>
      <c r="L476" s="29">
        <v>46043</v>
      </c>
      <c r="M476" s="29">
        <v>46044</v>
      </c>
      <c r="N476" s="30" t="str">
        <f>VLOOKUP(Query1[[#This Row],[company_name]],'Org Mapping'!$B:$I,8,FALSE)</f>
        <v>UHG/Lenovo</v>
      </c>
      <c r="O476" s="30" t="str">
        <f>TEXT(Query1[[#This Row],[last_work_day]],"mmm'yy")</f>
        <v>Jan'26</v>
      </c>
    </row>
    <row r="477" spans="1:15" x14ac:dyDescent="0.35">
      <c r="A477" s="30" t="s">
        <v>542</v>
      </c>
      <c r="B477" s="30" t="s">
        <v>65</v>
      </c>
      <c r="C477" s="30" t="s">
        <v>1999</v>
      </c>
      <c r="D477">
        <v>2</v>
      </c>
      <c r="E477" s="30" t="s">
        <v>2000</v>
      </c>
      <c r="F477" s="29">
        <v>45804</v>
      </c>
      <c r="G477">
        <v>35917</v>
      </c>
      <c r="H477">
        <v>6650</v>
      </c>
      <c r="I477" s="30" t="s">
        <v>26</v>
      </c>
      <c r="J477" s="30" t="s">
        <v>566</v>
      </c>
      <c r="K477">
        <v>6</v>
      </c>
      <c r="L477" s="29">
        <v>46106</v>
      </c>
      <c r="M477" s="29">
        <v>46118</v>
      </c>
      <c r="N477" s="30" t="str">
        <f>VLOOKUP(Query1[[#This Row],[company_name]],'Org Mapping'!$B:$I,8,FALSE)</f>
        <v>UHG/Lenovo</v>
      </c>
      <c r="O477" s="30" t="str">
        <f>TEXT(Query1[[#This Row],[last_work_day]],"mmm'yy")</f>
        <v>Mar'26</v>
      </c>
    </row>
    <row r="478" spans="1:15" x14ac:dyDescent="0.35">
      <c r="A478" s="30" t="s">
        <v>542</v>
      </c>
      <c r="B478" s="30" t="s">
        <v>65</v>
      </c>
      <c r="C478" s="30" t="s">
        <v>2001</v>
      </c>
      <c r="D478">
        <v>2</v>
      </c>
      <c r="E478" s="30" t="s">
        <v>2002</v>
      </c>
      <c r="F478" s="29">
        <v>45827</v>
      </c>
      <c r="G478">
        <v>33987</v>
      </c>
      <c r="H478">
        <v>6650</v>
      </c>
      <c r="I478" s="30" t="s">
        <v>26</v>
      </c>
      <c r="J478" s="30" t="s">
        <v>566</v>
      </c>
      <c r="K478">
        <v>6</v>
      </c>
      <c r="L478" s="29">
        <v>46023</v>
      </c>
      <c r="M478" s="29">
        <v>45994</v>
      </c>
      <c r="N478" s="30" t="str">
        <f>VLOOKUP(Query1[[#This Row],[company_name]],'Org Mapping'!$B:$I,8,FALSE)</f>
        <v>UHG/Lenovo</v>
      </c>
      <c r="O478" s="30" t="str">
        <f>TEXT(Query1[[#This Row],[last_work_day]],"mmm'yy")</f>
        <v>Jan'26</v>
      </c>
    </row>
    <row r="479" spans="1:15" x14ac:dyDescent="0.35">
      <c r="A479" s="30" t="s">
        <v>481</v>
      </c>
      <c r="B479" s="30" t="s">
        <v>65</v>
      </c>
      <c r="C479" s="30" t="s">
        <v>2003</v>
      </c>
      <c r="D479">
        <v>2</v>
      </c>
      <c r="E479" s="30" t="s">
        <v>2004</v>
      </c>
      <c r="F479" s="29">
        <v>45825</v>
      </c>
      <c r="I479" s="30" t="s">
        <v>26</v>
      </c>
      <c r="J479" s="30" t="s">
        <v>566</v>
      </c>
      <c r="K479">
        <v>6</v>
      </c>
      <c r="L479" s="29">
        <v>46136</v>
      </c>
      <c r="M479" s="29">
        <v>46113</v>
      </c>
      <c r="N479" s="30" t="str">
        <f>VLOOKUP(Query1[[#This Row],[company_name]],'Org Mapping'!$B:$I,8,FALSE)</f>
        <v>UHG/Lenovo</v>
      </c>
      <c r="O479" s="30" t="str">
        <f>TEXT(Query1[[#This Row],[last_work_day]],"mmm'yy")</f>
        <v>Apr'26</v>
      </c>
    </row>
    <row r="480" spans="1:15" x14ac:dyDescent="0.35">
      <c r="A480" s="30" t="s">
        <v>542</v>
      </c>
      <c r="B480" s="30" t="s">
        <v>65</v>
      </c>
      <c r="C480" s="30" t="s">
        <v>2005</v>
      </c>
      <c r="D480">
        <v>2</v>
      </c>
      <c r="E480" s="30" t="s">
        <v>2006</v>
      </c>
      <c r="F480" s="29">
        <v>45825</v>
      </c>
      <c r="G480">
        <v>39512</v>
      </c>
      <c r="H480">
        <v>6650</v>
      </c>
      <c r="I480" s="30" t="s">
        <v>26</v>
      </c>
      <c r="J480" s="30" t="s">
        <v>566</v>
      </c>
      <c r="K480">
        <v>6</v>
      </c>
      <c r="L480" s="29">
        <v>46062</v>
      </c>
      <c r="M480" s="29">
        <v>46039</v>
      </c>
      <c r="N480" s="30" t="str">
        <f>VLOOKUP(Query1[[#This Row],[company_name]],'Org Mapping'!$B:$I,8,FALSE)</f>
        <v>UHG/Lenovo</v>
      </c>
      <c r="O480" s="30" t="str">
        <f>TEXT(Query1[[#This Row],[last_work_day]],"mmm'yy")</f>
        <v>Feb'26</v>
      </c>
    </row>
    <row r="481" spans="1:15" x14ac:dyDescent="0.35">
      <c r="A481" s="30" t="s">
        <v>542</v>
      </c>
      <c r="B481" s="30" t="s">
        <v>65</v>
      </c>
      <c r="C481" s="30" t="s">
        <v>2007</v>
      </c>
      <c r="D481">
        <v>2</v>
      </c>
      <c r="E481" s="30" t="s">
        <v>2008</v>
      </c>
      <c r="F481" s="29">
        <v>45825</v>
      </c>
      <c r="G481">
        <v>35989</v>
      </c>
      <c r="H481">
        <v>6650</v>
      </c>
      <c r="I481" s="30" t="s">
        <v>26</v>
      </c>
      <c r="J481" s="30" t="s">
        <v>566</v>
      </c>
      <c r="K481">
        <v>6</v>
      </c>
      <c r="L481" s="29">
        <v>46080</v>
      </c>
      <c r="M481" s="29">
        <v>45987</v>
      </c>
      <c r="N481" s="30" t="str">
        <f>VLOOKUP(Query1[[#This Row],[company_name]],'Org Mapping'!$B:$I,8,FALSE)</f>
        <v>UHG/Lenovo</v>
      </c>
      <c r="O481" s="30" t="str">
        <f>TEXT(Query1[[#This Row],[last_work_day]],"mmm'yy")</f>
        <v>Feb'26</v>
      </c>
    </row>
    <row r="482" spans="1:15" x14ac:dyDescent="0.35">
      <c r="A482" s="30" t="s">
        <v>2009</v>
      </c>
      <c r="B482" s="30" t="s">
        <v>39</v>
      </c>
      <c r="C482" s="30" t="s">
        <v>2010</v>
      </c>
      <c r="D482">
        <v>2</v>
      </c>
      <c r="E482" s="30" t="s">
        <v>2011</v>
      </c>
      <c r="F482" s="29">
        <v>45804</v>
      </c>
      <c r="G482">
        <v>250000</v>
      </c>
      <c r="H482">
        <v>50000</v>
      </c>
      <c r="I482" s="30" t="s">
        <v>37</v>
      </c>
      <c r="J482" s="30" t="s">
        <v>402</v>
      </c>
      <c r="K482">
        <v>6</v>
      </c>
      <c r="L482" s="29">
        <v>46091</v>
      </c>
      <c r="M482" s="29">
        <v>46064</v>
      </c>
      <c r="N482" s="30" t="str">
        <f>VLOOKUP(Query1[[#This Row],[company_name]],'Org Mapping'!$B:$I,8,FALSE)</f>
        <v>Mehr Hashim</v>
      </c>
      <c r="O482" s="30" t="str">
        <f>TEXT(Query1[[#This Row],[last_work_day]],"mmm'yy")</f>
        <v>Mar'26</v>
      </c>
    </row>
    <row r="483" spans="1:15" x14ac:dyDescent="0.35">
      <c r="A483" s="30" t="s">
        <v>2012</v>
      </c>
      <c r="B483" s="30" t="s">
        <v>65</v>
      </c>
      <c r="C483" s="30" t="s">
        <v>2013</v>
      </c>
      <c r="D483">
        <v>2</v>
      </c>
      <c r="E483" s="30" t="s">
        <v>2014</v>
      </c>
      <c r="F483" s="29">
        <v>45804</v>
      </c>
      <c r="G483">
        <v>40103.919999999998</v>
      </c>
      <c r="H483">
        <v>6650.92</v>
      </c>
      <c r="I483" s="30" t="s">
        <v>26</v>
      </c>
      <c r="J483" s="30" t="s">
        <v>566</v>
      </c>
      <c r="K483">
        <v>6</v>
      </c>
      <c r="L483" s="29">
        <v>46107</v>
      </c>
      <c r="M483" s="29">
        <v>46115</v>
      </c>
      <c r="N483" s="30" t="str">
        <f>VLOOKUP(Query1[[#This Row],[company_name]],'Org Mapping'!$B:$I,8,FALSE)</f>
        <v>UHG/Lenovo</v>
      </c>
      <c r="O483" s="30" t="str">
        <f>TEXT(Query1[[#This Row],[last_work_day]],"mmm'yy")</f>
        <v>Mar'26</v>
      </c>
    </row>
    <row r="484" spans="1:15" x14ac:dyDescent="0.35">
      <c r="A484" s="30" t="s">
        <v>360</v>
      </c>
      <c r="B484" s="30" t="s">
        <v>65</v>
      </c>
      <c r="C484" s="30" t="s">
        <v>2015</v>
      </c>
      <c r="D484">
        <v>2</v>
      </c>
      <c r="E484" s="30" t="s">
        <v>2016</v>
      </c>
      <c r="F484" s="29">
        <v>45808</v>
      </c>
      <c r="G484">
        <v>31822</v>
      </c>
      <c r="H484">
        <v>6650</v>
      </c>
      <c r="I484" s="30" t="s">
        <v>26</v>
      </c>
      <c r="J484" s="30" t="s">
        <v>566</v>
      </c>
      <c r="K484">
        <v>6</v>
      </c>
      <c r="L484" s="29">
        <v>46172</v>
      </c>
      <c r="M484" s="29">
        <v>46161</v>
      </c>
      <c r="N484" s="30" t="str">
        <f>VLOOKUP(Query1[[#This Row],[company_name]],'Org Mapping'!$B:$I,8,FALSE)</f>
        <v>UHG/Lenovo</v>
      </c>
      <c r="O484" s="30" t="str">
        <f>TEXT(Query1[[#This Row],[last_work_day]],"mmm'yy")</f>
        <v>May'26</v>
      </c>
    </row>
    <row r="485" spans="1:15" x14ac:dyDescent="0.35">
      <c r="A485" s="30" t="s">
        <v>481</v>
      </c>
      <c r="B485" s="30" t="s">
        <v>65</v>
      </c>
      <c r="C485" s="30" t="s">
        <v>2017</v>
      </c>
      <c r="D485">
        <v>2</v>
      </c>
      <c r="E485" s="30" t="s">
        <v>2018</v>
      </c>
      <c r="F485" s="29">
        <v>45804</v>
      </c>
      <c r="I485" s="30" t="s">
        <v>26</v>
      </c>
      <c r="J485" s="30" t="s">
        <v>566</v>
      </c>
      <c r="K485">
        <v>6</v>
      </c>
      <c r="L485" s="29">
        <v>46135</v>
      </c>
      <c r="M485" s="29">
        <v>46136</v>
      </c>
      <c r="N485" s="30" t="str">
        <f>VLOOKUP(Query1[[#This Row],[company_name]],'Org Mapping'!$B:$I,8,FALSE)</f>
        <v>UHG/Lenovo</v>
      </c>
      <c r="O485" s="30" t="str">
        <f>TEXT(Query1[[#This Row],[last_work_day]],"mmm'yy")</f>
        <v>Apr'26</v>
      </c>
    </row>
    <row r="486" spans="1:15" x14ac:dyDescent="0.35">
      <c r="A486" s="30" t="s">
        <v>481</v>
      </c>
      <c r="B486" s="30" t="s">
        <v>65</v>
      </c>
      <c r="C486" s="30" t="s">
        <v>2019</v>
      </c>
      <c r="D486">
        <v>2</v>
      </c>
      <c r="E486" s="30" t="s">
        <v>2020</v>
      </c>
      <c r="F486" s="29">
        <v>45827</v>
      </c>
      <c r="G486">
        <v>0</v>
      </c>
      <c r="H486">
        <v>0</v>
      </c>
      <c r="I486" s="30" t="s">
        <v>26</v>
      </c>
      <c r="J486" s="30" t="s">
        <v>566</v>
      </c>
      <c r="K486">
        <v>6</v>
      </c>
      <c r="L486" s="29">
        <v>46106</v>
      </c>
      <c r="M486" s="29">
        <v>46129</v>
      </c>
      <c r="N486" s="30" t="str">
        <f>VLOOKUP(Query1[[#This Row],[company_name]],'Org Mapping'!$B:$I,8,FALSE)</f>
        <v>UHG/Lenovo</v>
      </c>
      <c r="O486" s="30" t="str">
        <f>TEXT(Query1[[#This Row],[last_work_day]],"mmm'yy")</f>
        <v>Mar'26</v>
      </c>
    </row>
    <row r="487" spans="1:15" x14ac:dyDescent="0.35">
      <c r="A487" s="30" t="s">
        <v>557</v>
      </c>
      <c r="B487" s="30" t="s">
        <v>65</v>
      </c>
      <c r="C487" s="30" t="s">
        <v>2021</v>
      </c>
      <c r="D487">
        <v>2</v>
      </c>
      <c r="E487" s="30" t="s">
        <v>2022</v>
      </c>
      <c r="F487" s="29">
        <v>45808</v>
      </c>
      <c r="G487">
        <v>36558</v>
      </c>
      <c r="H487">
        <v>6650</v>
      </c>
      <c r="I487" s="30" t="s">
        <v>26</v>
      </c>
      <c r="J487" s="30" t="s">
        <v>566</v>
      </c>
      <c r="K487">
        <v>6</v>
      </c>
      <c r="L487" s="29">
        <v>46121</v>
      </c>
      <c r="M487" s="29">
        <v>46121</v>
      </c>
      <c r="N487" s="30" t="str">
        <f>VLOOKUP(Query1[[#This Row],[company_name]],'Org Mapping'!$B:$I,8,FALSE)</f>
        <v>UHG/Lenovo</v>
      </c>
      <c r="O487" s="30" t="str">
        <f>TEXT(Query1[[#This Row],[last_work_day]],"mmm'yy")</f>
        <v>Apr'26</v>
      </c>
    </row>
    <row r="488" spans="1:15" x14ac:dyDescent="0.35">
      <c r="A488" s="30" t="s">
        <v>546</v>
      </c>
      <c r="B488" s="30" t="s">
        <v>65</v>
      </c>
      <c r="C488" s="30" t="s">
        <v>2023</v>
      </c>
      <c r="D488">
        <v>2</v>
      </c>
      <c r="E488" s="30" t="s">
        <v>2024</v>
      </c>
      <c r="F488" s="29">
        <v>45808</v>
      </c>
      <c r="G488">
        <v>35263</v>
      </c>
      <c r="H488">
        <v>6651</v>
      </c>
      <c r="I488" s="30" t="s">
        <v>26</v>
      </c>
      <c r="J488" s="30" t="s">
        <v>566</v>
      </c>
      <c r="K488">
        <v>6</v>
      </c>
      <c r="L488" s="29">
        <v>46168</v>
      </c>
      <c r="M488" s="29">
        <v>46161</v>
      </c>
      <c r="N488" s="30" t="str">
        <f>VLOOKUP(Query1[[#This Row],[company_name]],'Org Mapping'!$B:$I,8,FALSE)</f>
        <v>UHG/Lenovo</v>
      </c>
      <c r="O488" s="30" t="str">
        <f>TEXT(Query1[[#This Row],[last_work_day]],"mmm'yy")</f>
        <v>May'26</v>
      </c>
    </row>
    <row r="489" spans="1:15" x14ac:dyDescent="0.35">
      <c r="A489" s="30" t="s">
        <v>151</v>
      </c>
      <c r="B489" s="30" t="s">
        <v>65</v>
      </c>
      <c r="C489" s="30" t="s">
        <v>2025</v>
      </c>
      <c r="D489">
        <v>2</v>
      </c>
      <c r="E489" s="30" t="s">
        <v>2026</v>
      </c>
      <c r="F489" s="29">
        <v>45806</v>
      </c>
      <c r="G489">
        <v>31822</v>
      </c>
      <c r="H489">
        <v>6650</v>
      </c>
      <c r="I489" s="30" t="s">
        <v>26</v>
      </c>
      <c r="J489" s="30" t="s">
        <v>566</v>
      </c>
      <c r="K489">
        <v>6</v>
      </c>
      <c r="L489" s="29">
        <v>46027</v>
      </c>
      <c r="M489" s="29">
        <v>46038</v>
      </c>
      <c r="N489" s="30" t="str">
        <f>VLOOKUP(Query1[[#This Row],[company_name]],'Org Mapping'!$B:$I,8,FALSE)</f>
        <v>UHG/Lenovo</v>
      </c>
      <c r="O489" s="30" t="str">
        <f>TEXT(Query1[[#This Row],[last_work_day]],"mmm'yy")</f>
        <v>Jan'26</v>
      </c>
    </row>
    <row r="490" spans="1:15" x14ac:dyDescent="0.35">
      <c r="A490" s="30" t="s">
        <v>360</v>
      </c>
      <c r="B490" s="30" t="s">
        <v>65</v>
      </c>
      <c r="C490" s="30" t="s">
        <v>2027</v>
      </c>
      <c r="D490">
        <v>2</v>
      </c>
      <c r="E490" s="30" t="s">
        <v>2028</v>
      </c>
      <c r="F490" s="29">
        <v>45829</v>
      </c>
      <c r="G490">
        <v>33489</v>
      </c>
      <c r="H490">
        <v>6650</v>
      </c>
      <c r="I490" s="30" t="s">
        <v>26</v>
      </c>
      <c r="J490" s="30" t="s">
        <v>566</v>
      </c>
      <c r="K490">
        <v>6</v>
      </c>
      <c r="L490" s="29">
        <v>46070</v>
      </c>
      <c r="M490" s="29">
        <v>45965</v>
      </c>
      <c r="N490" s="30" t="str">
        <f>VLOOKUP(Query1[[#This Row],[company_name]],'Org Mapping'!$B:$I,8,FALSE)</f>
        <v>UHG/Lenovo</v>
      </c>
      <c r="O490" s="30" t="str">
        <f>TEXT(Query1[[#This Row],[last_work_day]],"mmm'yy")</f>
        <v>Feb'26</v>
      </c>
    </row>
    <row r="491" spans="1:15" x14ac:dyDescent="0.35">
      <c r="A491" s="30" t="s">
        <v>546</v>
      </c>
      <c r="B491" s="30" t="s">
        <v>65</v>
      </c>
      <c r="C491" s="30" t="s">
        <v>2029</v>
      </c>
      <c r="D491">
        <v>2</v>
      </c>
      <c r="E491" s="30" t="s">
        <v>2030</v>
      </c>
      <c r="F491" s="29">
        <v>45827</v>
      </c>
      <c r="G491">
        <v>31822</v>
      </c>
      <c r="H491">
        <v>6650</v>
      </c>
      <c r="I491" s="30" t="s">
        <v>26</v>
      </c>
      <c r="J491" s="30" t="s">
        <v>566</v>
      </c>
      <c r="K491">
        <v>6</v>
      </c>
      <c r="L491" s="29">
        <v>46080</v>
      </c>
      <c r="M491" s="29">
        <v>46066</v>
      </c>
      <c r="N491" s="30" t="str">
        <f>VLOOKUP(Query1[[#This Row],[company_name]],'Org Mapping'!$B:$I,8,FALSE)</f>
        <v>UHG/Lenovo</v>
      </c>
      <c r="O491" s="30" t="str">
        <f>TEXT(Query1[[#This Row],[last_work_day]],"mmm'yy")</f>
        <v>Feb'26</v>
      </c>
    </row>
    <row r="492" spans="1:15" x14ac:dyDescent="0.35">
      <c r="A492" s="30" t="s">
        <v>481</v>
      </c>
      <c r="B492" s="30" t="s">
        <v>65</v>
      </c>
      <c r="C492" s="30" t="s">
        <v>2031</v>
      </c>
      <c r="D492">
        <v>2</v>
      </c>
      <c r="E492" s="30" t="s">
        <v>2032</v>
      </c>
      <c r="F492" s="29">
        <v>45804</v>
      </c>
      <c r="G492">
        <v>43029</v>
      </c>
      <c r="H492">
        <v>6650</v>
      </c>
      <c r="I492" s="30" t="s">
        <v>26</v>
      </c>
      <c r="J492" s="30" t="s">
        <v>566</v>
      </c>
      <c r="K492">
        <v>6</v>
      </c>
      <c r="L492" s="29">
        <v>46054</v>
      </c>
      <c r="M492" s="29">
        <v>46054</v>
      </c>
      <c r="N492" s="30" t="str">
        <f>VLOOKUP(Query1[[#This Row],[company_name]],'Org Mapping'!$B:$I,8,FALSE)</f>
        <v>UHG/Lenovo</v>
      </c>
      <c r="O492" s="30" t="str">
        <f>TEXT(Query1[[#This Row],[last_work_day]],"mmm'yy")</f>
        <v>Feb'26</v>
      </c>
    </row>
    <row r="493" spans="1:15" x14ac:dyDescent="0.35">
      <c r="A493" s="30" t="s">
        <v>553</v>
      </c>
      <c r="B493" s="30" t="s">
        <v>65</v>
      </c>
      <c r="C493" s="30" t="s">
        <v>2033</v>
      </c>
      <c r="D493">
        <v>2</v>
      </c>
      <c r="E493" s="30" t="s">
        <v>2034</v>
      </c>
      <c r="F493" s="29">
        <v>45804</v>
      </c>
      <c r="G493">
        <v>70134.92</v>
      </c>
      <c r="H493">
        <v>6650.92</v>
      </c>
      <c r="I493" s="30" t="s">
        <v>21</v>
      </c>
      <c r="J493" s="30" t="s">
        <v>566</v>
      </c>
      <c r="K493">
        <v>6</v>
      </c>
      <c r="L493" s="29">
        <v>46048</v>
      </c>
      <c r="M493" s="29">
        <v>46055</v>
      </c>
      <c r="N493" s="30" t="str">
        <f>VLOOKUP(Query1[[#This Row],[company_name]],'Org Mapping'!$B:$I,8,FALSE)</f>
        <v>UHG/Lenovo</v>
      </c>
      <c r="O493" s="30" t="str">
        <f>TEXT(Query1[[#This Row],[last_work_day]],"mmm'yy")</f>
        <v>Jan'26</v>
      </c>
    </row>
    <row r="494" spans="1:15" x14ac:dyDescent="0.35">
      <c r="A494" s="30" t="s">
        <v>360</v>
      </c>
      <c r="B494" s="30" t="s">
        <v>65</v>
      </c>
      <c r="C494" s="30" t="s">
        <v>2035</v>
      </c>
      <c r="D494">
        <v>2</v>
      </c>
      <c r="E494" s="30" t="s">
        <v>2036</v>
      </c>
      <c r="F494" s="29">
        <v>45804</v>
      </c>
      <c r="G494">
        <v>32850</v>
      </c>
      <c r="H494">
        <v>6650</v>
      </c>
      <c r="I494" s="30" t="s">
        <v>26</v>
      </c>
      <c r="J494" s="30" t="s">
        <v>566</v>
      </c>
      <c r="K494">
        <v>6</v>
      </c>
      <c r="L494" s="29">
        <v>46058</v>
      </c>
      <c r="M494" s="29">
        <v>46058</v>
      </c>
      <c r="N494" s="30" t="str">
        <f>VLOOKUP(Query1[[#This Row],[company_name]],'Org Mapping'!$B:$I,8,FALSE)</f>
        <v>UHG/Lenovo</v>
      </c>
      <c r="O494" s="30" t="str">
        <f>TEXT(Query1[[#This Row],[last_work_day]],"mmm'yy")</f>
        <v>Feb'26</v>
      </c>
    </row>
    <row r="495" spans="1:15" x14ac:dyDescent="0.35">
      <c r="A495" s="30" t="s">
        <v>471</v>
      </c>
      <c r="B495" s="30" t="s">
        <v>65</v>
      </c>
      <c r="C495" s="30" t="s">
        <v>2037</v>
      </c>
      <c r="D495">
        <v>2</v>
      </c>
      <c r="E495" s="30" t="s">
        <v>2038</v>
      </c>
      <c r="F495" s="29">
        <v>45804</v>
      </c>
      <c r="G495">
        <v>32655</v>
      </c>
      <c r="H495">
        <v>6650</v>
      </c>
      <c r="I495" s="30" t="s">
        <v>26</v>
      </c>
      <c r="J495" s="30" t="s">
        <v>566</v>
      </c>
      <c r="K495">
        <v>6</v>
      </c>
      <c r="L495" s="29">
        <v>46087</v>
      </c>
      <c r="M495" s="29">
        <v>46087</v>
      </c>
      <c r="N495" s="30" t="str">
        <f>VLOOKUP(Query1[[#This Row],[company_name]],'Org Mapping'!$B:$I,8,FALSE)</f>
        <v>UHG/Lenovo</v>
      </c>
      <c r="O495" s="30" t="str">
        <f>TEXT(Query1[[#This Row],[last_work_day]],"mmm'yy")</f>
        <v>Mar'26</v>
      </c>
    </row>
    <row r="496" spans="1:15" x14ac:dyDescent="0.35">
      <c r="A496" s="30" t="s">
        <v>471</v>
      </c>
      <c r="B496" s="30" t="s">
        <v>65</v>
      </c>
      <c r="C496" s="30" t="s">
        <v>2039</v>
      </c>
      <c r="D496">
        <v>2</v>
      </c>
      <c r="E496" s="30" t="s">
        <v>2040</v>
      </c>
      <c r="F496" s="29">
        <v>45839</v>
      </c>
      <c r="G496">
        <v>37336</v>
      </c>
      <c r="H496">
        <v>6650</v>
      </c>
      <c r="I496" s="30" t="s">
        <v>26</v>
      </c>
      <c r="J496" s="30" t="s">
        <v>566</v>
      </c>
      <c r="K496">
        <v>6</v>
      </c>
      <c r="L496" s="29">
        <v>46120</v>
      </c>
      <c r="M496" s="29">
        <v>46120</v>
      </c>
      <c r="N496" s="30" t="str">
        <f>VLOOKUP(Query1[[#This Row],[company_name]],'Org Mapping'!$B:$I,8,FALSE)</f>
        <v>UHG/Lenovo</v>
      </c>
      <c r="O496" s="30" t="str">
        <f>TEXT(Query1[[#This Row],[last_work_day]],"mmm'yy")</f>
        <v>Apr'26</v>
      </c>
    </row>
    <row r="497" spans="1:15" x14ac:dyDescent="0.35">
      <c r="A497" s="30" t="s">
        <v>471</v>
      </c>
      <c r="B497" s="30" t="s">
        <v>65</v>
      </c>
      <c r="C497" s="30" t="s">
        <v>2041</v>
      </c>
      <c r="D497">
        <v>2</v>
      </c>
      <c r="E497" s="30" t="s">
        <v>2042</v>
      </c>
      <c r="F497" s="29">
        <v>45829</v>
      </c>
      <c r="G497">
        <v>33150</v>
      </c>
      <c r="H497">
        <v>6650</v>
      </c>
      <c r="I497" s="30" t="s">
        <v>26</v>
      </c>
      <c r="J497" s="30" t="s">
        <v>566</v>
      </c>
      <c r="K497">
        <v>6</v>
      </c>
      <c r="L497" s="29">
        <v>46114</v>
      </c>
      <c r="M497" s="29">
        <v>46085</v>
      </c>
      <c r="N497" s="30" t="str">
        <f>VLOOKUP(Query1[[#This Row],[company_name]],'Org Mapping'!$B:$I,8,FALSE)</f>
        <v>UHG/Lenovo</v>
      </c>
      <c r="O497" s="30" t="str">
        <f>TEXT(Query1[[#This Row],[last_work_day]],"mmm'yy")</f>
        <v>Apr'26</v>
      </c>
    </row>
    <row r="498" spans="1:15" x14ac:dyDescent="0.35">
      <c r="A498" s="30" t="s">
        <v>553</v>
      </c>
      <c r="B498" s="30" t="s">
        <v>65</v>
      </c>
      <c r="C498" s="30" t="s">
        <v>2043</v>
      </c>
      <c r="D498">
        <v>2</v>
      </c>
      <c r="E498" s="30" t="s">
        <v>2044</v>
      </c>
      <c r="F498" s="29">
        <v>45808</v>
      </c>
      <c r="G498">
        <v>56613.83</v>
      </c>
      <c r="H498">
        <v>6650.83</v>
      </c>
      <c r="I498" s="30" t="s">
        <v>91</v>
      </c>
      <c r="J498" s="30" t="s">
        <v>566</v>
      </c>
      <c r="K498">
        <v>6</v>
      </c>
      <c r="L498" s="29">
        <v>46147</v>
      </c>
      <c r="M498" s="29">
        <v>46155</v>
      </c>
      <c r="N498" s="30" t="str">
        <f>VLOOKUP(Query1[[#This Row],[company_name]],'Org Mapping'!$B:$I,8,FALSE)</f>
        <v>UHG/Lenovo</v>
      </c>
      <c r="O498" s="30" t="str">
        <f>TEXT(Query1[[#This Row],[last_work_day]],"mmm'yy")</f>
        <v>May'26</v>
      </c>
    </row>
    <row r="499" spans="1:15" x14ac:dyDescent="0.35">
      <c r="A499" s="30" t="s">
        <v>542</v>
      </c>
      <c r="B499" s="30" t="s">
        <v>65</v>
      </c>
      <c r="C499" s="30" t="s">
        <v>2045</v>
      </c>
      <c r="D499">
        <v>2</v>
      </c>
      <c r="E499" s="30" t="s">
        <v>2046</v>
      </c>
      <c r="F499" s="29">
        <v>45829</v>
      </c>
      <c r="G499">
        <v>46194</v>
      </c>
      <c r="H499">
        <v>6651</v>
      </c>
      <c r="I499" s="30" t="s">
        <v>26</v>
      </c>
      <c r="J499" s="30" t="s">
        <v>566</v>
      </c>
      <c r="K499">
        <v>6</v>
      </c>
      <c r="L499" s="29">
        <v>46163</v>
      </c>
      <c r="M499" s="29">
        <v>46163</v>
      </c>
      <c r="N499" s="30" t="str">
        <f>VLOOKUP(Query1[[#This Row],[company_name]],'Org Mapping'!$B:$I,8,FALSE)</f>
        <v>UHG/Lenovo</v>
      </c>
      <c r="O499" s="30" t="str">
        <f>TEXT(Query1[[#This Row],[last_work_day]],"mmm'yy")</f>
        <v>May'26</v>
      </c>
    </row>
    <row r="500" spans="1:15" x14ac:dyDescent="0.35">
      <c r="A500" s="30" t="s">
        <v>553</v>
      </c>
      <c r="B500" s="30" t="s">
        <v>65</v>
      </c>
      <c r="C500" s="30" t="s">
        <v>2047</v>
      </c>
      <c r="D500">
        <v>2</v>
      </c>
      <c r="E500" s="30" t="s">
        <v>2048</v>
      </c>
      <c r="F500" s="29">
        <v>45827</v>
      </c>
      <c r="G500">
        <v>49280.92</v>
      </c>
      <c r="H500">
        <v>6650.92</v>
      </c>
      <c r="I500" s="30" t="s">
        <v>26</v>
      </c>
      <c r="J500" s="30" t="s">
        <v>566</v>
      </c>
      <c r="K500">
        <v>6</v>
      </c>
      <c r="L500" s="29">
        <v>46041</v>
      </c>
      <c r="M500" s="29">
        <v>46041</v>
      </c>
      <c r="N500" s="30" t="str">
        <f>VLOOKUP(Query1[[#This Row],[company_name]],'Org Mapping'!$B:$I,8,FALSE)</f>
        <v>UHG/Lenovo</v>
      </c>
      <c r="O500" s="30" t="str">
        <f>TEXT(Query1[[#This Row],[last_work_day]],"mmm'yy")</f>
        <v>Jan'26</v>
      </c>
    </row>
    <row r="501" spans="1:15" x14ac:dyDescent="0.35">
      <c r="A501" s="30" t="s">
        <v>401</v>
      </c>
      <c r="B501" s="30" t="s">
        <v>65</v>
      </c>
      <c r="C501" s="30" t="s">
        <v>2049</v>
      </c>
      <c r="D501">
        <v>2</v>
      </c>
      <c r="E501" s="30" t="s">
        <v>2050</v>
      </c>
      <c r="F501" s="29">
        <v>45804</v>
      </c>
      <c r="G501">
        <v>34472</v>
      </c>
      <c r="H501">
        <v>6650</v>
      </c>
      <c r="I501" s="30" t="s">
        <v>26</v>
      </c>
      <c r="J501" s="30" t="s">
        <v>566</v>
      </c>
      <c r="K501">
        <v>6</v>
      </c>
      <c r="L501" s="29">
        <v>46114</v>
      </c>
      <c r="M501" s="29">
        <v>46115</v>
      </c>
      <c r="N501" s="30" t="str">
        <f>VLOOKUP(Query1[[#This Row],[company_name]],'Org Mapping'!$B:$I,8,FALSE)</f>
        <v>UHG/Lenovo</v>
      </c>
      <c r="O501" s="30" t="str">
        <f>TEXT(Query1[[#This Row],[last_work_day]],"mmm'yy")</f>
        <v>Apr'26</v>
      </c>
    </row>
    <row r="502" spans="1:15" x14ac:dyDescent="0.35">
      <c r="A502" s="30" t="s">
        <v>98</v>
      </c>
      <c r="B502" s="30" t="s">
        <v>65</v>
      </c>
      <c r="C502" s="30" t="s">
        <v>2051</v>
      </c>
      <c r="D502">
        <v>2</v>
      </c>
      <c r="E502" s="30" t="s">
        <v>2052</v>
      </c>
      <c r="F502" s="29">
        <v>45804</v>
      </c>
      <c r="G502">
        <v>64688</v>
      </c>
      <c r="H502">
        <v>6650</v>
      </c>
      <c r="I502" s="30" t="s">
        <v>26</v>
      </c>
      <c r="J502" s="30" t="s">
        <v>566</v>
      </c>
      <c r="K502">
        <v>6</v>
      </c>
      <c r="L502" s="29">
        <v>46164</v>
      </c>
      <c r="M502" s="29">
        <v>46167</v>
      </c>
      <c r="N502" s="30" t="str">
        <f>VLOOKUP(Query1[[#This Row],[company_name]],'Org Mapping'!$B:$I,8,FALSE)</f>
        <v>UHG/Lenovo</v>
      </c>
      <c r="O502" s="30" t="str">
        <f>TEXT(Query1[[#This Row],[last_work_day]],"mmm'yy")</f>
        <v>May'26</v>
      </c>
    </row>
    <row r="503" spans="1:15" x14ac:dyDescent="0.35">
      <c r="A503" s="30" t="s">
        <v>557</v>
      </c>
      <c r="B503" s="30" t="s">
        <v>65</v>
      </c>
      <c r="C503" s="30" t="s">
        <v>2053</v>
      </c>
      <c r="D503">
        <v>2</v>
      </c>
      <c r="E503" s="30" t="s">
        <v>2054</v>
      </c>
      <c r="F503" s="29">
        <v>45806</v>
      </c>
      <c r="G503">
        <v>37886</v>
      </c>
      <c r="H503">
        <v>6650</v>
      </c>
      <c r="I503" s="30" t="s">
        <v>26</v>
      </c>
      <c r="J503" s="30" t="s">
        <v>566</v>
      </c>
      <c r="K503">
        <v>6</v>
      </c>
      <c r="L503" s="29">
        <v>46142</v>
      </c>
      <c r="M503" s="29">
        <v>46161</v>
      </c>
      <c r="N503" s="30" t="str">
        <f>VLOOKUP(Query1[[#This Row],[company_name]],'Org Mapping'!$B:$I,8,FALSE)</f>
        <v>UHG/Lenovo</v>
      </c>
      <c r="O503" s="30" t="str">
        <f>TEXT(Query1[[#This Row],[last_work_day]],"mmm'yy")</f>
        <v>Apr'26</v>
      </c>
    </row>
    <row r="504" spans="1:15" x14ac:dyDescent="0.35">
      <c r="A504" s="30" t="s">
        <v>542</v>
      </c>
      <c r="B504" s="30" t="s">
        <v>65</v>
      </c>
      <c r="C504" s="30" t="s">
        <v>2055</v>
      </c>
      <c r="D504">
        <v>2</v>
      </c>
      <c r="E504" s="30" t="s">
        <v>2056</v>
      </c>
      <c r="F504" s="29">
        <v>45806</v>
      </c>
      <c r="G504">
        <v>49641.42</v>
      </c>
      <c r="H504">
        <v>6650.42</v>
      </c>
      <c r="I504" s="30" t="s">
        <v>26</v>
      </c>
      <c r="J504" s="30" t="s">
        <v>566</v>
      </c>
      <c r="K504">
        <v>6</v>
      </c>
      <c r="L504" s="29">
        <v>46106</v>
      </c>
      <c r="M504" s="29">
        <v>46107</v>
      </c>
      <c r="N504" s="30" t="str">
        <f>VLOOKUP(Query1[[#This Row],[company_name]],'Org Mapping'!$B:$I,8,FALSE)</f>
        <v>UHG/Lenovo</v>
      </c>
      <c r="O504" s="30" t="str">
        <f>TEXT(Query1[[#This Row],[last_work_day]],"mmm'yy")</f>
        <v>Mar'26</v>
      </c>
    </row>
    <row r="505" spans="1:15" x14ac:dyDescent="0.35">
      <c r="A505" s="30" t="s">
        <v>151</v>
      </c>
      <c r="B505" s="30" t="s">
        <v>65</v>
      </c>
      <c r="C505" s="30" t="s">
        <v>2057</v>
      </c>
      <c r="D505">
        <v>2</v>
      </c>
      <c r="E505" s="30" t="s">
        <v>2058</v>
      </c>
      <c r="F505" s="29">
        <v>45808</v>
      </c>
      <c r="G505">
        <v>31822</v>
      </c>
      <c r="H505">
        <v>6650</v>
      </c>
      <c r="I505" s="30" t="s">
        <v>26</v>
      </c>
      <c r="J505" s="30" t="s">
        <v>566</v>
      </c>
      <c r="K505">
        <v>6</v>
      </c>
      <c r="L505" s="29">
        <v>46052</v>
      </c>
      <c r="M505" s="29">
        <v>46052</v>
      </c>
      <c r="N505" s="30" t="str">
        <f>VLOOKUP(Query1[[#This Row],[company_name]],'Org Mapping'!$B:$I,8,FALSE)</f>
        <v>UHG/Lenovo</v>
      </c>
      <c r="O505" s="30" t="str">
        <f>TEXT(Query1[[#This Row],[last_work_day]],"mmm'yy")</f>
        <v>Jan'26</v>
      </c>
    </row>
    <row r="506" spans="1:15" x14ac:dyDescent="0.35">
      <c r="A506" s="30" t="s">
        <v>390</v>
      </c>
      <c r="B506" s="30" t="s">
        <v>65</v>
      </c>
      <c r="C506" s="30" t="s">
        <v>2059</v>
      </c>
      <c r="D506">
        <v>2</v>
      </c>
      <c r="E506" s="30" t="s">
        <v>2060</v>
      </c>
      <c r="F506" s="29">
        <v>45804</v>
      </c>
      <c r="G506">
        <v>76094</v>
      </c>
      <c r="H506">
        <v>6650</v>
      </c>
      <c r="I506" s="30" t="s">
        <v>26</v>
      </c>
      <c r="J506" s="30" t="s">
        <v>566</v>
      </c>
      <c r="K506">
        <v>6</v>
      </c>
      <c r="L506" s="29">
        <v>46171</v>
      </c>
      <c r="M506" s="29">
        <v>46155</v>
      </c>
      <c r="N506" s="30" t="str">
        <f>VLOOKUP(Query1[[#This Row],[company_name]],'Org Mapping'!$B:$I,8,FALSE)</f>
        <v>UHG/Lenovo</v>
      </c>
      <c r="O506" s="30" t="str">
        <f>TEXT(Query1[[#This Row],[last_work_day]],"mmm'yy")</f>
        <v>May'26</v>
      </c>
    </row>
    <row r="507" spans="1:15" x14ac:dyDescent="0.35">
      <c r="A507" s="30" t="s">
        <v>390</v>
      </c>
      <c r="B507" s="30" t="s">
        <v>65</v>
      </c>
      <c r="C507" s="30" t="s">
        <v>2061</v>
      </c>
      <c r="D507">
        <v>2</v>
      </c>
      <c r="E507" s="30" t="s">
        <v>2062</v>
      </c>
      <c r="F507" s="29">
        <v>45806</v>
      </c>
      <c r="G507">
        <v>31822</v>
      </c>
      <c r="H507">
        <v>6650</v>
      </c>
      <c r="I507" s="30" t="s">
        <v>26</v>
      </c>
      <c r="J507" s="30" t="s">
        <v>566</v>
      </c>
      <c r="K507">
        <v>6</v>
      </c>
      <c r="L507" s="29">
        <v>46059</v>
      </c>
      <c r="M507" s="29">
        <v>46064</v>
      </c>
      <c r="N507" s="30" t="str">
        <f>VLOOKUP(Query1[[#This Row],[company_name]],'Org Mapping'!$B:$I,8,FALSE)</f>
        <v>UHG/Lenovo</v>
      </c>
      <c r="O507" s="30" t="str">
        <f>TEXT(Query1[[#This Row],[last_work_day]],"mmm'yy")</f>
        <v>Feb'26</v>
      </c>
    </row>
    <row r="508" spans="1:15" x14ac:dyDescent="0.35">
      <c r="A508" s="30" t="s">
        <v>471</v>
      </c>
      <c r="B508" s="30" t="s">
        <v>65</v>
      </c>
      <c r="C508" s="30" t="s">
        <v>2063</v>
      </c>
      <c r="D508">
        <v>2</v>
      </c>
      <c r="E508" s="30" t="s">
        <v>2064</v>
      </c>
      <c r="F508" s="29">
        <v>45804</v>
      </c>
      <c r="G508">
        <v>37232</v>
      </c>
      <c r="H508">
        <v>6650</v>
      </c>
      <c r="I508" s="30" t="s">
        <v>26</v>
      </c>
      <c r="J508" s="30" t="s">
        <v>566</v>
      </c>
      <c r="K508">
        <v>6</v>
      </c>
      <c r="L508" s="29">
        <v>46121</v>
      </c>
      <c r="M508" s="29">
        <v>46121</v>
      </c>
      <c r="N508" s="30" t="str">
        <f>VLOOKUP(Query1[[#This Row],[company_name]],'Org Mapping'!$B:$I,8,FALSE)</f>
        <v>UHG/Lenovo</v>
      </c>
      <c r="O508" s="30" t="str">
        <f>TEXT(Query1[[#This Row],[last_work_day]],"mmm'yy")</f>
        <v>Apr'26</v>
      </c>
    </row>
    <row r="509" spans="1:15" x14ac:dyDescent="0.35">
      <c r="A509" s="30" t="s">
        <v>542</v>
      </c>
      <c r="B509" s="30" t="s">
        <v>65</v>
      </c>
      <c r="C509" s="30" t="s">
        <v>2065</v>
      </c>
      <c r="D509">
        <v>2</v>
      </c>
      <c r="E509" s="30" t="s">
        <v>2066</v>
      </c>
      <c r="F509" s="29">
        <v>45804</v>
      </c>
      <c r="G509">
        <v>33625</v>
      </c>
      <c r="H509">
        <v>6650</v>
      </c>
      <c r="I509" s="30" t="s">
        <v>26</v>
      </c>
      <c r="J509" s="30" t="s">
        <v>566</v>
      </c>
      <c r="K509">
        <v>6</v>
      </c>
      <c r="L509" s="29">
        <v>46170</v>
      </c>
      <c r="M509" s="29">
        <v>46161</v>
      </c>
      <c r="N509" s="30" t="str">
        <f>VLOOKUP(Query1[[#This Row],[company_name]],'Org Mapping'!$B:$I,8,FALSE)</f>
        <v>UHG/Lenovo</v>
      </c>
      <c r="O509" s="30" t="str">
        <f>TEXT(Query1[[#This Row],[last_work_day]],"mmm'yy")</f>
        <v>May'26</v>
      </c>
    </row>
    <row r="510" spans="1:15" x14ac:dyDescent="0.35">
      <c r="A510" s="30" t="s">
        <v>151</v>
      </c>
      <c r="B510" s="30" t="s">
        <v>65</v>
      </c>
      <c r="C510" s="30" t="s">
        <v>2067</v>
      </c>
      <c r="D510">
        <v>2</v>
      </c>
      <c r="E510" s="30" t="s">
        <v>2068</v>
      </c>
      <c r="F510" s="29">
        <v>45825</v>
      </c>
      <c r="G510">
        <v>31822</v>
      </c>
      <c r="H510">
        <v>6650</v>
      </c>
      <c r="I510" s="30" t="s">
        <v>26</v>
      </c>
      <c r="J510" s="30" t="s">
        <v>566</v>
      </c>
      <c r="K510">
        <v>6</v>
      </c>
      <c r="L510" s="29">
        <v>46106</v>
      </c>
      <c r="M510" s="29">
        <v>46077</v>
      </c>
      <c r="N510" s="30" t="str">
        <f>VLOOKUP(Query1[[#This Row],[company_name]],'Org Mapping'!$B:$I,8,FALSE)</f>
        <v>UHG/Lenovo</v>
      </c>
      <c r="O510" s="30" t="str">
        <f>TEXT(Query1[[#This Row],[last_work_day]],"mmm'yy")</f>
        <v>Mar'26</v>
      </c>
    </row>
    <row r="511" spans="1:15" x14ac:dyDescent="0.35">
      <c r="A511" s="30" t="s">
        <v>481</v>
      </c>
      <c r="B511" s="30" t="s">
        <v>65</v>
      </c>
      <c r="C511" s="30" t="s">
        <v>2069</v>
      </c>
      <c r="D511">
        <v>2</v>
      </c>
      <c r="E511" s="30" t="s">
        <v>2070</v>
      </c>
      <c r="F511" s="29">
        <v>45825</v>
      </c>
      <c r="G511">
        <v>37982</v>
      </c>
      <c r="H511">
        <v>6650</v>
      </c>
      <c r="I511" s="30" t="s">
        <v>26</v>
      </c>
      <c r="J511" s="30" t="s">
        <v>566</v>
      </c>
      <c r="K511">
        <v>6</v>
      </c>
      <c r="L511" s="29">
        <v>46120</v>
      </c>
      <c r="M511" s="29">
        <v>46122</v>
      </c>
      <c r="N511" s="30" t="str">
        <f>VLOOKUP(Query1[[#This Row],[company_name]],'Org Mapping'!$B:$I,8,FALSE)</f>
        <v>UHG/Lenovo</v>
      </c>
      <c r="O511" s="30" t="str">
        <f>TEXT(Query1[[#This Row],[last_work_day]],"mmm'yy")</f>
        <v>Apr'26</v>
      </c>
    </row>
    <row r="512" spans="1:15" x14ac:dyDescent="0.35">
      <c r="A512" s="30" t="s">
        <v>98</v>
      </c>
      <c r="B512" s="30" t="s">
        <v>65</v>
      </c>
      <c r="C512" s="30" t="s">
        <v>2071</v>
      </c>
      <c r="D512">
        <v>2</v>
      </c>
      <c r="E512" s="30" t="s">
        <v>2072</v>
      </c>
      <c r="F512" s="29">
        <v>45825</v>
      </c>
      <c r="G512">
        <v>38964.5</v>
      </c>
      <c r="H512">
        <v>6650.5</v>
      </c>
      <c r="I512" s="30" t="s">
        <v>26</v>
      </c>
      <c r="J512" s="30" t="s">
        <v>566</v>
      </c>
      <c r="K512">
        <v>6</v>
      </c>
      <c r="L512" s="29">
        <v>46101</v>
      </c>
      <c r="M512" s="29">
        <v>46071</v>
      </c>
      <c r="N512" s="30" t="str">
        <f>VLOOKUP(Query1[[#This Row],[company_name]],'Org Mapping'!$B:$I,8,FALSE)</f>
        <v>UHG/Lenovo</v>
      </c>
      <c r="O512" s="30" t="str">
        <f>TEXT(Query1[[#This Row],[last_work_day]],"mmm'yy")</f>
        <v>Mar'26</v>
      </c>
    </row>
    <row r="513" spans="1:15" x14ac:dyDescent="0.35">
      <c r="A513" s="30" t="s">
        <v>360</v>
      </c>
      <c r="B513" s="30" t="s">
        <v>65</v>
      </c>
      <c r="C513" s="30" t="s">
        <v>2073</v>
      </c>
      <c r="D513">
        <v>2</v>
      </c>
      <c r="E513" s="30" t="s">
        <v>2074</v>
      </c>
      <c r="F513" s="29">
        <v>45806</v>
      </c>
      <c r="G513">
        <v>36817.5</v>
      </c>
      <c r="H513">
        <v>6649.5</v>
      </c>
      <c r="I513" s="30" t="s">
        <v>21</v>
      </c>
      <c r="J513" s="30" t="s">
        <v>566</v>
      </c>
      <c r="K513">
        <v>6</v>
      </c>
      <c r="L513" s="29">
        <v>46065</v>
      </c>
      <c r="M513" s="29">
        <v>46067</v>
      </c>
      <c r="N513" s="30" t="str">
        <f>VLOOKUP(Query1[[#This Row],[company_name]],'Org Mapping'!$B:$I,8,FALSE)</f>
        <v>UHG/Lenovo</v>
      </c>
      <c r="O513" s="30" t="str">
        <f>TEXT(Query1[[#This Row],[last_work_day]],"mmm'yy")</f>
        <v>Feb'26</v>
      </c>
    </row>
    <row r="514" spans="1:15" x14ac:dyDescent="0.35">
      <c r="A514" s="30" t="s">
        <v>360</v>
      </c>
      <c r="B514" s="30" t="s">
        <v>65</v>
      </c>
      <c r="C514" s="30" t="s">
        <v>2075</v>
      </c>
      <c r="D514">
        <v>2</v>
      </c>
      <c r="E514" s="30" t="s">
        <v>2076</v>
      </c>
      <c r="F514" s="29">
        <v>45827</v>
      </c>
      <c r="G514">
        <v>44394.15</v>
      </c>
      <c r="H514">
        <v>6650.15</v>
      </c>
      <c r="I514" s="30" t="s">
        <v>26</v>
      </c>
      <c r="J514" s="30" t="s">
        <v>566</v>
      </c>
      <c r="K514">
        <v>6</v>
      </c>
      <c r="L514" s="29">
        <v>46105</v>
      </c>
      <c r="M514" s="29">
        <v>46086</v>
      </c>
      <c r="N514" s="30" t="str">
        <f>VLOOKUP(Query1[[#This Row],[company_name]],'Org Mapping'!$B:$I,8,FALSE)</f>
        <v>UHG/Lenovo</v>
      </c>
      <c r="O514" s="30" t="str">
        <f>TEXT(Query1[[#This Row],[last_work_day]],"mmm'yy")</f>
        <v>Mar'26</v>
      </c>
    </row>
    <row r="515" spans="1:15" x14ac:dyDescent="0.35">
      <c r="A515" s="30" t="s">
        <v>360</v>
      </c>
      <c r="B515" s="30" t="s">
        <v>65</v>
      </c>
      <c r="C515" s="30" t="s">
        <v>2077</v>
      </c>
      <c r="D515">
        <v>2</v>
      </c>
      <c r="E515" s="30" t="s">
        <v>2078</v>
      </c>
      <c r="F515" s="29">
        <v>45825</v>
      </c>
      <c r="G515">
        <v>53315.83</v>
      </c>
      <c r="H515">
        <v>6650.83</v>
      </c>
      <c r="I515" s="30" t="s">
        <v>26</v>
      </c>
      <c r="J515" s="30" t="s">
        <v>566</v>
      </c>
      <c r="K515">
        <v>6</v>
      </c>
      <c r="L515" s="29">
        <v>46070</v>
      </c>
      <c r="M515" s="29">
        <v>46070</v>
      </c>
      <c r="N515" s="30" t="str">
        <f>VLOOKUP(Query1[[#This Row],[company_name]],'Org Mapping'!$B:$I,8,FALSE)</f>
        <v>UHG/Lenovo</v>
      </c>
      <c r="O515" s="30" t="str">
        <f>TEXT(Query1[[#This Row],[last_work_day]],"mmm'yy")</f>
        <v>Feb'26</v>
      </c>
    </row>
    <row r="516" spans="1:15" x14ac:dyDescent="0.35">
      <c r="A516" s="30" t="s">
        <v>546</v>
      </c>
      <c r="B516" s="30" t="s">
        <v>65</v>
      </c>
      <c r="C516" s="30" t="s">
        <v>2079</v>
      </c>
      <c r="D516">
        <v>2</v>
      </c>
      <c r="E516" s="30" t="s">
        <v>2080</v>
      </c>
      <c r="F516" s="29">
        <v>45825</v>
      </c>
      <c r="G516">
        <v>44322</v>
      </c>
      <c r="H516">
        <v>6650</v>
      </c>
      <c r="I516" s="30" t="s">
        <v>26</v>
      </c>
      <c r="J516" s="30" t="s">
        <v>566</v>
      </c>
      <c r="K516">
        <v>6</v>
      </c>
      <c r="L516" s="29">
        <v>46135</v>
      </c>
      <c r="M516" s="29">
        <v>46149</v>
      </c>
      <c r="N516" s="30" t="str">
        <f>VLOOKUP(Query1[[#This Row],[company_name]],'Org Mapping'!$B:$I,8,FALSE)</f>
        <v>UHG/Lenovo</v>
      </c>
      <c r="O516" s="30" t="str">
        <f>TEXT(Query1[[#This Row],[last_work_day]],"mmm'yy")</f>
        <v>Apr'26</v>
      </c>
    </row>
    <row r="517" spans="1:15" x14ac:dyDescent="0.35">
      <c r="A517" s="30" t="s">
        <v>360</v>
      </c>
      <c r="B517" s="30" t="s">
        <v>65</v>
      </c>
      <c r="C517" s="30" t="s">
        <v>2081</v>
      </c>
      <c r="D517">
        <v>2</v>
      </c>
      <c r="E517" s="30" t="s">
        <v>2082</v>
      </c>
      <c r="F517" s="29">
        <v>45827</v>
      </c>
      <c r="G517">
        <v>33150</v>
      </c>
      <c r="H517">
        <v>6650</v>
      </c>
      <c r="I517" s="30" t="s">
        <v>26</v>
      </c>
      <c r="J517" s="30" t="s">
        <v>566</v>
      </c>
      <c r="K517">
        <v>6</v>
      </c>
      <c r="L517" s="29">
        <v>46088</v>
      </c>
      <c r="M517" s="29">
        <v>46058</v>
      </c>
      <c r="N517" s="30" t="str">
        <f>VLOOKUP(Query1[[#This Row],[company_name]],'Org Mapping'!$B:$I,8,FALSE)</f>
        <v>UHG/Lenovo</v>
      </c>
      <c r="O517" s="30" t="str">
        <f>TEXT(Query1[[#This Row],[last_work_day]],"mmm'yy")</f>
        <v>Mar'26</v>
      </c>
    </row>
    <row r="518" spans="1:15" x14ac:dyDescent="0.35">
      <c r="A518" s="30" t="s">
        <v>2083</v>
      </c>
      <c r="B518" s="30" t="s">
        <v>65</v>
      </c>
      <c r="C518" s="30" t="s">
        <v>2084</v>
      </c>
      <c r="D518">
        <v>2</v>
      </c>
      <c r="E518" s="30" t="s">
        <v>2085</v>
      </c>
      <c r="F518" s="29">
        <v>45806</v>
      </c>
      <c r="G518">
        <v>37052.9</v>
      </c>
      <c r="H518">
        <v>6649.9</v>
      </c>
      <c r="I518" s="30" t="s">
        <v>26</v>
      </c>
      <c r="J518" s="30" t="s">
        <v>566</v>
      </c>
      <c r="K518">
        <v>6</v>
      </c>
      <c r="L518" s="29">
        <v>46076</v>
      </c>
      <c r="M518" s="29">
        <v>46076</v>
      </c>
      <c r="N518" s="30" t="str">
        <f>VLOOKUP(Query1[[#This Row],[company_name]],'Org Mapping'!$B:$I,8,FALSE)</f>
        <v>UHG/Lenovo</v>
      </c>
      <c r="O518" s="30" t="str">
        <f>TEXT(Query1[[#This Row],[last_work_day]],"mmm'yy")</f>
        <v>Feb'26</v>
      </c>
    </row>
    <row r="519" spans="1:15" x14ac:dyDescent="0.35">
      <c r="A519" s="30" t="s">
        <v>2083</v>
      </c>
      <c r="B519" s="30" t="s">
        <v>65</v>
      </c>
      <c r="C519" s="30" t="s">
        <v>2086</v>
      </c>
      <c r="D519">
        <v>2</v>
      </c>
      <c r="E519" s="30" t="s">
        <v>2087</v>
      </c>
      <c r="F519" s="29">
        <v>45806</v>
      </c>
      <c r="G519">
        <v>32900</v>
      </c>
      <c r="H519">
        <v>6650</v>
      </c>
      <c r="I519" s="30" t="s">
        <v>26</v>
      </c>
      <c r="J519" s="30" t="s">
        <v>566</v>
      </c>
      <c r="K519">
        <v>6</v>
      </c>
      <c r="L519" s="29">
        <v>46144</v>
      </c>
      <c r="M519" s="29">
        <v>46146</v>
      </c>
      <c r="N519" s="30" t="str">
        <f>VLOOKUP(Query1[[#This Row],[company_name]],'Org Mapping'!$B:$I,8,FALSE)</f>
        <v>UHG/Lenovo</v>
      </c>
      <c r="O519" s="30" t="str">
        <f>TEXT(Query1[[#This Row],[last_work_day]],"mmm'yy")</f>
        <v>May'26</v>
      </c>
    </row>
    <row r="520" spans="1:15" x14ac:dyDescent="0.35">
      <c r="A520" s="30" t="s">
        <v>557</v>
      </c>
      <c r="B520" s="30" t="s">
        <v>65</v>
      </c>
      <c r="C520" s="30" t="s">
        <v>2088</v>
      </c>
      <c r="D520">
        <v>2</v>
      </c>
      <c r="E520" s="30" t="s">
        <v>2089</v>
      </c>
      <c r="F520" s="29">
        <v>45825</v>
      </c>
      <c r="G520">
        <v>55576.58</v>
      </c>
      <c r="H520">
        <v>6650.58</v>
      </c>
      <c r="I520" s="30" t="s">
        <v>26</v>
      </c>
      <c r="J520" s="30" t="s">
        <v>566</v>
      </c>
      <c r="K520">
        <v>6</v>
      </c>
      <c r="L520" s="29">
        <v>46099</v>
      </c>
      <c r="M520" s="29">
        <v>46105</v>
      </c>
      <c r="N520" s="30" t="str">
        <f>VLOOKUP(Query1[[#This Row],[company_name]],'Org Mapping'!$B:$I,8,FALSE)</f>
        <v>UHG/Lenovo</v>
      </c>
      <c r="O520" s="30" t="str">
        <f>TEXT(Query1[[#This Row],[last_work_day]],"mmm'yy")</f>
        <v>Mar'26</v>
      </c>
    </row>
    <row r="521" spans="1:15" x14ac:dyDescent="0.35">
      <c r="A521" s="30" t="s">
        <v>151</v>
      </c>
      <c r="B521" s="30" t="s">
        <v>65</v>
      </c>
      <c r="C521" s="30" t="s">
        <v>2090</v>
      </c>
      <c r="D521">
        <v>2</v>
      </c>
      <c r="E521" s="30" t="s">
        <v>2091</v>
      </c>
      <c r="F521" s="29">
        <v>45825</v>
      </c>
      <c r="G521">
        <v>36413</v>
      </c>
      <c r="H521">
        <v>6650</v>
      </c>
      <c r="I521" s="30" t="s">
        <v>26</v>
      </c>
      <c r="J521" s="30" t="s">
        <v>566</v>
      </c>
      <c r="K521">
        <v>6</v>
      </c>
      <c r="L521" s="29">
        <v>46101</v>
      </c>
      <c r="M521" s="29">
        <v>46070</v>
      </c>
      <c r="N521" s="30" t="str">
        <f>VLOOKUP(Query1[[#This Row],[company_name]],'Org Mapping'!$B:$I,8,FALSE)</f>
        <v>UHG/Lenovo</v>
      </c>
      <c r="O521" s="30" t="str">
        <f>TEXT(Query1[[#This Row],[last_work_day]],"mmm'yy")</f>
        <v>Mar'26</v>
      </c>
    </row>
    <row r="522" spans="1:15" x14ac:dyDescent="0.35">
      <c r="A522" s="30" t="s">
        <v>546</v>
      </c>
      <c r="B522" s="30" t="s">
        <v>65</v>
      </c>
      <c r="C522" s="30" t="s">
        <v>2092</v>
      </c>
      <c r="D522">
        <v>2</v>
      </c>
      <c r="E522" s="30" t="s">
        <v>2093</v>
      </c>
      <c r="F522" s="29">
        <v>45808</v>
      </c>
      <c r="G522">
        <v>40405.120000000003</v>
      </c>
      <c r="H522">
        <v>6650.12</v>
      </c>
      <c r="I522" s="30" t="s">
        <v>26</v>
      </c>
      <c r="J522" s="30" t="s">
        <v>566</v>
      </c>
      <c r="K522">
        <v>6</v>
      </c>
      <c r="L522" s="29">
        <v>46167</v>
      </c>
      <c r="M522" s="29">
        <v>45831</v>
      </c>
      <c r="N522" s="30" t="str">
        <f>VLOOKUP(Query1[[#This Row],[company_name]],'Org Mapping'!$B:$I,8,FALSE)</f>
        <v>UHG/Lenovo</v>
      </c>
      <c r="O522" s="30" t="str">
        <f>TEXT(Query1[[#This Row],[last_work_day]],"mmm'yy")</f>
        <v>May'26</v>
      </c>
    </row>
    <row r="523" spans="1:15" x14ac:dyDescent="0.35">
      <c r="A523" s="30" t="s">
        <v>429</v>
      </c>
      <c r="B523" s="30" t="s">
        <v>65</v>
      </c>
      <c r="C523" s="30" t="s">
        <v>2094</v>
      </c>
      <c r="D523">
        <v>2</v>
      </c>
      <c r="E523" s="30" t="s">
        <v>2095</v>
      </c>
      <c r="F523" s="29">
        <v>45829</v>
      </c>
      <c r="G523">
        <v>31822</v>
      </c>
      <c r="H523">
        <v>6650</v>
      </c>
      <c r="I523" s="30" t="s">
        <v>26</v>
      </c>
      <c r="J523" s="30" t="s">
        <v>566</v>
      </c>
      <c r="K523">
        <v>6</v>
      </c>
      <c r="L523" s="29">
        <v>46085</v>
      </c>
      <c r="M523" s="29">
        <v>46056</v>
      </c>
      <c r="N523" s="30" t="str">
        <f>VLOOKUP(Query1[[#This Row],[company_name]],'Org Mapping'!$B:$I,8,FALSE)</f>
        <v>UHG/Lenovo</v>
      </c>
      <c r="O523" s="30" t="str">
        <f>TEXT(Query1[[#This Row],[last_work_day]],"mmm'yy")</f>
        <v>Mar'26</v>
      </c>
    </row>
    <row r="524" spans="1:15" x14ac:dyDescent="0.35">
      <c r="A524" s="30" t="s">
        <v>481</v>
      </c>
      <c r="B524" s="30" t="s">
        <v>65</v>
      </c>
      <c r="C524" s="30" t="s">
        <v>2096</v>
      </c>
      <c r="D524">
        <v>2</v>
      </c>
      <c r="E524" s="30" t="s">
        <v>2097</v>
      </c>
      <c r="F524" s="29">
        <v>45806</v>
      </c>
      <c r="G524">
        <v>42925.42</v>
      </c>
      <c r="H524">
        <v>6650.42</v>
      </c>
      <c r="I524" s="30" t="s">
        <v>26</v>
      </c>
      <c r="J524" s="30" t="s">
        <v>566</v>
      </c>
      <c r="K524">
        <v>6</v>
      </c>
      <c r="L524" s="29">
        <v>46024</v>
      </c>
      <c r="M524" s="29">
        <v>46024</v>
      </c>
      <c r="N524" s="30" t="str">
        <f>VLOOKUP(Query1[[#This Row],[company_name]],'Org Mapping'!$B:$I,8,FALSE)</f>
        <v>UHG/Lenovo</v>
      </c>
      <c r="O524" s="30" t="str">
        <f>TEXT(Query1[[#This Row],[last_work_day]],"mmm'yy")</f>
        <v>Jan'26</v>
      </c>
    </row>
    <row r="525" spans="1:15" x14ac:dyDescent="0.35">
      <c r="A525" s="30" t="s">
        <v>553</v>
      </c>
      <c r="B525" s="30" t="s">
        <v>65</v>
      </c>
      <c r="C525" s="30" t="s">
        <v>2098</v>
      </c>
      <c r="D525">
        <v>2</v>
      </c>
      <c r="E525" s="30" t="s">
        <v>2099</v>
      </c>
      <c r="F525" s="29">
        <v>45827</v>
      </c>
      <c r="G525">
        <v>41822</v>
      </c>
      <c r="H525">
        <v>6650</v>
      </c>
      <c r="I525" s="30" t="s">
        <v>26</v>
      </c>
      <c r="J525" s="30" t="s">
        <v>566</v>
      </c>
      <c r="K525">
        <v>6</v>
      </c>
      <c r="L525" s="29">
        <v>46132</v>
      </c>
      <c r="M525" s="29">
        <v>46104</v>
      </c>
      <c r="N525" s="30" t="str">
        <f>VLOOKUP(Query1[[#This Row],[company_name]],'Org Mapping'!$B:$I,8,FALSE)</f>
        <v>UHG/Lenovo</v>
      </c>
      <c r="O525" s="30" t="str">
        <f>TEXT(Query1[[#This Row],[last_work_day]],"mmm'yy")</f>
        <v>Apr'26</v>
      </c>
    </row>
    <row r="526" spans="1:15" x14ac:dyDescent="0.35">
      <c r="A526" s="30" t="s">
        <v>542</v>
      </c>
      <c r="B526" s="30" t="s">
        <v>65</v>
      </c>
      <c r="C526" s="30" t="s">
        <v>2100</v>
      </c>
      <c r="D526">
        <v>2</v>
      </c>
      <c r="E526" s="30" t="s">
        <v>2101</v>
      </c>
      <c r="F526" s="29">
        <v>45825</v>
      </c>
      <c r="G526">
        <v>39489</v>
      </c>
      <c r="H526">
        <v>6650</v>
      </c>
      <c r="I526" s="30" t="s">
        <v>26</v>
      </c>
      <c r="J526" s="30" t="s">
        <v>566</v>
      </c>
      <c r="K526">
        <v>6</v>
      </c>
      <c r="L526" s="29">
        <v>46101</v>
      </c>
      <c r="M526" s="29">
        <v>46105</v>
      </c>
      <c r="N526" s="30" t="str">
        <f>VLOOKUP(Query1[[#This Row],[company_name]],'Org Mapping'!$B:$I,8,FALSE)</f>
        <v>UHG/Lenovo</v>
      </c>
      <c r="O526" s="30" t="str">
        <f>TEXT(Query1[[#This Row],[last_work_day]],"mmm'yy")</f>
        <v>Mar'26</v>
      </c>
    </row>
    <row r="527" spans="1:15" x14ac:dyDescent="0.35">
      <c r="A527" s="30" t="s">
        <v>558</v>
      </c>
      <c r="B527" s="30" t="s">
        <v>43</v>
      </c>
      <c r="C527" s="30" t="s">
        <v>2102</v>
      </c>
      <c r="D527">
        <v>2</v>
      </c>
      <c r="E527" s="30" t="s">
        <v>2103</v>
      </c>
      <c r="F527" s="29">
        <v>45806</v>
      </c>
      <c r="G527">
        <v>37068</v>
      </c>
      <c r="H527">
        <v>6650</v>
      </c>
      <c r="I527" s="30" t="s">
        <v>26</v>
      </c>
      <c r="J527" s="30" t="s">
        <v>566</v>
      </c>
      <c r="K527">
        <v>6</v>
      </c>
      <c r="L527" s="29">
        <v>46027</v>
      </c>
      <c r="M527" s="29">
        <v>46027</v>
      </c>
      <c r="N527" s="30" t="str">
        <f>VLOOKUP(Query1[[#This Row],[company_name]],'Org Mapping'!$B:$I,8,FALSE)</f>
        <v>UHG/Lenovo</v>
      </c>
      <c r="O527" s="30" t="str">
        <f>TEXT(Query1[[#This Row],[last_work_day]],"mmm'yy")</f>
        <v>Jan'26</v>
      </c>
    </row>
    <row r="528" spans="1:15" x14ac:dyDescent="0.35">
      <c r="A528" s="30" t="s">
        <v>309</v>
      </c>
      <c r="B528" s="30" t="s">
        <v>43</v>
      </c>
      <c r="C528" s="30" t="s">
        <v>2104</v>
      </c>
      <c r="D528">
        <v>2</v>
      </c>
      <c r="E528" s="30" t="s">
        <v>2105</v>
      </c>
      <c r="F528" s="29">
        <v>45804</v>
      </c>
      <c r="G528">
        <v>37543</v>
      </c>
      <c r="H528">
        <v>6650</v>
      </c>
      <c r="I528" s="30" t="s">
        <v>26</v>
      </c>
      <c r="J528" s="30" t="s">
        <v>566</v>
      </c>
      <c r="K528">
        <v>6</v>
      </c>
      <c r="L528" s="29">
        <v>46163</v>
      </c>
      <c r="M528" s="29">
        <v>46163</v>
      </c>
      <c r="N528" s="30" t="str">
        <f>VLOOKUP(Query1[[#This Row],[company_name]],'Org Mapping'!$B:$I,8,FALSE)</f>
        <v>UHG/Lenovo</v>
      </c>
      <c r="O528" s="30" t="str">
        <f>TEXT(Query1[[#This Row],[last_work_day]],"mmm'yy")</f>
        <v>May'26</v>
      </c>
    </row>
    <row r="529" spans="1:15" x14ac:dyDescent="0.35">
      <c r="A529" s="30" t="s">
        <v>558</v>
      </c>
      <c r="B529" s="30" t="s">
        <v>43</v>
      </c>
      <c r="C529" s="30" t="s">
        <v>2106</v>
      </c>
      <c r="D529">
        <v>2</v>
      </c>
      <c r="E529" s="30" t="s">
        <v>2107</v>
      </c>
      <c r="F529" s="29">
        <v>45806</v>
      </c>
      <c r="G529">
        <v>42389</v>
      </c>
      <c r="H529">
        <v>6650</v>
      </c>
      <c r="I529" s="30" t="s">
        <v>26</v>
      </c>
      <c r="J529" s="30" t="s">
        <v>566</v>
      </c>
      <c r="K529">
        <v>6</v>
      </c>
      <c r="L529" s="29">
        <v>46032</v>
      </c>
      <c r="M529" s="29">
        <v>46035</v>
      </c>
      <c r="N529" s="30" t="str">
        <f>VLOOKUP(Query1[[#This Row],[company_name]],'Org Mapping'!$B:$I,8,FALSE)</f>
        <v>UHG/Lenovo</v>
      </c>
      <c r="O529" s="30" t="str">
        <f>TEXT(Query1[[#This Row],[last_work_day]],"mmm'yy")</f>
        <v>Jan'26</v>
      </c>
    </row>
    <row r="530" spans="1:15" x14ac:dyDescent="0.35">
      <c r="A530" s="30" t="s">
        <v>65</v>
      </c>
      <c r="B530" s="30" t="s">
        <v>65</v>
      </c>
      <c r="C530" s="30" t="s">
        <v>2108</v>
      </c>
      <c r="D530">
        <v>2</v>
      </c>
      <c r="E530" s="30" t="s">
        <v>2109</v>
      </c>
      <c r="F530" s="29">
        <v>45825</v>
      </c>
      <c r="G530">
        <v>38240.92</v>
      </c>
      <c r="H530">
        <v>6650.92</v>
      </c>
      <c r="I530" s="30" t="s">
        <v>26</v>
      </c>
      <c r="J530" s="30" t="s">
        <v>566</v>
      </c>
      <c r="K530">
        <v>6</v>
      </c>
      <c r="L530" s="29">
        <v>46024</v>
      </c>
      <c r="M530" s="29">
        <v>46006</v>
      </c>
      <c r="N530" s="30" t="str">
        <f>VLOOKUP(Query1[[#This Row],[company_name]],'Org Mapping'!$B:$I,8,FALSE)</f>
        <v>UHG/Lenovo</v>
      </c>
      <c r="O530" s="30" t="str">
        <f>TEXT(Query1[[#This Row],[last_work_day]],"mmm'yy")</f>
        <v>Jan'26</v>
      </c>
    </row>
    <row r="531" spans="1:15" x14ac:dyDescent="0.35">
      <c r="A531" s="30" t="s">
        <v>2110</v>
      </c>
      <c r="B531" s="30" t="s">
        <v>293</v>
      </c>
      <c r="C531" s="30" t="s">
        <v>2111</v>
      </c>
      <c r="D531">
        <v>1</v>
      </c>
      <c r="E531" s="30" t="s">
        <v>2112</v>
      </c>
      <c r="F531" s="29">
        <v>45806</v>
      </c>
      <c r="G531">
        <v>46683</v>
      </c>
      <c r="H531">
        <v>5850</v>
      </c>
      <c r="I531" s="30" t="s">
        <v>26</v>
      </c>
      <c r="J531" s="30" t="s">
        <v>119</v>
      </c>
      <c r="K531">
        <v>6</v>
      </c>
      <c r="L531" s="29">
        <v>46169</v>
      </c>
      <c r="M531" s="29">
        <v>46126</v>
      </c>
      <c r="N531" s="30" t="str">
        <f>VLOOKUP(Query1[[#This Row],[company_name]],'Org Mapping'!$B:$I,8,FALSE)</f>
        <v>Anuradha</v>
      </c>
      <c r="O531" s="30" t="str">
        <f>TEXT(Query1[[#This Row],[last_work_day]],"mmm'yy")</f>
        <v>May'26</v>
      </c>
    </row>
    <row r="532" spans="1:15" x14ac:dyDescent="0.35">
      <c r="A532" s="30" t="s">
        <v>65</v>
      </c>
      <c r="B532" s="30" t="s">
        <v>65</v>
      </c>
      <c r="C532" s="30" t="s">
        <v>2113</v>
      </c>
      <c r="D532">
        <v>2</v>
      </c>
      <c r="E532" s="30" t="s">
        <v>2114</v>
      </c>
      <c r="F532" s="29">
        <v>45825</v>
      </c>
      <c r="G532">
        <v>41263.5</v>
      </c>
      <c r="H532">
        <v>6650.5</v>
      </c>
      <c r="I532" s="30" t="s">
        <v>26</v>
      </c>
      <c r="J532" s="30" t="s">
        <v>566</v>
      </c>
      <c r="K532">
        <v>6</v>
      </c>
      <c r="L532" s="29">
        <v>46097</v>
      </c>
      <c r="M532" s="29">
        <v>46069</v>
      </c>
      <c r="N532" s="30" t="str">
        <f>VLOOKUP(Query1[[#This Row],[company_name]],'Org Mapping'!$B:$I,8,FALSE)</f>
        <v>UHG/Lenovo</v>
      </c>
      <c r="O532" s="30" t="str">
        <f>TEXT(Query1[[#This Row],[last_work_day]],"mmm'yy")</f>
        <v>Mar'26</v>
      </c>
    </row>
    <row r="533" spans="1:15" x14ac:dyDescent="0.35">
      <c r="A533" s="30" t="s">
        <v>2115</v>
      </c>
      <c r="B533" s="30" t="s">
        <v>446</v>
      </c>
      <c r="C533" s="30" t="s">
        <v>2116</v>
      </c>
      <c r="D533">
        <v>2</v>
      </c>
      <c r="E533" s="30" t="s">
        <v>2117</v>
      </c>
      <c r="F533" s="29">
        <v>45814</v>
      </c>
      <c r="G533">
        <v>325962</v>
      </c>
      <c r="H533">
        <v>25962</v>
      </c>
      <c r="I533" s="30" t="s">
        <v>26</v>
      </c>
      <c r="J533" s="30" t="s">
        <v>102</v>
      </c>
      <c r="K533">
        <v>6</v>
      </c>
      <c r="L533" s="29">
        <v>46029</v>
      </c>
      <c r="M533" s="29">
        <v>45999</v>
      </c>
      <c r="N533" s="30" t="str">
        <f>VLOOKUP(Query1[[#This Row],[company_name]],'Org Mapping'!$B:$I,8,FALSE)</f>
        <v>Mehr Hashim</v>
      </c>
      <c r="O533" s="30" t="str">
        <f>TEXT(Query1[[#This Row],[last_work_day]],"mmm'yy")</f>
        <v>Jan'26</v>
      </c>
    </row>
    <row r="534" spans="1:15" x14ac:dyDescent="0.35">
      <c r="A534" s="30" t="s">
        <v>1453</v>
      </c>
      <c r="B534" s="30" t="s">
        <v>39</v>
      </c>
      <c r="C534" s="30" t="s">
        <v>2118</v>
      </c>
      <c r="D534">
        <v>2</v>
      </c>
      <c r="E534" s="30" t="s">
        <v>2119</v>
      </c>
      <c r="F534" s="29">
        <v>45813</v>
      </c>
      <c r="G534">
        <v>57028</v>
      </c>
      <c r="H534">
        <v>3228</v>
      </c>
      <c r="I534" s="30" t="s">
        <v>91</v>
      </c>
      <c r="J534" s="30" t="s">
        <v>31</v>
      </c>
      <c r="K534">
        <v>6</v>
      </c>
      <c r="L534" s="29">
        <v>46119</v>
      </c>
      <c r="M534" s="29">
        <v>46119</v>
      </c>
      <c r="N534" s="30" t="str">
        <f>VLOOKUP(Query1[[#This Row],[company_name]],'Org Mapping'!$B:$I,8,FALSE)</f>
        <v>Mehr Hashim</v>
      </c>
      <c r="O534" s="30" t="str">
        <f>TEXT(Query1[[#This Row],[last_work_day]],"mmm'yy")</f>
        <v>Apr'26</v>
      </c>
    </row>
    <row r="535" spans="1:15" x14ac:dyDescent="0.35">
      <c r="A535" s="30" t="s">
        <v>360</v>
      </c>
      <c r="B535" s="30" t="s">
        <v>65</v>
      </c>
      <c r="C535" s="30" t="s">
        <v>2120</v>
      </c>
      <c r="D535">
        <v>2</v>
      </c>
      <c r="E535" s="30" t="s">
        <v>2121</v>
      </c>
      <c r="F535" s="29">
        <v>45808</v>
      </c>
      <c r="G535">
        <v>34087</v>
      </c>
      <c r="H535">
        <v>6650</v>
      </c>
      <c r="I535" s="30" t="s">
        <v>26</v>
      </c>
      <c r="J535" s="30" t="s">
        <v>566</v>
      </c>
      <c r="K535">
        <v>6</v>
      </c>
      <c r="L535" s="29">
        <v>46034</v>
      </c>
      <c r="M535" s="29">
        <v>46035</v>
      </c>
      <c r="N535" s="30" t="str">
        <f>VLOOKUP(Query1[[#This Row],[company_name]],'Org Mapping'!$B:$I,8,FALSE)</f>
        <v>UHG/Lenovo</v>
      </c>
      <c r="O535" s="30" t="str">
        <f>TEXT(Query1[[#This Row],[last_work_day]],"mmm'yy")</f>
        <v>Jan'26</v>
      </c>
    </row>
    <row r="536" spans="1:15" x14ac:dyDescent="0.35">
      <c r="A536" s="30" t="s">
        <v>558</v>
      </c>
      <c r="B536" s="30" t="s">
        <v>43</v>
      </c>
      <c r="C536" s="30" t="s">
        <v>570</v>
      </c>
      <c r="D536">
        <v>6</v>
      </c>
      <c r="E536" s="30" t="s">
        <v>571</v>
      </c>
      <c r="F536" s="29">
        <v>45810</v>
      </c>
      <c r="G536">
        <v>40950</v>
      </c>
      <c r="H536">
        <v>5950</v>
      </c>
      <c r="I536" s="30" t="s">
        <v>91</v>
      </c>
      <c r="J536" s="30" t="s">
        <v>17</v>
      </c>
      <c r="K536">
        <v>6</v>
      </c>
      <c r="L536" s="29">
        <v>46065</v>
      </c>
      <c r="M536" s="29">
        <v>46065</v>
      </c>
      <c r="N536" s="30" t="str">
        <f>VLOOKUP(Query1[[#This Row],[company_name]],'Org Mapping'!$B:$I,8,FALSE)</f>
        <v>Jawad Ulla Khan</v>
      </c>
      <c r="O536" s="30" t="str">
        <f>TEXT(Query1[[#This Row],[last_work_day]],"mmm'yy")</f>
        <v>Feb'26</v>
      </c>
    </row>
    <row r="537" spans="1:15" x14ac:dyDescent="0.35">
      <c r="A537" s="30" t="s">
        <v>1911</v>
      </c>
      <c r="B537" s="30" t="s">
        <v>39</v>
      </c>
      <c r="C537" s="30" t="s">
        <v>2122</v>
      </c>
      <c r="D537">
        <v>2</v>
      </c>
      <c r="E537" s="30" t="s">
        <v>2123</v>
      </c>
      <c r="F537" s="29">
        <v>45813</v>
      </c>
      <c r="G537">
        <v>40280</v>
      </c>
      <c r="H537">
        <v>2280</v>
      </c>
      <c r="I537" s="30" t="s">
        <v>26</v>
      </c>
      <c r="J537" s="30" t="s">
        <v>31</v>
      </c>
      <c r="K537">
        <v>6</v>
      </c>
      <c r="L537" s="29">
        <v>46126</v>
      </c>
      <c r="M537" s="29">
        <v>45940</v>
      </c>
      <c r="N537" s="30" t="str">
        <f>VLOOKUP(Query1[[#This Row],[company_name]],'Org Mapping'!$B:$I,8,FALSE)</f>
        <v>Mehr Hashim</v>
      </c>
      <c r="O537" s="30" t="str">
        <f>TEXT(Query1[[#This Row],[last_work_day]],"mmm'yy")</f>
        <v>Apr'26</v>
      </c>
    </row>
    <row r="538" spans="1:15" x14ac:dyDescent="0.35">
      <c r="A538" s="30" t="s">
        <v>1572</v>
      </c>
      <c r="B538" s="30" t="s">
        <v>1628</v>
      </c>
      <c r="C538" s="30" t="s">
        <v>2124</v>
      </c>
      <c r="D538">
        <v>2</v>
      </c>
      <c r="E538" s="30" t="s">
        <v>2125</v>
      </c>
      <c r="F538" s="29">
        <v>45813</v>
      </c>
      <c r="G538">
        <v>40280</v>
      </c>
      <c r="H538">
        <v>2280</v>
      </c>
      <c r="I538" s="30" t="s">
        <v>91</v>
      </c>
      <c r="J538" s="30" t="s">
        <v>31</v>
      </c>
      <c r="K538">
        <v>6</v>
      </c>
      <c r="L538" s="29">
        <v>46083</v>
      </c>
      <c r="M538" s="29">
        <v>46069</v>
      </c>
      <c r="N538" s="30" t="str">
        <f>VLOOKUP(Query1[[#This Row],[company_name]],'Org Mapping'!$B:$I,8,FALSE)</f>
        <v>Mehr Hashim</v>
      </c>
      <c r="O538" s="30" t="str">
        <f>TEXT(Query1[[#This Row],[last_work_day]],"mmm'yy")</f>
        <v>Mar'26</v>
      </c>
    </row>
    <row r="539" spans="1:15" x14ac:dyDescent="0.35">
      <c r="A539" s="30" t="s">
        <v>1453</v>
      </c>
      <c r="B539" s="30" t="s">
        <v>39</v>
      </c>
      <c r="C539" s="30" t="s">
        <v>2126</v>
      </c>
      <c r="D539">
        <v>2</v>
      </c>
      <c r="E539" s="30" t="s">
        <v>2127</v>
      </c>
      <c r="F539" s="29">
        <v>45811</v>
      </c>
      <c r="G539">
        <v>49820</v>
      </c>
      <c r="H539">
        <v>2820</v>
      </c>
      <c r="I539" s="30" t="s">
        <v>26</v>
      </c>
      <c r="J539" s="30" t="s">
        <v>31</v>
      </c>
      <c r="K539">
        <v>6</v>
      </c>
      <c r="L539" s="29">
        <v>46136</v>
      </c>
      <c r="M539" s="29">
        <v>46105</v>
      </c>
      <c r="N539" s="30" t="str">
        <f>VLOOKUP(Query1[[#This Row],[company_name]],'Org Mapping'!$B:$I,8,FALSE)</f>
        <v>Mehr Hashim</v>
      </c>
      <c r="O539" s="30" t="str">
        <f>TEXT(Query1[[#This Row],[last_work_day]],"mmm'yy")</f>
        <v>Apr'26</v>
      </c>
    </row>
    <row r="540" spans="1:15" x14ac:dyDescent="0.35">
      <c r="A540" s="30" t="s">
        <v>1726</v>
      </c>
      <c r="B540" s="30" t="s">
        <v>1494</v>
      </c>
      <c r="C540" s="30" t="s">
        <v>2128</v>
      </c>
      <c r="D540">
        <v>2</v>
      </c>
      <c r="E540" s="30" t="s">
        <v>2129</v>
      </c>
      <c r="F540" s="29">
        <v>45824</v>
      </c>
      <c r="G540">
        <v>47758</v>
      </c>
      <c r="H540">
        <v>1925</v>
      </c>
      <c r="I540" s="30" t="s">
        <v>16</v>
      </c>
      <c r="J540" s="30" t="s">
        <v>340</v>
      </c>
      <c r="K540">
        <v>6</v>
      </c>
      <c r="L540" s="29">
        <v>46142</v>
      </c>
      <c r="M540" s="29">
        <v>46076</v>
      </c>
      <c r="N540" s="30" t="str">
        <f>VLOOKUP(Query1[[#This Row],[company_name]],'Org Mapping'!$B:$I,8,FALSE)</f>
        <v>Anuradha</v>
      </c>
      <c r="O540" s="30" t="str">
        <f>TEXT(Query1[[#This Row],[last_work_day]],"mmm'yy")</f>
        <v>Apr'26</v>
      </c>
    </row>
    <row r="541" spans="1:15" x14ac:dyDescent="0.35">
      <c r="A541" s="30" t="s">
        <v>98</v>
      </c>
      <c r="B541" s="30" t="s">
        <v>65</v>
      </c>
      <c r="C541" s="30" t="s">
        <v>572</v>
      </c>
      <c r="D541">
        <v>2</v>
      </c>
      <c r="E541" s="30" t="s">
        <v>573</v>
      </c>
      <c r="F541" s="29">
        <v>45834</v>
      </c>
      <c r="G541">
        <v>23718</v>
      </c>
      <c r="H541">
        <v>3618</v>
      </c>
      <c r="I541" s="30" t="s">
        <v>26</v>
      </c>
      <c r="J541" s="30" t="s">
        <v>76</v>
      </c>
      <c r="K541">
        <v>6</v>
      </c>
      <c r="L541" s="29">
        <v>46059</v>
      </c>
      <c r="M541" s="29">
        <v>46030</v>
      </c>
      <c r="N541" s="30" t="str">
        <f>VLOOKUP(Query1[[#This Row],[company_name]],'Org Mapping'!$B:$I,8,FALSE)</f>
        <v>Jawad Ulla Khan</v>
      </c>
      <c r="O541" s="30" t="str">
        <f>TEXT(Query1[[#This Row],[last_work_day]],"mmm'yy")</f>
        <v>Feb'26</v>
      </c>
    </row>
    <row r="542" spans="1:15" x14ac:dyDescent="0.35">
      <c r="A542" s="30" t="s">
        <v>390</v>
      </c>
      <c r="B542" s="30" t="s">
        <v>65</v>
      </c>
      <c r="C542" s="30" t="s">
        <v>574</v>
      </c>
      <c r="D542">
        <v>2</v>
      </c>
      <c r="E542" s="30" t="s">
        <v>575</v>
      </c>
      <c r="F542" s="29">
        <v>45817</v>
      </c>
      <c r="G542">
        <v>23718</v>
      </c>
      <c r="H542">
        <v>3618</v>
      </c>
      <c r="I542" s="30" t="s">
        <v>26</v>
      </c>
      <c r="J542" s="30" t="s">
        <v>76</v>
      </c>
      <c r="K542">
        <v>6</v>
      </c>
      <c r="L542" s="29">
        <v>46140</v>
      </c>
      <c r="M542" s="29">
        <v>46112</v>
      </c>
      <c r="N542" s="30" t="str">
        <f>VLOOKUP(Query1[[#This Row],[company_name]],'Org Mapping'!$B:$I,8,FALSE)</f>
        <v>Jawad Ulla Khan</v>
      </c>
      <c r="O542" s="30" t="str">
        <f>TEXT(Query1[[#This Row],[last_work_day]],"mmm'yy")</f>
        <v>Apr'26</v>
      </c>
    </row>
    <row r="543" spans="1:15" x14ac:dyDescent="0.35">
      <c r="A543" s="30" t="s">
        <v>2130</v>
      </c>
      <c r="B543" s="30" t="s">
        <v>503</v>
      </c>
      <c r="C543" s="30" t="s">
        <v>2131</v>
      </c>
      <c r="D543">
        <v>2</v>
      </c>
      <c r="E543" s="30" t="s">
        <v>2132</v>
      </c>
      <c r="F543" s="29">
        <v>45817</v>
      </c>
      <c r="G543">
        <v>188000</v>
      </c>
      <c r="H543">
        <v>104666.67</v>
      </c>
      <c r="I543" s="30" t="s">
        <v>26</v>
      </c>
      <c r="J543" s="30" t="s">
        <v>524</v>
      </c>
      <c r="K543">
        <v>6</v>
      </c>
      <c r="L543" s="29">
        <v>46081</v>
      </c>
      <c r="M543" s="29">
        <v>46121</v>
      </c>
      <c r="N543" s="30" t="str">
        <f>VLOOKUP(Query1[[#This Row],[company_name]],'Org Mapping'!$B:$I,8,FALSE)</f>
        <v>Sadhna Shukla</v>
      </c>
      <c r="O543" s="30" t="str">
        <f>TEXT(Query1[[#This Row],[last_work_day]],"mmm'yy")</f>
        <v>Feb'26</v>
      </c>
    </row>
    <row r="544" spans="1:15" x14ac:dyDescent="0.35">
      <c r="A544" s="30" t="s">
        <v>1450</v>
      </c>
      <c r="B544" s="30" t="s">
        <v>1544</v>
      </c>
      <c r="C544" s="30" t="s">
        <v>2133</v>
      </c>
      <c r="D544">
        <v>2</v>
      </c>
      <c r="E544" s="30" t="s">
        <v>2134</v>
      </c>
      <c r="F544" s="29">
        <v>45826</v>
      </c>
      <c r="G544">
        <v>289800</v>
      </c>
      <c r="H544">
        <v>48134</v>
      </c>
      <c r="I544" s="30" t="s">
        <v>26</v>
      </c>
      <c r="J544" s="30" t="s">
        <v>48</v>
      </c>
      <c r="K544">
        <v>6</v>
      </c>
      <c r="L544" s="29">
        <v>46176</v>
      </c>
      <c r="M544" s="29">
        <v>46146</v>
      </c>
      <c r="N544" s="30" t="str">
        <f>VLOOKUP(Query1[[#This Row],[company_name]],'Org Mapping'!$B:$I,8,FALSE)</f>
        <v>Prathap Sagar</v>
      </c>
      <c r="O544" s="30" t="str">
        <f>TEXT(Query1[[#This Row],[last_work_day]],"mmm'yy")</f>
        <v>Jun'26</v>
      </c>
    </row>
    <row r="545" spans="1:15" x14ac:dyDescent="0.35">
      <c r="A545" s="30" t="s">
        <v>2135</v>
      </c>
      <c r="B545" s="30" t="s">
        <v>1544</v>
      </c>
      <c r="C545" s="30" t="s">
        <v>2136</v>
      </c>
      <c r="D545">
        <v>1</v>
      </c>
      <c r="E545" s="30" t="s">
        <v>2137</v>
      </c>
      <c r="F545" s="29">
        <v>45869</v>
      </c>
      <c r="G545">
        <v>157500</v>
      </c>
      <c r="H545">
        <v>36667</v>
      </c>
      <c r="I545" s="30" t="s">
        <v>21</v>
      </c>
      <c r="J545" s="30" t="s">
        <v>520</v>
      </c>
      <c r="K545">
        <v>6</v>
      </c>
      <c r="L545" s="29">
        <v>46031</v>
      </c>
      <c r="M545" s="29">
        <v>46000</v>
      </c>
      <c r="N545" s="30" t="str">
        <f>VLOOKUP(Query1[[#This Row],[company_name]],'Org Mapping'!$B:$I,8,FALSE)</f>
        <v>Prathap Sagar</v>
      </c>
      <c r="O545" s="30" t="str">
        <f>TEXT(Query1[[#This Row],[last_work_day]],"mmm'yy")</f>
        <v>Jan'26</v>
      </c>
    </row>
    <row r="546" spans="1:15" x14ac:dyDescent="0.35">
      <c r="A546" s="30" t="s">
        <v>2138</v>
      </c>
      <c r="B546" s="30" t="s">
        <v>1657</v>
      </c>
      <c r="C546" s="30" t="s">
        <v>2139</v>
      </c>
      <c r="D546">
        <v>2</v>
      </c>
      <c r="E546" s="30" t="s">
        <v>2140</v>
      </c>
      <c r="F546" s="29">
        <v>45824</v>
      </c>
      <c r="G546">
        <v>188500</v>
      </c>
      <c r="H546">
        <v>21834</v>
      </c>
      <c r="I546" s="30" t="s">
        <v>91</v>
      </c>
      <c r="J546" s="30" t="s">
        <v>524</v>
      </c>
      <c r="K546">
        <v>6</v>
      </c>
      <c r="L546" s="29">
        <v>46038</v>
      </c>
      <c r="M546" s="29">
        <v>46009</v>
      </c>
      <c r="N546" s="30" t="str">
        <f>VLOOKUP(Query1[[#This Row],[company_name]],'Org Mapping'!$B:$I,8,FALSE)</f>
        <v>Sadhna Shukla</v>
      </c>
      <c r="O546" s="30" t="str">
        <f>TEXT(Query1[[#This Row],[last_work_day]],"mmm'yy")</f>
        <v>Jan'26</v>
      </c>
    </row>
    <row r="547" spans="1:15" x14ac:dyDescent="0.35">
      <c r="A547" s="30" t="s">
        <v>1610</v>
      </c>
      <c r="B547" s="30" t="s">
        <v>502</v>
      </c>
      <c r="C547" s="30" t="s">
        <v>2141</v>
      </c>
      <c r="D547">
        <v>1</v>
      </c>
      <c r="E547" s="30" t="s">
        <v>2142</v>
      </c>
      <c r="F547" s="29">
        <v>45838</v>
      </c>
      <c r="G547">
        <v>397172.16</v>
      </c>
      <c r="H547">
        <v>47172.160000000003</v>
      </c>
      <c r="I547" s="30" t="s">
        <v>37</v>
      </c>
      <c r="J547" s="30" t="s">
        <v>102</v>
      </c>
      <c r="K547">
        <v>6</v>
      </c>
      <c r="L547" s="29">
        <v>46045</v>
      </c>
      <c r="M547" s="29">
        <v>46032</v>
      </c>
      <c r="N547" s="30" t="str">
        <f>VLOOKUP(Query1[[#This Row],[company_name]],'Org Mapping'!$B:$I,8,FALSE)</f>
        <v>Mehr Hashim</v>
      </c>
      <c r="O547" s="30" t="str">
        <f>TEXT(Query1[[#This Row],[last_work_day]],"mmm'yy")</f>
        <v>Jan'26</v>
      </c>
    </row>
    <row r="548" spans="1:15" x14ac:dyDescent="0.35">
      <c r="A548" s="30" t="s">
        <v>2143</v>
      </c>
      <c r="B548" s="30" t="s">
        <v>1544</v>
      </c>
      <c r="C548" s="30" t="s">
        <v>2144</v>
      </c>
      <c r="D548">
        <v>2</v>
      </c>
      <c r="E548" s="30" t="s">
        <v>2145</v>
      </c>
      <c r="F548" s="29">
        <v>45826</v>
      </c>
      <c r="G548">
        <v>197400</v>
      </c>
      <c r="H548">
        <v>97400</v>
      </c>
      <c r="I548" s="30" t="s">
        <v>21</v>
      </c>
      <c r="J548" s="30" t="s">
        <v>520</v>
      </c>
      <c r="K548">
        <v>6</v>
      </c>
      <c r="L548" s="29">
        <v>46084</v>
      </c>
      <c r="M548" s="29">
        <v>46069</v>
      </c>
      <c r="N548" s="30" t="str">
        <f>VLOOKUP(Query1[[#This Row],[company_name]],'Org Mapping'!$B:$I,8,FALSE)</f>
        <v>Prathap Sagar</v>
      </c>
      <c r="O548" s="30" t="str">
        <f>TEXT(Query1[[#This Row],[last_work_day]],"mmm'yy")</f>
        <v>Mar'26</v>
      </c>
    </row>
    <row r="549" spans="1:15" x14ac:dyDescent="0.35">
      <c r="A549" s="30" t="s">
        <v>1572</v>
      </c>
      <c r="B549" s="30" t="s">
        <v>39</v>
      </c>
      <c r="C549" s="30" t="s">
        <v>2146</v>
      </c>
      <c r="D549">
        <v>2</v>
      </c>
      <c r="E549" s="30" t="s">
        <v>2147</v>
      </c>
      <c r="F549" s="29">
        <v>45862</v>
      </c>
      <c r="G549">
        <v>44308</v>
      </c>
      <c r="H549">
        <v>2508</v>
      </c>
      <c r="I549" s="30" t="s">
        <v>91</v>
      </c>
      <c r="J549" s="30" t="s">
        <v>31</v>
      </c>
      <c r="K549">
        <v>6</v>
      </c>
      <c r="L549" s="29">
        <v>46141</v>
      </c>
      <c r="M549" s="29">
        <v>46141</v>
      </c>
      <c r="N549" s="30" t="str">
        <f>VLOOKUP(Query1[[#This Row],[company_name]],'Org Mapping'!$B:$I,8,FALSE)</f>
        <v>Mehr Hashim</v>
      </c>
      <c r="O549" s="30" t="str">
        <f>TEXT(Query1[[#This Row],[last_work_day]],"mmm'yy")</f>
        <v>Apr'26</v>
      </c>
    </row>
    <row r="550" spans="1:15" x14ac:dyDescent="0.35">
      <c r="A550" s="30" t="s">
        <v>1453</v>
      </c>
      <c r="B550" s="30" t="s">
        <v>39</v>
      </c>
      <c r="C550" s="30" t="s">
        <v>2148</v>
      </c>
      <c r="D550">
        <v>2</v>
      </c>
      <c r="E550" s="30" t="s">
        <v>2149</v>
      </c>
      <c r="F550" s="29">
        <v>45862</v>
      </c>
      <c r="G550">
        <v>61833.33</v>
      </c>
      <c r="H550">
        <v>3500.33</v>
      </c>
      <c r="I550" s="30" t="s">
        <v>26</v>
      </c>
      <c r="J550" s="30" t="s">
        <v>31</v>
      </c>
      <c r="K550">
        <v>6</v>
      </c>
      <c r="L550" s="29">
        <v>46118</v>
      </c>
      <c r="M550" s="29">
        <v>46090</v>
      </c>
      <c r="N550" s="30" t="str">
        <f>VLOOKUP(Query1[[#This Row],[company_name]],'Org Mapping'!$B:$I,8,FALSE)</f>
        <v>Mehr Hashim</v>
      </c>
      <c r="O550" s="30" t="str">
        <f>TEXT(Query1[[#This Row],[last_work_day]],"mmm'yy")</f>
        <v>Apr'26</v>
      </c>
    </row>
    <row r="551" spans="1:15" x14ac:dyDescent="0.35">
      <c r="A551" s="30" t="s">
        <v>1634</v>
      </c>
      <c r="B551" s="30" t="s">
        <v>117</v>
      </c>
      <c r="C551" s="30" t="s">
        <v>2150</v>
      </c>
      <c r="D551">
        <v>1</v>
      </c>
      <c r="E551" s="30" t="s">
        <v>2151</v>
      </c>
      <c r="F551" s="29">
        <v>45809</v>
      </c>
      <c r="G551">
        <v>156157.64000000001</v>
      </c>
      <c r="H551">
        <v>31157.64</v>
      </c>
      <c r="I551" s="30" t="s">
        <v>21</v>
      </c>
      <c r="J551" s="30" t="s">
        <v>118</v>
      </c>
      <c r="K551">
        <v>6</v>
      </c>
      <c r="L551" s="29">
        <v>46073</v>
      </c>
      <c r="M551" s="29">
        <v>45979</v>
      </c>
      <c r="N551" s="30" t="str">
        <f>VLOOKUP(Query1[[#This Row],[company_name]],'Org Mapping'!$B:$I,8,FALSE)</f>
        <v>DXC</v>
      </c>
      <c r="O551" s="30" t="str">
        <f>TEXT(Query1[[#This Row],[last_work_day]],"mmm'yy")</f>
        <v>Feb'26</v>
      </c>
    </row>
    <row r="552" spans="1:15" x14ac:dyDescent="0.35">
      <c r="A552" s="30" t="s">
        <v>1647</v>
      </c>
      <c r="B552" s="30" t="s">
        <v>39</v>
      </c>
      <c r="C552" s="30" t="s">
        <v>2152</v>
      </c>
      <c r="D552">
        <v>2</v>
      </c>
      <c r="E552" s="30" t="s">
        <v>2153</v>
      </c>
      <c r="F552" s="29">
        <v>45827</v>
      </c>
      <c r="G552">
        <v>39750</v>
      </c>
      <c r="H552">
        <v>2250</v>
      </c>
      <c r="I552" s="30" t="s">
        <v>26</v>
      </c>
      <c r="J552" s="30" t="s">
        <v>31</v>
      </c>
      <c r="K552">
        <v>6</v>
      </c>
      <c r="L552" s="29">
        <v>46094</v>
      </c>
      <c r="M552" s="29">
        <v>46094</v>
      </c>
      <c r="N552" s="30" t="str">
        <f>VLOOKUP(Query1[[#This Row],[company_name]],'Org Mapping'!$B:$I,8,FALSE)</f>
        <v>Mehr Hashim</v>
      </c>
      <c r="O552" s="30" t="str">
        <f>TEXT(Query1[[#This Row],[last_work_day]],"mmm'yy")</f>
        <v>Mar'26</v>
      </c>
    </row>
    <row r="553" spans="1:15" x14ac:dyDescent="0.35">
      <c r="A553" s="30" t="s">
        <v>401</v>
      </c>
      <c r="B553" s="30" t="s">
        <v>65</v>
      </c>
      <c r="C553" s="30" t="s">
        <v>975</v>
      </c>
      <c r="D553">
        <v>2</v>
      </c>
      <c r="E553" s="30" t="s">
        <v>976</v>
      </c>
      <c r="F553" s="29">
        <v>45827</v>
      </c>
      <c r="G553">
        <v>24123.919999999998</v>
      </c>
      <c r="H553">
        <v>4023.92</v>
      </c>
      <c r="I553" s="30" t="s">
        <v>26</v>
      </c>
      <c r="J553" s="30" t="s">
        <v>76</v>
      </c>
      <c r="K553">
        <v>6</v>
      </c>
      <c r="L553" s="29">
        <v>46175</v>
      </c>
      <c r="M553" s="29">
        <v>46133</v>
      </c>
      <c r="N553" s="30" t="str">
        <f>VLOOKUP(Query1[[#This Row],[company_name]],'Org Mapping'!$B:$I,8,FALSE)</f>
        <v>Jawad Ulla Khan</v>
      </c>
      <c r="O553" s="30" t="str">
        <f>TEXT(Query1[[#This Row],[last_work_day]],"mmm'yy")</f>
        <v>Jun'26</v>
      </c>
    </row>
    <row r="554" spans="1:15" x14ac:dyDescent="0.35">
      <c r="A554" s="30" t="s">
        <v>1565</v>
      </c>
      <c r="B554" s="30" t="s">
        <v>117</v>
      </c>
      <c r="C554" s="30" t="s">
        <v>2154</v>
      </c>
      <c r="D554">
        <v>4</v>
      </c>
      <c r="E554" s="30" t="s">
        <v>2155</v>
      </c>
      <c r="F554" s="29">
        <v>45828</v>
      </c>
      <c r="G554">
        <v>278817.73</v>
      </c>
      <c r="H554">
        <v>78817.73</v>
      </c>
      <c r="I554" s="30" t="s">
        <v>37</v>
      </c>
      <c r="J554" s="30" t="s">
        <v>118</v>
      </c>
      <c r="K554">
        <v>6</v>
      </c>
      <c r="L554" s="29">
        <v>46081</v>
      </c>
      <c r="M554" s="29">
        <v>46056</v>
      </c>
      <c r="N554" s="30" t="str">
        <f>VLOOKUP(Query1[[#This Row],[company_name]],'Org Mapping'!$B:$I,8,FALSE)</f>
        <v>DXC</v>
      </c>
      <c r="O554" s="30" t="str">
        <f>TEXT(Query1[[#This Row],[last_work_day]],"mmm'yy")</f>
        <v>Feb'26</v>
      </c>
    </row>
    <row r="555" spans="1:15" x14ac:dyDescent="0.35">
      <c r="A555" s="30" t="s">
        <v>2156</v>
      </c>
      <c r="B555" s="30" t="s">
        <v>1628</v>
      </c>
      <c r="C555" s="30" t="s">
        <v>2157</v>
      </c>
      <c r="D555">
        <v>2</v>
      </c>
      <c r="E555" s="30" t="s">
        <v>2158</v>
      </c>
      <c r="F555" s="29">
        <v>45831</v>
      </c>
      <c r="G555">
        <v>162500</v>
      </c>
      <c r="H555">
        <v>62500</v>
      </c>
      <c r="I555" s="30" t="s">
        <v>21</v>
      </c>
      <c r="J555" s="30" t="s">
        <v>524</v>
      </c>
      <c r="K555">
        <v>6</v>
      </c>
      <c r="L555" s="29">
        <v>46080</v>
      </c>
      <c r="M555" s="29">
        <v>46052</v>
      </c>
      <c r="N555" s="30" t="str">
        <f>VLOOKUP(Query1[[#This Row],[company_name]],'Org Mapping'!$B:$I,8,FALSE)</f>
        <v>Sadhna Shukla</v>
      </c>
      <c r="O555" s="30" t="str">
        <f>TEXT(Query1[[#This Row],[last_work_day]],"mmm'yy")</f>
        <v>Feb'26</v>
      </c>
    </row>
    <row r="556" spans="1:15" x14ac:dyDescent="0.35">
      <c r="A556" s="30" t="s">
        <v>1453</v>
      </c>
      <c r="B556" s="30" t="s">
        <v>39</v>
      </c>
      <c r="C556" s="30" t="s">
        <v>2159</v>
      </c>
      <c r="D556">
        <v>2</v>
      </c>
      <c r="E556" s="30" t="s">
        <v>2160</v>
      </c>
      <c r="F556" s="29">
        <v>45859</v>
      </c>
      <c r="G556">
        <v>61833.33</v>
      </c>
      <c r="H556">
        <v>3500.33</v>
      </c>
      <c r="I556" s="30" t="s">
        <v>26</v>
      </c>
      <c r="J556" s="30" t="s">
        <v>31</v>
      </c>
      <c r="K556">
        <v>6</v>
      </c>
      <c r="L556" s="29">
        <v>46141</v>
      </c>
      <c r="M556" s="29">
        <v>46112</v>
      </c>
      <c r="N556" s="30" t="str">
        <f>VLOOKUP(Query1[[#This Row],[company_name]],'Org Mapping'!$B:$I,8,FALSE)</f>
        <v>Mehr Hashim</v>
      </c>
      <c r="O556" s="30" t="str">
        <f>TEXT(Query1[[#This Row],[last_work_day]],"mmm'yy")</f>
        <v>Apr'26</v>
      </c>
    </row>
    <row r="557" spans="1:15" x14ac:dyDescent="0.35">
      <c r="A557" s="30" t="s">
        <v>557</v>
      </c>
      <c r="B557" s="30" t="s">
        <v>65</v>
      </c>
      <c r="C557" s="30" t="s">
        <v>578</v>
      </c>
      <c r="D557">
        <v>2</v>
      </c>
      <c r="E557" s="30" t="s">
        <v>579</v>
      </c>
      <c r="F557" s="29">
        <v>45835</v>
      </c>
      <c r="G557">
        <v>23718</v>
      </c>
      <c r="H557">
        <v>3618</v>
      </c>
      <c r="I557" s="30" t="s">
        <v>92</v>
      </c>
      <c r="J557" s="30" t="s">
        <v>76</v>
      </c>
      <c r="K557">
        <v>6</v>
      </c>
      <c r="L557" s="29">
        <v>46034</v>
      </c>
      <c r="M557" s="29">
        <v>45867</v>
      </c>
      <c r="N557" s="30" t="str">
        <f>VLOOKUP(Query1[[#This Row],[company_name]],'Org Mapping'!$B:$I,8,FALSE)</f>
        <v>Jawad Ulla Khan</v>
      </c>
      <c r="O557" s="30" t="str">
        <f>TEXT(Query1[[#This Row],[last_work_day]],"mmm'yy")</f>
        <v>Jan'26</v>
      </c>
    </row>
    <row r="558" spans="1:15" x14ac:dyDescent="0.35">
      <c r="A558" s="30" t="s">
        <v>557</v>
      </c>
      <c r="B558" s="30" t="s">
        <v>65</v>
      </c>
      <c r="C558" s="30" t="s">
        <v>580</v>
      </c>
      <c r="D558">
        <v>2</v>
      </c>
      <c r="E558" s="30" t="s">
        <v>581</v>
      </c>
      <c r="F558" s="29">
        <v>45834</v>
      </c>
      <c r="G558">
        <v>23718</v>
      </c>
      <c r="H558">
        <v>3618</v>
      </c>
      <c r="I558" s="30" t="s">
        <v>91</v>
      </c>
      <c r="J558" s="30" t="s">
        <v>76</v>
      </c>
      <c r="K558">
        <v>6</v>
      </c>
      <c r="L558" s="29">
        <v>46133</v>
      </c>
      <c r="M558" s="29">
        <v>46104</v>
      </c>
      <c r="N558" s="30" t="str">
        <f>VLOOKUP(Query1[[#This Row],[company_name]],'Org Mapping'!$B:$I,8,FALSE)</f>
        <v>Jawad Ulla Khan</v>
      </c>
      <c r="O558" s="30" t="str">
        <f>TEXT(Query1[[#This Row],[last_work_day]],"mmm'yy")</f>
        <v>Apr'26</v>
      </c>
    </row>
    <row r="559" spans="1:15" x14ac:dyDescent="0.35">
      <c r="A559" s="30" t="s">
        <v>557</v>
      </c>
      <c r="B559" s="30" t="s">
        <v>65</v>
      </c>
      <c r="C559" s="30" t="s">
        <v>582</v>
      </c>
      <c r="D559">
        <v>2</v>
      </c>
      <c r="E559" s="30" t="s">
        <v>583</v>
      </c>
      <c r="F559" s="29">
        <v>45838</v>
      </c>
      <c r="G559">
        <v>23718</v>
      </c>
      <c r="H559">
        <v>3618</v>
      </c>
      <c r="I559" s="30" t="s">
        <v>26</v>
      </c>
      <c r="J559" s="30" t="s">
        <v>76</v>
      </c>
      <c r="K559">
        <v>6</v>
      </c>
      <c r="L559" s="29">
        <v>46101</v>
      </c>
      <c r="M559" s="29">
        <v>46070</v>
      </c>
      <c r="N559" s="30" t="str">
        <f>VLOOKUP(Query1[[#This Row],[company_name]],'Org Mapping'!$B:$I,8,FALSE)</f>
        <v>Jawad Ulla Khan</v>
      </c>
      <c r="O559" s="30" t="str">
        <f>TEXT(Query1[[#This Row],[last_work_day]],"mmm'yy")</f>
        <v>Mar'26</v>
      </c>
    </row>
    <row r="560" spans="1:15" x14ac:dyDescent="0.35">
      <c r="A560" s="30" t="s">
        <v>1464</v>
      </c>
      <c r="B560" s="30" t="s">
        <v>39</v>
      </c>
      <c r="C560" s="30" t="s">
        <v>2161</v>
      </c>
      <c r="D560">
        <v>2</v>
      </c>
      <c r="E560" s="30" t="s">
        <v>2162</v>
      </c>
      <c r="F560" s="29">
        <v>45859</v>
      </c>
      <c r="G560">
        <v>362208</v>
      </c>
      <c r="H560">
        <v>78875</v>
      </c>
      <c r="I560" s="30" t="s">
        <v>26</v>
      </c>
      <c r="J560" s="30" t="s">
        <v>49</v>
      </c>
      <c r="K560">
        <v>6</v>
      </c>
      <c r="L560" s="29">
        <v>46167</v>
      </c>
      <c r="M560" s="29">
        <v>46146</v>
      </c>
      <c r="N560" s="30" t="str">
        <f>VLOOKUP(Query1[[#This Row],[company_name]],'Org Mapping'!$B:$I,8,FALSE)</f>
        <v>Mehr Hashim</v>
      </c>
      <c r="O560" s="30" t="str">
        <f>TEXT(Query1[[#This Row],[last_work_day]],"mmm'yy")</f>
        <v>May'26</v>
      </c>
    </row>
    <row r="561" spans="1:15" x14ac:dyDescent="0.35">
      <c r="A561" s="30" t="s">
        <v>1647</v>
      </c>
      <c r="B561" s="30" t="s">
        <v>39</v>
      </c>
      <c r="C561" s="30" t="s">
        <v>2163</v>
      </c>
      <c r="D561">
        <v>2</v>
      </c>
      <c r="E561" s="30" t="s">
        <v>2164</v>
      </c>
      <c r="F561" s="29">
        <v>45834</v>
      </c>
      <c r="G561">
        <v>39750</v>
      </c>
      <c r="H561">
        <v>2250</v>
      </c>
      <c r="I561" s="30" t="s">
        <v>26</v>
      </c>
      <c r="J561" s="30" t="s">
        <v>31</v>
      </c>
      <c r="K561">
        <v>6</v>
      </c>
      <c r="L561" s="29">
        <v>46069</v>
      </c>
      <c r="M561" s="29">
        <v>46036</v>
      </c>
      <c r="N561" s="30" t="str">
        <f>VLOOKUP(Query1[[#This Row],[company_name]],'Org Mapping'!$B:$I,8,FALSE)</f>
        <v>Mehr Hashim</v>
      </c>
      <c r="O561" s="30" t="str">
        <f>TEXT(Query1[[#This Row],[last_work_day]],"mmm'yy")</f>
        <v>Feb'26</v>
      </c>
    </row>
    <row r="562" spans="1:15" x14ac:dyDescent="0.35">
      <c r="A562" s="30" t="s">
        <v>1572</v>
      </c>
      <c r="B562" s="30" t="s">
        <v>39</v>
      </c>
      <c r="C562" s="30" t="s">
        <v>2165</v>
      </c>
      <c r="D562">
        <v>2</v>
      </c>
      <c r="E562" s="30" t="s">
        <v>2166</v>
      </c>
      <c r="F562" s="29">
        <v>45834</v>
      </c>
      <c r="G562">
        <v>39750</v>
      </c>
      <c r="H562">
        <v>2250</v>
      </c>
      <c r="I562" s="30" t="s">
        <v>92</v>
      </c>
      <c r="J562" s="30" t="s">
        <v>31</v>
      </c>
      <c r="K562">
        <v>6</v>
      </c>
      <c r="L562" s="29">
        <v>46118</v>
      </c>
      <c r="M562" s="29">
        <v>45961</v>
      </c>
      <c r="N562" s="30" t="str">
        <f>VLOOKUP(Query1[[#This Row],[company_name]],'Org Mapping'!$B:$I,8,FALSE)</f>
        <v>Mehr Hashim</v>
      </c>
      <c r="O562" s="30" t="str">
        <f>TEXT(Query1[[#This Row],[last_work_day]],"mmm'yy")</f>
        <v>Apr'26</v>
      </c>
    </row>
    <row r="563" spans="1:15" x14ac:dyDescent="0.35">
      <c r="A563" s="30" t="s">
        <v>1572</v>
      </c>
      <c r="B563" s="30" t="s">
        <v>39</v>
      </c>
      <c r="C563" s="30" t="s">
        <v>2167</v>
      </c>
      <c r="D563">
        <v>2</v>
      </c>
      <c r="E563" s="30" t="s">
        <v>2168</v>
      </c>
      <c r="F563" s="29">
        <v>45834</v>
      </c>
      <c r="G563">
        <v>39750</v>
      </c>
      <c r="H563">
        <v>2250</v>
      </c>
      <c r="I563" s="30" t="s">
        <v>91</v>
      </c>
      <c r="J563" s="30" t="s">
        <v>31</v>
      </c>
      <c r="K563">
        <v>6</v>
      </c>
      <c r="L563" s="29">
        <v>46119</v>
      </c>
      <c r="M563" s="29">
        <v>46119</v>
      </c>
      <c r="N563" s="30" t="str">
        <f>VLOOKUP(Query1[[#This Row],[company_name]],'Org Mapping'!$B:$I,8,FALSE)</f>
        <v>Mehr Hashim</v>
      </c>
      <c r="O563" s="30" t="str">
        <f>TEXT(Query1[[#This Row],[last_work_day]],"mmm'yy")</f>
        <v>Apr'26</v>
      </c>
    </row>
    <row r="564" spans="1:15" x14ac:dyDescent="0.35">
      <c r="A564" s="30" t="s">
        <v>1506</v>
      </c>
      <c r="B564" s="30" t="s">
        <v>2169</v>
      </c>
      <c r="C564" s="30" t="s">
        <v>2170</v>
      </c>
      <c r="D564">
        <v>2</v>
      </c>
      <c r="E564" s="30" t="s">
        <v>2171</v>
      </c>
      <c r="F564" s="29">
        <v>45845</v>
      </c>
      <c r="G564">
        <v>126000</v>
      </c>
      <c r="H564">
        <v>26000</v>
      </c>
      <c r="I564" s="30" t="s">
        <v>21</v>
      </c>
      <c r="J564" s="30" t="s">
        <v>560</v>
      </c>
      <c r="K564">
        <v>6</v>
      </c>
      <c r="L564" s="29">
        <v>46134</v>
      </c>
      <c r="M564" s="29">
        <v>46127</v>
      </c>
      <c r="N564" s="30" t="str">
        <f>VLOOKUP(Query1[[#This Row],[company_name]],'Org Mapping'!$B:$I,8,FALSE)</f>
        <v>Prathap Sagar</v>
      </c>
      <c r="O564" s="30" t="str">
        <f>TEXT(Query1[[#This Row],[last_work_day]],"mmm'yy")</f>
        <v>Apr'26</v>
      </c>
    </row>
    <row r="565" spans="1:15" x14ac:dyDescent="0.35">
      <c r="A565" s="30" t="s">
        <v>1588</v>
      </c>
      <c r="B565" s="30" t="s">
        <v>1657</v>
      </c>
      <c r="C565" s="30" t="s">
        <v>2172</v>
      </c>
      <c r="D565">
        <v>2</v>
      </c>
      <c r="E565" s="30" t="s">
        <v>2173</v>
      </c>
      <c r="F565" s="29">
        <v>45838</v>
      </c>
      <c r="G565">
        <v>188500</v>
      </c>
      <c r="H565">
        <v>51000</v>
      </c>
      <c r="I565" s="30" t="s">
        <v>21</v>
      </c>
      <c r="J565" s="30" t="s">
        <v>524</v>
      </c>
      <c r="K565">
        <v>6</v>
      </c>
      <c r="L565" s="29">
        <v>46108</v>
      </c>
      <c r="M565" s="29">
        <v>46038</v>
      </c>
      <c r="N565" s="30" t="str">
        <f>VLOOKUP(Query1[[#This Row],[company_name]],'Org Mapping'!$B:$I,8,FALSE)</f>
        <v>Sadhna Shukla</v>
      </c>
      <c r="O565" s="30" t="str">
        <f>TEXT(Query1[[#This Row],[last_work_day]],"mmm'yy")</f>
        <v>Mar'26</v>
      </c>
    </row>
    <row r="566" spans="1:15" x14ac:dyDescent="0.35">
      <c r="A566" s="30" t="s">
        <v>555</v>
      </c>
      <c r="B566" s="30" t="s">
        <v>65</v>
      </c>
      <c r="C566" s="30" t="s">
        <v>584</v>
      </c>
      <c r="D566">
        <v>2</v>
      </c>
      <c r="E566" s="30" t="s">
        <v>585</v>
      </c>
      <c r="F566" s="29">
        <v>45838</v>
      </c>
      <c r="G566">
        <v>23718</v>
      </c>
      <c r="H566">
        <v>3618</v>
      </c>
      <c r="I566" s="30" t="s">
        <v>26</v>
      </c>
      <c r="J566" s="30" t="s">
        <v>76</v>
      </c>
      <c r="K566">
        <v>6</v>
      </c>
      <c r="L566" s="29">
        <v>46120</v>
      </c>
      <c r="M566" s="29">
        <v>46097</v>
      </c>
      <c r="N566" s="30" t="str">
        <f>VLOOKUP(Query1[[#This Row],[company_name]],'Org Mapping'!$B:$I,8,FALSE)</f>
        <v>Jawad Ulla Khan</v>
      </c>
      <c r="O566" s="30" t="str">
        <f>TEXT(Query1[[#This Row],[last_work_day]],"mmm'yy")</f>
        <v>Apr'26</v>
      </c>
    </row>
    <row r="567" spans="1:15" x14ac:dyDescent="0.35">
      <c r="A567" s="30" t="s">
        <v>2130</v>
      </c>
      <c r="B567" s="30" t="s">
        <v>503</v>
      </c>
      <c r="C567" s="30" t="s">
        <v>2174</v>
      </c>
      <c r="D567">
        <v>2</v>
      </c>
      <c r="E567" s="30" t="s">
        <v>2175</v>
      </c>
      <c r="F567" s="29">
        <v>45838</v>
      </c>
      <c r="G567">
        <v>188500</v>
      </c>
      <c r="H567">
        <v>92667</v>
      </c>
      <c r="I567" s="30" t="s">
        <v>21</v>
      </c>
      <c r="J567" s="30" t="s">
        <v>524</v>
      </c>
      <c r="K567">
        <v>6</v>
      </c>
      <c r="L567" s="29">
        <v>46157</v>
      </c>
      <c r="M567" s="29">
        <v>46142</v>
      </c>
      <c r="N567" s="30" t="str">
        <f>VLOOKUP(Query1[[#This Row],[company_name]],'Org Mapping'!$B:$I,8,FALSE)</f>
        <v>Sadhna Shukla</v>
      </c>
      <c r="O567" s="30" t="str">
        <f>TEXT(Query1[[#This Row],[last_work_day]],"mmm'yy")</f>
        <v>May'26</v>
      </c>
    </row>
    <row r="568" spans="1:15" x14ac:dyDescent="0.35">
      <c r="A568" s="30" t="s">
        <v>2156</v>
      </c>
      <c r="B568" s="30" t="s">
        <v>1628</v>
      </c>
      <c r="C568" s="30" t="s">
        <v>2176</v>
      </c>
      <c r="D568">
        <v>2</v>
      </c>
      <c r="E568" s="30" t="s">
        <v>2177</v>
      </c>
      <c r="F568" s="29">
        <v>45838</v>
      </c>
      <c r="G568">
        <v>299200</v>
      </c>
      <c r="H568">
        <v>82534</v>
      </c>
      <c r="I568" s="30" t="s">
        <v>91</v>
      </c>
      <c r="J568" s="30" t="s">
        <v>485</v>
      </c>
      <c r="K568">
        <v>6</v>
      </c>
      <c r="L568" s="29">
        <v>46129</v>
      </c>
      <c r="M568" s="29">
        <v>46118</v>
      </c>
      <c r="N568" s="30" t="str">
        <f>VLOOKUP(Query1[[#This Row],[company_name]],'Org Mapping'!$B:$I,8,FALSE)</f>
        <v>Sadhna Shukla</v>
      </c>
      <c r="O568" s="30" t="str">
        <f>TEXT(Query1[[#This Row],[last_work_day]],"mmm'yy")</f>
        <v>Apr'26</v>
      </c>
    </row>
    <row r="569" spans="1:15" x14ac:dyDescent="0.35">
      <c r="A569" s="30" t="s">
        <v>390</v>
      </c>
      <c r="B569" s="30" t="s">
        <v>65</v>
      </c>
      <c r="C569" s="30" t="s">
        <v>586</v>
      </c>
      <c r="D569">
        <v>2</v>
      </c>
      <c r="E569" s="30" t="s">
        <v>587</v>
      </c>
      <c r="F569" s="29">
        <v>45838</v>
      </c>
      <c r="G569">
        <v>23718</v>
      </c>
      <c r="H569">
        <v>3618</v>
      </c>
      <c r="I569" s="30" t="s">
        <v>92</v>
      </c>
      <c r="J569" s="30" t="s">
        <v>76</v>
      </c>
      <c r="K569">
        <v>6</v>
      </c>
      <c r="L569" s="29">
        <v>46030</v>
      </c>
      <c r="M569" s="29">
        <v>46028</v>
      </c>
      <c r="N569" s="30" t="str">
        <f>VLOOKUP(Query1[[#This Row],[company_name]],'Org Mapping'!$B:$I,8,FALSE)</f>
        <v>Jawad Ulla Khan</v>
      </c>
      <c r="O569" s="30" t="str">
        <f>TEXT(Query1[[#This Row],[last_work_day]],"mmm'yy")</f>
        <v>Jan'26</v>
      </c>
    </row>
    <row r="570" spans="1:15" x14ac:dyDescent="0.35">
      <c r="A570" s="30" t="s">
        <v>1464</v>
      </c>
      <c r="B570" s="30" t="s">
        <v>39</v>
      </c>
      <c r="C570" s="30" t="s">
        <v>2178</v>
      </c>
      <c r="D570">
        <v>2</v>
      </c>
      <c r="E570" s="30" t="s">
        <v>2179</v>
      </c>
      <c r="F570" s="29">
        <v>45854</v>
      </c>
      <c r="G570">
        <v>411600</v>
      </c>
      <c r="H570">
        <v>69934</v>
      </c>
      <c r="I570" s="30" t="s">
        <v>16</v>
      </c>
      <c r="J570" s="30" t="s">
        <v>49</v>
      </c>
      <c r="K570">
        <v>6</v>
      </c>
      <c r="L570" s="29">
        <v>46171</v>
      </c>
      <c r="M570" s="29">
        <v>46101</v>
      </c>
      <c r="N570" s="30" t="str">
        <f>VLOOKUP(Query1[[#This Row],[company_name]],'Org Mapping'!$B:$I,8,FALSE)</f>
        <v>Mehr Hashim</v>
      </c>
      <c r="O570" s="30" t="str">
        <f>TEXT(Query1[[#This Row],[last_work_day]],"mmm'yy")</f>
        <v>May'26</v>
      </c>
    </row>
    <row r="571" spans="1:15" x14ac:dyDescent="0.35">
      <c r="A571" s="30" t="s">
        <v>1634</v>
      </c>
      <c r="B571" s="30" t="s">
        <v>117</v>
      </c>
      <c r="C571" s="30" t="s">
        <v>2180</v>
      </c>
      <c r="D571">
        <v>4</v>
      </c>
      <c r="E571" s="30" t="s">
        <v>2181</v>
      </c>
      <c r="F571" s="29">
        <v>45845</v>
      </c>
      <c r="G571">
        <v>236453.2</v>
      </c>
      <c r="H571">
        <v>7287.2</v>
      </c>
      <c r="I571" s="30" t="s">
        <v>37</v>
      </c>
      <c r="J571" s="30" t="s">
        <v>118</v>
      </c>
      <c r="K571">
        <v>6</v>
      </c>
      <c r="L571" s="29">
        <v>46024</v>
      </c>
      <c r="M571" s="29">
        <v>45995</v>
      </c>
      <c r="N571" s="30" t="str">
        <f>VLOOKUP(Query1[[#This Row],[company_name]],'Org Mapping'!$B:$I,8,FALSE)</f>
        <v>DXC</v>
      </c>
      <c r="O571" s="30" t="str">
        <f>TEXT(Query1[[#This Row],[last_work_day]],"mmm'yy")</f>
        <v>Jan'26</v>
      </c>
    </row>
    <row r="572" spans="1:15" x14ac:dyDescent="0.35">
      <c r="A572" s="30" t="s">
        <v>2182</v>
      </c>
      <c r="B572" s="30" t="s">
        <v>2183</v>
      </c>
      <c r="C572" s="30" t="s">
        <v>2184</v>
      </c>
      <c r="D572">
        <v>2</v>
      </c>
      <c r="E572" s="30" t="s">
        <v>2185</v>
      </c>
      <c r="F572" s="29">
        <v>45842</v>
      </c>
      <c r="G572">
        <v>126500</v>
      </c>
      <c r="H572">
        <v>30667</v>
      </c>
      <c r="I572" s="30" t="s">
        <v>91</v>
      </c>
      <c r="J572" s="30" t="s">
        <v>569</v>
      </c>
      <c r="K572">
        <v>6</v>
      </c>
      <c r="L572" s="29">
        <v>46025</v>
      </c>
      <c r="M572" s="29">
        <v>46041</v>
      </c>
      <c r="N572" s="30" t="str">
        <f>VLOOKUP(Query1[[#This Row],[company_name]],'Org Mapping'!$B:$I,8,FALSE)</f>
        <v>(Sonia/Dikshitha)</v>
      </c>
      <c r="O572" s="30" t="str">
        <f>TEXT(Query1[[#This Row],[last_work_day]],"mmm'yy")</f>
        <v>Jan'26</v>
      </c>
    </row>
    <row r="573" spans="1:15" x14ac:dyDescent="0.35">
      <c r="A573" s="30" t="s">
        <v>2186</v>
      </c>
      <c r="B573" s="30" t="s">
        <v>1494</v>
      </c>
      <c r="C573" s="30" t="s">
        <v>2187</v>
      </c>
      <c r="D573">
        <v>1</v>
      </c>
      <c r="E573" s="30" t="s">
        <v>2188</v>
      </c>
      <c r="F573" s="29">
        <v>45848</v>
      </c>
      <c r="G573">
        <v>70308</v>
      </c>
      <c r="H573">
        <v>11975</v>
      </c>
      <c r="I573" s="30" t="s">
        <v>26</v>
      </c>
      <c r="J573" s="30" t="s">
        <v>120</v>
      </c>
      <c r="K573">
        <v>6</v>
      </c>
      <c r="L573" s="29">
        <v>46115</v>
      </c>
      <c r="M573" s="29">
        <v>46097</v>
      </c>
      <c r="N573" s="30" t="str">
        <f>VLOOKUP(Query1[[#This Row],[company_name]],'Org Mapping'!$B:$I,8,FALSE)</f>
        <v>Anuradha</v>
      </c>
      <c r="O573" s="30" t="str">
        <f>TEXT(Query1[[#This Row],[last_work_day]],"mmm'yy")</f>
        <v>Apr'26</v>
      </c>
    </row>
    <row r="574" spans="1:15" x14ac:dyDescent="0.35">
      <c r="A574" s="30" t="s">
        <v>1572</v>
      </c>
      <c r="B574" s="30" t="s">
        <v>39</v>
      </c>
      <c r="C574" s="30" t="s">
        <v>2189</v>
      </c>
      <c r="D574">
        <v>2</v>
      </c>
      <c r="E574" s="30" t="s">
        <v>2190</v>
      </c>
      <c r="F574" s="29">
        <v>45841</v>
      </c>
      <c r="G574">
        <v>40280</v>
      </c>
      <c r="H574">
        <v>2280</v>
      </c>
      <c r="I574" s="30" t="s">
        <v>26</v>
      </c>
      <c r="J574" s="30" t="s">
        <v>31</v>
      </c>
      <c r="K574">
        <v>6</v>
      </c>
      <c r="L574" s="29">
        <v>46051</v>
      </c>
      <c r="M574" s="29">
        <v>46021</v>
      </c>
      <c r="N574" s="30" t="str">
        <f>VLOOKUP(Query1[[#This Row],[company_name]],'Org Mapping'!$B:$I,8,FALSE)</f>
        <v>Mehr Hashim</v>
      </c>
      <c r="O574" s="30" t="str">
        <f>TEXT(Query1[[#This Row],[last_work_day]],"mmm'yy")</f>
        <v>Jan'26</v>
      </c>
    </row>
    <row r="575" spans="1:15" x14ac:dyDescent="0.35">
      <c r="A575" s="30" t="s">
        <v>1411</v>
      </c>
      <c r="B575" s="30" t="s">
        <v>39</v>
      </c>
      <c r="C575" s="30" t="s">
        <v>2191</v>
      </c>
      <c r="D575">
        <v>2</v>
      </c>
      <c r="E575" s="30" t="s">
        <v>2192</v>
      </c>
      <c r="F575" s="29">
        <v>45847</v>
      </c>
      <c r="G575">
        <v>80000</v>
      </c>
      <c r="H575">
        <v>13334</v>
      </c>
      <c r="I575" s="30" t="s">
        <v>16</v>
      </c>
      <c r="J575" s="30" t="s">
        <v>116</v>
      </c>
      <c r="K575">
        <v>6</v>
      </c>
      <c r="L575" s="29">
        <v>46112</v>
      </c>
      <c r="M575" s="29">
        <v>46082</v>
      </c>
      <c r="N575" s="30" t="str">
        <f>VLOOKUP(Query1[[#This Row],[company_name]],'Org Mapping'!$B:$I,8,FALSE)</f>
        <v>Mehr Hashim</v>
      </c>
      <c r="O575" s="30" t="str">
        <f>TEXT(Query1[[#This Row],[last_work_day]],"mmm'yy")</f>
        <v>Mar'26</v>
      </c>
    </row>
    <row r="576" spans="1:15" x14ac:dyDescent="0.35">
      <c r="A576" s="30" t="s">
        <v>390</v>
      </c>
      <c r="B576" s="30" t="s">
        <v>65</v>
      </c>
      <c r="C576" s="30" t="s">
        <v>588</v>
      </c>
      <c r="D576">
        <v>2</v>
      </c>
      <c r="E576" s="30" t="s">
        <v>589</v>
      </c>
      <c r="F576" s="29">
        <v>45853</v>
      </c>
      <c r="G576">
        <v>23718</v>
      </c>
      <c r="H576">
        <v>3618</v>
      </c>
      <c r="I576" s="30" t="s">
        <v>26</v>
      </c>
      <c r="J576" s="30" t="s">
        <v>76</v>
      </c>
      <c r="K576">
        <v>6</v>
      </c>
      <c r="L576" s="29">
        <v>46059</v>
      </c>
      <c r="M576" s="29">
        <v>46041</v>
      </c>
      <c r="N576" s="30" t="str">
        <f>VLOOKUP(Query1[[#This Row],[company_name]],'Org Mapping'!$B:$I,8,FALSE)</f>
        <v>Jawad Ulla Khan</v>
      </c>
      <c r="O576" s="30" t="str">
        <f>TEXT(Query1[[#This Row],[last_work_day]],"mmm'yy")</f>
        <v>Feb'26</v>
      </c>
    </row>
    <row r="577" spans="1:15" x14ac:dyDescent="0.35">
      <c r="A577" s="30" t="s">
        <v>2193</v>
      </c>
      <c r="B577" s="30" t="s">
        <v>503</v>
      </c>
      <c r="C577" s="30" t="s">
        <v>2194</v>
      </c>
      <c r="D577">
        <v>2</v>
      </c>
      <c r="E577" s="30" t="s">
        <v>2195</v>
      </c>
      <c r="F577" s="29">
        <v>45845</v>
      </c>
      <c r="G577">
        <v>188500</v>
      </c>
      <c r="H577">
        <v>13500</v>
      </c>
      <c r="I577" s="30" t="s">
        <v>21</v>
      </c>
      <c r="J577" s="30" t="s">
        <v>524</v>
      </c>
      <c r="K577">
        <v>6</v>
      </c>
      <c r="L577" s="29">
        <v>46080</v>
      </c>
      <c r="M577" s="29">
        <v>46038</v>
      </c>
      <c r="N577" s="30" t="str">
        <f>VLOOKUP(Query1[[#This Row],[company_name]],'Org Mapping'!$B:$I,8,FALSE)</f>
        <v>Sadhna Shukla</v>
      </c>
      <c r="O577" s="30" t="str">
        <f>TEXT(Query1[[#This Row],[last_work_day]],"mmm'yy")</f>
        <v>Feb'26</v>
      </c>
    </row>
    <row r="578" spans="1:15" x14ac:dyDescent="0.35">
      <c r="A578" s="30" t="s">
        <v>2196</v>
      </c>
      <c r="B578" s="30" t="s">
        <v>503</v>
      </c>
      <c r="C578" s="30" t="s">
        <v>2197</v>
      </c>
      <c r="D578">
        <v>2</v>
      </c>
      <c r="E578" s="30" t="s">
        <v>2198</v>
      </c>
      <c r="F578" s="29">
        <v>45845</v>
      </c>
      <c r="G578">
        <v>167000</v>
      </c>
      <c r="H578">
        <v>12834</v>
      </c>
      <c r="I578" s="30" t="s">
        <v>21</v>
      </c>
      <c r="J578" s="30" t="s">
        <v>248</v>
      </c>
      <c r="K578">
        <v>6</v>
      </c>
      <c r="L578" s="29">
        <v>46031</v>
      </c>
      <c r="M578" s="29">
        <v>46001</v>
      </c>
      <c r="N578" s="30" t="str">
        <f>VLOOKUP(Query1[[#This Row],[company_name]],'Org Mapping'!$B:$I,8,FALSE)</f>
        <v>Sadhna Shukla</v>
      </c>
      <c r="O578" s="30" t="str">
        <f>TEXT(Query1[[#This Row],[last_work_day]],"mmm'yy")</f>
        <v>Jan'26</v>
      </c>
    </row>
    <row r="579" spans="1:15" x14ac:dyDescent="0.35">
      <c r="A579" s="30" t="s">
        <v>527</v>
      </c>
      <c r="B579" s="30" t="s">
        <v>1494</v>
      </c>
      <c r="C579" s="30" t="s">
        <v>2199</v>
      </c>
      <c r="D579">
        <v>2</v>
      </c>
      <c r="E579" s="30" t="s">
        <v>2200</v>
      </c>
      <c r="F579" s="29">
        <v>45845</v>
      </c>
      <c r="G579">
        <v>0</v>
      </c>
      <c r="H579">
        <v>-87500</v>
      </c>
      <c r="I579" s="30" t="s">
        <v>16</v>
      </c>
      <c r="J579" s="30" t="s">
        <v>66</v>
      </c>
      <c r="K579">
        <v>6</v>
      </c>
      <c r="L579" s="29">
        <v>46024</v>
      </c>
      <c r="M579" s="29">
        <v>46107</v>
      </c>
      <c r="N579" s="30" t="str">
        <f>VLOOKUP(Query1[[#This Row],[company_name]],'Org Mapping'!$B:$I,8,FALSE)</f>
        <v>Jawad Ulla Khan</v>
      </c>
      <c r="O579" s="30" t="str">
        <f>TEXT(Query1[[#This Row],[last_work_day]],"mmm'yy")</f>
        <v>Jan'26</v>
      </c>
    </row>
    <row r="580" spans="1:15" x14ac:dyDescent="0.35">
      <c r="A580" s="30" t="s">
        <v>360</v>
      </c>
      <c r="B580" s="30" t="s">
        <v>65</v>
      </c>
      <c r="C580" s="30" t="s">
        <v>591</v>
      </c>
      <c r="D580">
        <v>2</v>
      </c>
      <c r="E580" s="30" t="s">
        <v>592</v>
      </c>
      <c r="F580" s="29">
        <v>45852</v>
      </c>
      <c r="G580">
        <v>43750</v>
      </c>
      <c r="H580">
        <v>8750</v>
      </c>
      <c r="I580" s="30" t="s">
        <v>545</v>
      </c>
      <c r="J580" s="30" t="s">
        <v>76</v>
      </c>
      <c r="K580">
        <v>6</v>
      </c>
      <c r="L580" s="29">
        <v>46062</v>
      </c>
      <c r="M580" s="29">
        <v>45995</v>
      </c>
      <c r="N580" s="30" t="str">
        <f>VLOOKUP(Query1[[#This Row],[company_name]],'Org Mapping'!$B:$I,8,FALSE)</f>
        <v>Jawad Ulla Khan</v>
      </c>
      <c r="O580" s="30" t="str">
        <f>TEXT(Query1[[#This Row],[last_work_day]],"mmm'yy")</f>
        <v>Feb'26</v>
      </c>
    </row>
    <row r="581" spans="1:15" x14ac:dyDescent="0.35">
      <c r="A581" s="30" t="s">
        <v>104</v>
      </c>
      <c r="B581" s="30" t="s">
        <v>1628</v>
      </c>
      <c r="C581" s="30" t="s">
        <v>2201</v>
      </c>
      <c r="D581">
        <v>2</v>
      </c>
      <c r="E581" s="30" t="s">
        <v>2202</v>
      </c>
      <c r="F581" s="29">
        <v>45881</v>
      </c>
      <c r="G581">
        <v>178200</v>
      </c>
      <c r="H581">
        <v>28200</v>
      </c>
      <c r="I581" s="30" t="s">
        <v>26</v>
      </c>
      <c r="J581" s="30" t="s">
        <v>139</v>
      </c>
      <c r="K581">
        <v>6</v>
      </c>
      <c r="L581" s="29">
        <v>46093</v>
      </c>
      <c r="M581" s="29">
        <v>46063</v>
      </c>
      <c r="N581" s="30" t="str">
        <f>VLOOKUP(Query1[[#This Row],[company_name]],'Org Mapping'!$B:$I,8,FALSE)</f>
        <v>Sadhna Shukla</v>
      </c>
      <c r="O581" s="30" t="str">
        <f>TEXT(Query1[[#This Row],[last_work_day]],"mmm'yy")</f>
        <v>Mar'26</v>
      </c>
    </row>
    <row r="582" spans="1:15" x14ac:dyDescent="0.35">
      <c r="A582" s="30" t="s">
        <v>429</v>
      </c>
      <c r="B582" s="30" t="s">
        <v>65</v>
      </c>
      <c r="C582" s="30" t="s">
        <v>2203</v>
      </c>
      <c r="D582">
        <v>1</v>
      </c>
      <c r="E582" s="30" t="s">
        <v>2204</v>
      </c>
      <c r="F582" s="29">
        <v>45915</v>
      </c>
      <c r="G582">
        <v>25882.5</v>
      </c>
      <c r="H582">
        <v>5882.5</v>
      </c>
      <c r="I582" s="30" t="s">
        <v>37</v>
      </c>
      <c r="J582" s="30" t="s">
        <v>544</v>
      </c>
      <c r="K582">
        <v>6</v>
      </c>
      <c r="L582" s="29">
        <v>46052</v>
      </c>
      <c r="M582" s="29">
        <v>46042</v>
      </c>
      <c r="N582" s="30" t="str">
        <f>VLOOKUP(Query1[[#This Row],[company_name]],'Org Mapping'!$B:$I,8,FALSE)</f>
        <v>UHG/Lenovo</v>
      </c>
      <c r="O582" s="30" t="str">
        <f>TEXT(Query1[[#This Row],[last_work_day]],"mmm'yy")</f>
        <v>Jan'26</v>
      </c>
    </row>
    <row r="583" spans="1:15" x14ac:dyDescent="0.35">
      <c r="A583" s="30" t="s">
        <v>390</v>
      </c>
      <c r="B583" s="30" t="s">
        <v>65</v>
      </c>
      <c r="C583" s="30" t="s">
        <v>2205</v>
      </c>
      <c r="D583">
        <v>1</v>
      </c>
      <c r="E583" s="30" t="s">
        <v>2206</v>
      </c>
      <c r="F583" s="29">
        <v>45873</v>
      </c>
      <c r="G583">
        <v>25882.5</v>
      </c>
      <c r="H583">
        <v>5882.5</v>
      </c>
      <c r="I583" s="30" t="s">
        <v>16</v>
      </c>
      <c r="J583" s="30" t="s">
        <v>544</v>
      </c>
      <c r="K583">
        <v>6</v>
      </c>
      <c r="L583" s="29">
        <v>46080</v>
      </c>
      <c r="M583" s="29">
        <v>46064</v>
      </c>
      <c r="N583" s="30" t="str">
        <f>VLOOKUP(Query1[[#This Row],[company_name]],'Org Mapping'!$B:$I,8,FALSE)</f>
        <v>UHG/Lenovo</v>
      </c>
      <c r="O583" s="30" t="str">
        <f>TEXT(Query1[[#This Row],[last_work_day]],"mmm'yy")</f>
        <v>Feb'26</v>
      </c>
    </row>
    <row r="584" spans="1:15" x14ac:dyDescent="0.35">
      <c r="A584" s="30" t="s">
        <v>429</v>
      </c>
      <c r="B584" s="30" t="s">
        <v>65</v>
      </c>
      <c r="C584" s="30" t="s">
        <v>2207</v>
      </c>
      <c r="D584">
        <v>1</v>
      </c>
      <c r="E584" s="30" t="s">
        <v>2208</v>
      </c>
      <c r="F584" s="29">
        <v>45880</v>
      </c>
      <c r="G584">
        <v>25882.5</v>
      </c>
      <c r="H584">
        <v>5882.5</v>
      </c>
      <c r="I584" s="30" t="s">
        <v>16</v>
      </c>
      <c r="J584" s="30" t="s">
        <v>544</v>
      </c>
      <c r="K584">
        <v>6</v>
      </c>
      <c r="L584" s="29">
        <v>46059</v>
      </c>
      <c r="M584" s="29">
        <v>46050</v>
      </c>
      <c r="N584" s="30" t="str">
        <f>VLOOKUP(Query1[[#This Row],[company_name]],'Org Mapping'!$B:$I,8,FALSE)</f>
        <v>UHG/Lenovo</v>
      </c>
      <c r="O584" s="30" t="str">
        <f>TEXT(Query1[[#This Row],[last_work_day]],"mmm'yy")</f>
        <v>Feb'26</v>
      </c>
    </row>
    <row r="585" spans="1:15" x14ac:dyDescent="0.35">
      <c r="A585" s="30" t="s">
        <v>551</v>
      </c>
      <c r="B585" s="30" t="s">
        <v>65</v>
      </c>
      <c r="C585" s="30" t="s">
        <v>2209</v>
      </c>
      <c r="D585">
        <v>1</v>
      </c>
      <c r="E585" s="30" t="s">
        <v>2210</v>
      </c>
      <c r="F585" s="29">
        <v>45873</v>
      </c>
      <c r="G585">
        <v>25882.5</v>
      </c>
      <c r="H585">
        <v>5882.5</v>
      </c>
      <c r="I585" s="30" t="s">
        <v>16</v>
      </c>
      <c r="J585" s="30" t="s">
        <v>544</v>
      </c>
      <c r="K585">
        <v>6</v>
      </c>
      <c r="L585" s="29">
        <v>46080</v>
      </c>
      <c r="M585" s="29">
        <v>46064</v>
      </c>
      <c r="N585" s="30" t="str">
        <f>VLOOKUP(Query1[[#This Row],[company_name]],'Org Mapping'!$B:$I,8,FALSE)</f>
        <v>UHG/Lenovo</v>
      </c>
      <c r="O585" s="30" t="str">
        <f>TEXT(Query1[[#This Row],[last_work_day]],"mmm'yy")</f>
        <v>Feb'26</v>
      </c>
    </row>
    <row r="586" spans="1:15" x14ac:dyDescent="0.35">
      <c r="A586" s="30" t="s">
        <v>429</v>
      </c>
      <c r="B586" s="30" t="s">
        <v>65</v>
      </c>
      <c r="C586" s="30" t="s">
        <v>2211</v>
      </c>
      <c r="D586">
        <v>1</v>
      </c>
      <c r="E586" s="30" t="s">
        <v>2212</v>
      </c>
      <c r="F586" s="29">
        <v>45901</v>
      </c>
      <c r="G586">
        <v>25882.5</v>
      </c>
      <c r="H586">
        <v>5882.5</v>
      </c>
      <c r="I586" s="30" t="s">
        <v>37</v>
      </c>
      <c r="J586" s="30" t="s">
        <v>544</v>
      </c>
      <c r="K586">
        <v>6</v>
      </c>
      <c r="L586" s="29">
        <v>46064</v>
      </c>
      <c r="M586" s="29">
        <v>46057</v>
      </c>
      <c r="N586" s="30" t="str">
        <f>VLOOKUP(Query1[[#This Row],[company_name]],'Org Mapping'!$B:$I,8,FALSE)</f>
        <v>UHG/Lenovo</v>
      </c>
      <c r="O586" s="30" t="str">
        <f>TEXT(Query1[[#This Row],[last_work_day]],"mmm'yy")</f>
        <v>Feb'26</v>
      </c>
    </row>
    <row r="587" spans="1:15" x14ac:dyDescent="0.35">
      <c r="A587" s="30" t="s">
        <v>556</v>
      </c>
      <c r="B587" s="30" t="s">
        <v>43</v>
      </c>
      <c r="C587" s="30" t="s">
        <v>2213</v>
      </c>
      <c r="D587">
        <v>1</v>
      </c>
      <c r="E587" s="30" t="s">
        <v>2214</v>
      </c>
      <c r="F587" s="29">
        <v>45873</v>
      </c>
      <c r="G587">
        <v>25882.5</v>
      </c>
      <c r="H587">
        <v>5882.5</v>
      </c>
      <c r="I587" s="30" t="s">
        <v>16</v>
      </c>
      <c r="J587" s="30" t="s">
        <v>544</v>
      </c>
      <c r="K587">
        <v>6</v>
      </c>
      <c r="L587" s="29">
        <v>46052</v>
      </c>
      <c r="M587" s="29">
        <v>46042</v>
      </c>
      <c r="N587" s="30" t="str">
        <f>VLOOKUP(Query1[[#This Row],[company_name]],'Org Mapping'!$B:$I,8,FALSE)</f>
        <v>UHG/Lenovo</v>
      </c>
      <c r="O587" s="30" t="str">
        <f>TEXT(Query1[[#This Row],[last_work_day]],"mmm'yy")</f>
        <v>Jan'26</v>
      </c>
    </row>
    <row r="588" spans="1:15" x14ac:dyDescent="0.35">
      <c r="A588" s="30" t="s">
        <v>590</v>
      </c>
      <c r="B588" s="30" t="s">
        <v>43</v>
      </c>
      <c r="C588" s="30" t="s">
        <v>2215</v>
      </c>
      <c r="D588">
        <v>1</v>
      </c>
      <c r="E588" s="30" t="s">
        <v>2216</v>
      </c>
      <c r="F588" s="29">
        <v>45880</v>
      </c>
      <c r="G588">
        <v>25882.5</v>
      </c>
      <c r="H588">
        <v>5882.5</v>
      </c>
      <c r="I588" s="30" t="s">
        <v>16</v>
      </c>
      <c r="J588" s="30" t="s">
        <v>544</v>
      </c>
      <c r="K588">
        <v>6</v>
      </c>
      <c r="L588" s="29">
        <v>46059</v>
      </c>
      <c r="M588" s="29">
        <v>46050</v>
      </c>
      <c r="N588" s="30" t="str">
        <f>VLOOKUP(Query1[[#This Row],[company_name]],'Org Mapping'!$B:$I,8,FALSE)</f>
        <v>UHG/Lenovo</v>
      </c>
      <c r="O588" s="30" t="str">
        <f>TEXT(Query1[[#This Row],[last_work_day]],"mmm'yy")</f>
        <v>Feb'26</v>
      </c>
    </row>
    <row r="589" spans="1:15" x14ac:dyDescent="0.35">
      <c r="A589" s="30" t="s">
        <v>590</v>
      </c>
      <c r="B589" s="30" t="s">
        <v>43</v>
      </c>
      <c r="C589" s="30" t="s">
        <v>2217</v>
      </c>
      <c r="D589">
        <v>1</v>
      </c>
      <c r="E589" s="30" t="s">
        <v>2218</v>
      </c>
      <c r="F589" s="29">
        <v>45880</v>
      </c>
      <c r="G589">
        <v>25882.5</v>
      </c>
      <c r="H589">
        <v>5882.5</v>
      </c>
      <c r="I589" s="30" t="s">
        <v>37</v>
      </c>
      <c r="J589" s="30" t="s">
        <v>544</v>
      </c>
      <c r="K589">
        <v>6</v>
      </c>
      <c r="L589" s="29">
        <v>46050</v>
      </c>
      <c r="M589" s="29">
        <v>46038</v>
      </c>
      <c r="N589" s="30" t="str">
        <f>VLOOKUP(Query1[[#This Row],[company_name]],'Org Mapping'!$B:$I,8,FALSE)</f>
        <v>UHG/Lenovo</v>
      </c>
      <c r="O589" s="30" t="str">
        <f>TEXT(Query1[[#This Row],[last_work_day]],"mmm'yy")</f>
        <v>Jan'26</v>
      </c>
    </row>
    <row r="590" spans="1:15" x14ac:dyDescent="0.35">
      <c r="A590" s="30" t="s">
        <v>556</v>
      </c>
      <c r="B590" s="30" t="s">
        <v>43</v>
      </c>
      <c r="C590" s="30" t="s">
        <v>2219</v>
      </c>
      <c r="D590">
        <v>1</v>
      </c>
      <c r="E590" s="30" t="s">
        <v>2220</v>
      </c>
      <c r="F590" s="29">
        <v>45873</v>
      </c>
      <c r="G590">
        <v>25882.5</v>
      </c>
      <c r="H590">
        <v>5882.5</v>
      </c>
      <c r="I590" s="30" t="s">
        <v>16</v>
      </c>
      <c r="J590" s="30" t="s">
        <v>544</v>
      </c>
      <c r="K590">
        <v>6</v>
      </c>
      <c r="L590" s="29">
        <v>46052</v>
      </c>
      <c r="M590" s="29">
        <v>46042</v>
      </c>
      <c r="N590" s="30" t="str">
        <f>VLOOKUP(Query1[[#This Row],[company_name]],'Org Mapping'!$B:$I,8,FALSE)</f>
        <v>UHG/Lenovo</v>
      </c>
      <c r="O590" s="30" t="str">
        <f>TEXT(Query1[[#This Row],[last_work_day]],"mmm'yy")</f>
        <v>Jan'26</v>
      </c>
    </row>
    <row r="591" spans="1:15" x14ac:dyDescent="0.35">
      <c r="A591" s="30" t="s">
        <v>590</v>
      </c>
      <c r="B591" s="30" t="s">
        <v>43</v>
      </c>
      <c r="C591" s="30" t="s">
        <v>2221</v>
      </c>
      <c r="D591">
        <v>1</v>
      </c>
      <c r="E591" s="30" t="s">
        <v>2222</v>
      </c>
      <c r="F591" s="29">
        <v>45901</v>
      </c>
      <c r="G591">
        <v>25882.5</v>
      </c>
      <c r="H591">
        <v>5882.5</v>
      </c>
      <c r="I591" s="30" t="s">
        <v>21</v>
      </c>
      <c r="J591" s="30" t="s">
        <v>544</v>
      </c>
      <c r="K591">
        <v>6</v>
      </c>
      <c r="L591" s="29">
        <v>46034</v>
      </c>
      <c r="M591" s="29">
        <v>46034</v>
      </c>
      <c r="N591" s="30" t="str">
        <f>VLOOKUP(Query1[[#This Row],[company_name]],'Org Mapping'!$B:$I,8,FALSE)</f>
        <v>UHG/Lenovo</v>
      </c>
      <c r="O591" s="30" t="str">
        <f>TEXT(Query1[[#This Row],[last_work_day]],"mmm'yy")</f>
        <v>Jan'26</v>
      </c>
    </row>
    <row r="592" spans="1:15" x14ac:dyDescent="0.35">
      <c r="A592" s="30" t="s">
        <v>546</v>
      </c>
      <c r="B592" s="30" t="s">
        <v>65</v>
      </c>
      <c r="C592" s="30" t="s">
        <v>2223</v>
      </c>
      <c r="D592">
        <v>1</v>
      </c>
      <c r="E592" s="30" t="s">
        <v>2224</v>
      </c>
      <c r="F592" s="29">
        <v>45880</v>
      </c>
      <c r="G592">
        <v>25882.5</v>
      </c>
      <c r="H592">
        <v>5882.5</v>
      </c>
      <c r="I592" s="30" t="s">
        <v>16</v>
      </c>
      <c r="J592" s="30" t="s">
        <v>544</v>
      </c>
      <c r="K592">
        <v>6</v>
      </c>
      <c r="L592" s="29">
        <v>46059</v>
      </c>
      <c r="M592" s="29">
        <v>46050</v>
      </c>
      <c r="N592" s="30" t="str">
        <f>VLOOKUP(Query1[[#This Row],[company_name]],'Org Mapping'!$B:$I,8,FALSE)</f>
        <v>UHG/Lenovo</v>
      </c>
      <c r="O592" s="30" t="str">
        <f>TEXT(Query1[[#This Row],[last_work_day]],"mmm'yy")</f>
        <v>Feb'26</v>
      </c>
    </row>
    <row r="593" spans="1:15" x14ac:dyDescent="0.35">
      <c r="A593" s="30" t="s">
        <v>550</v>
      </c>
      <c r="B593" s="30" t="s">
        <v>65</v>
      </c>
      <c r="C593" s="30" t="s">
        <v>2225</v>
      </c>
      <c r="D593">
        <v>1</v>
      </c>
      <c r="E593" s="30" t="s">
        <v>2226</v>
      </c>
      <c r="F593" s="29">
        <v>45880</v>
      </c>
      <c r="G593">
        <v>25882.5</v>
      </c>
      <c r="H593">
        <v>5882.5</v>
      </c>
      <c r="I593" s="30" t="s">
        <v>37</v>
      </c>
      <c r="J593" s="30" t="s">
        <v>544</v>
      </c>
      <c r="K593">
        <v>6</v>
      </c>
      <c r="L593" s="29">
        <v>46050</v>
      </c>
      <c r="M593" s="29">
        <v>46038</v>
      </c>
      <c r="N593" s="30" t="str">
        <f>VLOOKUP(Query1[[#This Row],[company_name]],'Org Mapping'!$B:$I,8,FALSE)</f>
        <v>UHG/Lenovo</v>
      </c>
      <c r="O593" s="30" t="str">
        <f>TEXT(Query1[[#This Row],[last_work_day]],"mmm'yy")</f>
        <v>Jan'26</v>
      </c>
    </row>
    <row r="594" spans="1:15" x14ac:dyDescent="0.35">
      <c r="A594" s="30" t="s">
        <v>550</v>
      </c>
      <c r="B594" s="30" t="s">
        <v>65</v>
      </c>
      <c r="C594" s="30" t="s">
        <v>2227</v>
      </c>
      <c r="D594">
        <v>1</v>
      </c>
      <c r="E594" s="30" t="s">
        <v>2228</v>
      </c>
      <c r="F594" s="29">
        <v>45880</v>
      </c>
      <c r="G594">
        <v>25882.5</v>
      </c>
      <c r="H594">
        <v>5882.5</v>
      </c>
      <c r="I594" s="30" t="s">
        <v>37</v>
      </c>
      <c r="J594" s="30" t="s">
        <v>544</v>
      </c>
      <c r="K594">
        <v>6</v>
      </c>
      <c r="L594" s="29">
        <v>46050</v>
      </c>
      <c r="M594" s="29">
        <v>46038</v>
      </c>
      <c r="N594" s="30" t="str">
        <f>VLOOKUP(Query1[[#This Row],[company_name]],'Org Mapping'!$B:$I,8,FALSE)</f>
        <v>UHG/Lenovo</v>
      </c>
      <c r="O594" s="30" t="str">
        <f>TEXT(Query1[[#This Row],[last_work_day]],"mmm'yy")</f>
        <v>Jan'26</v>
      </c>
    </row>
    <row r="595" spans="1:15" x14ac:dyDescent="0.35">
      <c r="A595" s="30" t="s">
        <v>550</v>
      </c>
      <c r="B595" s="30" t="s">
        <v>65</v>
      </c>
      <c r="C595" s="30" t="s">
        <v>2229</v>
      </c>
      <c r="D595">
        <v>1</v>
      </c>
      <c r="E595" s="30" t="s">
        <v>2230</v>
      </c>
      <c r="F595" s="29">
        <v>45880</v>
      </c>
      <c r="G595">
        <v>25882.5</v>
      </c>
      <c r="H595">
        <v>5882.5</v>
      </c>
      <c r="I595" s="30" t="s">
        <v>16</v>
      </c>
      <c r="J595" s="30" t="s">
        <v>544</v>
      </c>
      <c r="K595">
        <v>6</v>
      </c>
      <c r="L595" s="29">
        <v>46059</v>
      </c>
      <c r="M595" s="29">
        <v>46050</v>
      </c>
      <c r="N595" s="30" t="str">
        <f>VLOOKUP(Query1[[#This Row],[company_name]],'Org Mapping'!$B:$I,8,FALSE)</f>
        <v>UHG/Lenovo</v>
      </c>
      <c r="O595" s="30" t="str">
        <f>TEXT(Query1[[#This Row],[last_work_day]],"mmm'yy")</f>
        <v>Feb'26</v>
      </c>
    </row>
    <row r="596" spans="1:15" x14ac:dyDescent="0.35">
      <c r="A596" s="30" t="s">
        <v>550</v>
      </c>
      <c r="B596" s="30" t="s">
        <v>65</v>
      </c>
      <c r="C596" s="30" t="s">
        <v>2231</v>
      </c>
      <c r="D596">
        <v>1</v>
      </c>
      <c r="E596" s="30" t="s">
        <v>2232</v>
      </c>
      <c r="F596" s="29">
        <v>45901</v>
      </c>
      <c r="G596">
        <v>25882.5</v>
      </c>
      <c r="H596">
        <v>5882.5</v>
      </c>
      <c r="I596" s="30" t="s">
        <v>37</v>
      </c>
      <c r="J596" s="30" t="s">
        <v>544</v>
      </c>
      <c r="K596">
        <v>6</v>
      </c>
      <c r="L596" s="29">
        <v>46052</v>
      </c>
      <c r="M596" s="29">
        <v>46042</v>
      </c>
      <c r="N596" s="30" t="str">
        <f>VLOOKUP(Query1[[#This Row],[company_name]],'Org Mapping'!$B:$I,8,FALSE)</f>
        <v>UHG/Lenovo</v>
      </c>
      <c r="O596" s="30" t="str">
        <f>TEXT(Query1[[#This Row],[last_work_day]],"mmm'yy")</f>
        <v>Jan'26</v>
      </c>
    </row>
    <row r="597" spans="1:15" x14ac:dyDescent="0.35">
      <c r="A597" s="30" t="s">
        <v>550</v>
      </c>
      <c r="B597" s="30" t="s">
        <v>65</v>
      </c>
      <c r="C597" s="30" t="s">
        <v>2233</v>
      </c>
      <c r="D597">
        <v>1</v>
      </c>
      <c r="E597" s="30" t="s">
        <v>2234</v>
      </c>
      <c r="F597" s="29">
        <v>45880</v>
      </c>
      <c r="G597">
        <v>25882.5</v>
      </c>
      <c r="H597">
        <v>5882.5</v>
      </c>
      <c r="I597" s="30" t="s">
        <v>16</v>
      </c>
      <c r="J597" s="30" t="s">
        <v>544</v>
      </c>
      <c r="K597">
        <v>6</v>
      </c>
      <c r="L597" s="29">
        <v>46059</v>
      </c>
      <c r="M597" s="29">
        <v>46050</v>
      </c>
      <c r="N597" s="30" t="str">
        <f>VLOOKUP(Query1[[#This Row],[company_name]],'Org Mapping'!$B:$I,8,FALSE)</f>
        <v>UHG/Lenovo</v>
      </c>
      <c r="O597" s="30" t="str">
        <f>TEXT(Query1[[#This Row],[last_work_day]],"mmm'yy")</f>
        <v>Feb'26</v>
      </c>
    </row>
    <row r="598" spans="1:15" x14ac:dyDescent="0.35">
      <c r="A598" s="30" t="s">
        <v>546</v>
      </c>
      <c r="B598" s="30" t="s">
        <v>65</v>
      </c>
      <c r="C598" s="30" t="s">
        <v>2235</v>
      </c>
      <c r="D598">
        <v>1</v>
      </c>
      <c r="E598" s="30" t="s">
        <v>2236</v>
      </c>
      <c r="F598" s="29">
        <v>45901</v>
      </c>
      <c r="G598">
        <v>25882.5</v>
      </c>
      <c r="H598">
        <v>5882.5</v>
      </c>
      <c r="I598" s="30" t="s">
        <v>37</v>
      </c>
      <c r="J598" s="30" t="s">
        <v>544</v>
      </c>
      <c r="K598">
        <v>6</v>
      </c>
      <c r="L598" s="29">
        <v>46052</v>
      </c>
      <c r="M598" s="29">
        <v>46042</v>
      </c>
      <c r="N598" s="30" t="str">
        <f>VLOOKUP(Query1[[#This Row],[company_name]],'Org Mapping'!$B:$I,8,FALSE)</f>
        <v>UHG/Lenovo</v>
      </c>
      <c r="O598" s="30" t="str">
        <f>TEXT(Query1[[#This Row],[last_work_day]],"mmm'yy")</f>
        <v>Jan'26</v>
      </c>
    </row>
    <row r="599" spans="1:15" x14ac:dyDescent="0.35">
      <c r="A599" s="30" t="s">
        <v>401</v>
      </c>
      <c r="B599" s="30" t="s">
        <v>65</v>
      </c>
      <c r="C599" s="30" t="s">
        <v>2237</v>
      </c>
      <c r="D599">
        <v>1</v>
      </c>
      <c r="E599" s="30" t="s">
        <v>2238</v>
      </c>
      <c r="F599" s="29">
        <v>45880</v>
      </c>
      <c r="G599">
        <v>25882.5</v>
      </c>
      <c r="H599">
        <v>5882.5</v>
      </c>
      <c r="I599" s="30" t="s">
        <v>16</v>
      </c>
      <c r="J599" s="30" t="s">
        <v>544</v>
      </c>
      <c r="K599">
        <v>6</v>
      </c>
      <c r="L599" s="29">
        <v>46059</v>
      </c>
      <c r="M599" s="29">
        <v>46050</v>
      </c>
      <c r="N599" s="30" t="str">
        <f>VLOOKUP(Query1[[#This Row],[company_name]],'Org Mapping'!$B:$I,8,FALSE)</f>
        <v>UHG/Lenovo</v>
      </c>
      <c r="O599" s="30" t="str">
        <f>TEXT(Query1[[#This Row],[last_work_day]],"mmm'yy")</f>
        <v>Feb'26</v>
      </c>
    </row>
    <row r="600" spans="1:15" x14ac:dyDescent="0.35">
      <c r="A600" s="30" t="s">
        <v>550</v>
      </c>
      <c r="B600" s="30" t="s">
        <v>65</v>
      </c>
      <c r="C600" s="30" t="s">
        <v>2239</v>
      </c>
      <c r="D600">
        <v>1</v>
      </c>
      <c r="E600" s="30" t="s">
        <v>2240</v>
      </c>
      <c r="F600" s="29">
        <v>45880</v>
      </c>
      <c r="G600">
        <v>25882.5</v>
      </c>
      <c r="H600">
        <v>5882.5</v>
      </c>
      <c r="I600" s="30" t="s">
        <v>37</v>
      </c>
      <c r="J600" s="30" t="s">
        <v>544</v>
      </c>
      <c r="K600">
        <v>6</v>
      </c>
      <c r="L600" s="29">
        <v>46050</v>
      </c>
      <c r="M600" s="29">
        <v>46038</v>
      </c>
      <c r="N600" s="30" t="str">
        <f>VLOOKUP(Query1[[#This Row],[company_name]],'Org Mapping'!$B:$I,8,FALSE)</f>
        <v>UHG/Lenovo</v>
      </c>
      <c r="O600" s="30" t="str">
        <f>TEXT(Query1[[#This Row],[last_work_day]],"mmm'yy")</f>
        <v>Jan'26</v>
      </c>
    </row>
    <row r="601" spans="1:15" x14ac:dyDescent="0.35">
      <c r="A601" s="30" t="s">
        <v>550</v>
      </c>
      <c r="B601" s="30" t="s">
        <v>65</v>
      </c>
      <c r="C601" s="30" t="s">
        <v>2241</v>
      </c>
      <c r="D601">
        <v>1</v>
      </c>
      <c r="E601" s="30" t="s">
        <v>2242</v>
      </c>
      <c r="F601" s="29">
        <v>45901</v>
      </c>
      <c r="G601">
        <v>25882.5</v>
      </c>
      <c r="H601">
        <v>5882.5</v>
      </c>
      <c r="I601" s="30" t="s">
        <v>37</v>
      </c>
      <c r="J601" s="30" t="s">
        <v>544</v>
      </c>
      <c r="K601">
        <v>6</v>
      </c>
      <c r="L601" s="29">
        <v>46052</v>
      </c>
      <c r="M601" s="29">
        <v>46042</v>
      </c>
      <c r="N601" s="30" t="str">
        <f>VLOOKUP(Query1[[#This Row],[company_name]],'Org Mapping'!$B:$I,8,FALSE)</f>
        <v>UHG/Lenovo</v>
      </c>
      <c r="O601" s="30" t="str">
        <f>TEXT(Query1[[#This Row],[last_work_day]],"mmm'yy")</f>
        <v>Jan'26</v>
      </c>
    </row>
    <row r="602" spans="1:15" x14ac:dyDescent="0.35">
      <c r="A602" s="30" t="s">
        <v>550</v>
      </c>
      <c r="B602" s="30" t="s">
        <v>65</v>
      </c>
      <c r="C602" s="30" t="s">
        <v>2243</v>
      </c>
      <c r="D602">
        <v>1</v>
      </c>
      <c r="E602" s="30" t="s">
        <v>2244</v>
      </c>
      <c r="F602" s="29">
        <v>45901</v>
      </c>
      <c r="G602">
        <v>25882.5</v>
      </c>
      <c r="H602">
        <v>5882.5</v>
      </c>
      <c r="I602" s="30" t="s">
        <v>37</v>
      </c>
      <c r="J602" s="30" t="s">
        <v>544</v>
      </c>
      <c r="K602">
        <v>6</v>
      </c>
      <c r="L602" s="29">
        <v>46052</v>
      </c>
      <c r="M602" s="29">
        <v>46042</v>
      </c>
      <c r="N602" s="30" t="str">
        <f>VLOOKUP(Query1[[#This Row],[company_name]],'Org Mapping'!$B:$I,8,FALSE)</f>
        <v>UHG/Lenovo</v>
      </c>
      <c r="O602" s="30" t="str">
        <f>TEXT(Query1[[#This Row],[last_work_day]],"mmm'yy")</f>
        <v>Jan'26</v>
      </c>
    </row>
    <row r="603" spans="1:15" x14ac:dyDescent="0.35">
      <c r="A603" s="30" t="s">
        <v>553</v>
      </c>
      <c r="B603" s="30" t="s">
        <v>65</v>
      </c>
      <c r="C603" s="30" t="s">
        <v>2245</v>
      </c>
      <c r="D603">
        <v>1</v>
      </c>
      <c r="E603" s="30" t="s">
        <v>2246</v>
      </c>
      <c r="F603" s="29">
        <v>45901</v>
      </c>
      <c r="G603">
        <v>25882.5</v>
      </c>
      <c r="H603">
        <v>5882.5</v>
      </c>
      <c r="I603" s="30" t="s">
        <v>16</v>
      </c>
      <c r="J603" s="30" t="s">
        <v>544</v>
      </c>
      <c r="K603">
        <v>6</v>
      </c>
      <c r="L603" s="29">
        <v>46080</v>
      </c>
      <c r="M603" s="29">
        <v>46064</v>
      </c>
      <c r="N603" s="30" t="str">
        <f>VLOOKUP(Query1[[#This Row],[company_name]],'Org Mapping'!$B:$I,8,FALSE)</f>
        <v>UHG/Lenovo</v>
      </c>
      <c r="O603" s="30" t="str">
        <f>TEXT(Query1[[#This Row],[last_work_day]],"mmm'yy")</f>
        <v>Feb'26</v>
      </c>
    </row>
    <row r="604" spans="1:15" x14ac:dyDescent="0.35">
      <c r="A604" s="30" t="s">
        <v>553</v>
      </c>
      <c r="B604" s="30" t="s">
        <v>65</v>
      </c>
      <c r="C604" s="30" t="s">
        <v>2247</v>
      </c>
      <c r="D604">
        <v>1</v>
      </c>
      <c r="E604" s="30" t="s">
        <v>2248</v>
      </c>
      <c r="F604" s="29">
        <v>45873</v>
      </c>
      <c r="G604">
        <v>25882.5</v>
      </c>
      <c r="H604">
        <v>5882.5</v>
      </c>
      <c r="I604" s="30" t="s">
        <v>16</v>
      </c>
      <c r="J604" s="30" t="s">
        <v>544</v>
      </c>
      <c r="K604">
        <v>6</v>
      </c>
      <c r="L604" s="29">
        <v>46080</v>
      </c>
      <c r="M604" s="29">
        <v>46064</v>
      </c>
      <c r="N604" s="30" t="str">
        <f>VLOOKUP(Query1[[#This Row],[company_name]],'Org Mapping'!$B:$I,8,FALSE)</f>
        <v>UHG/Lenovo</v>
      </c>
      <c r="O604" s="30" t="str">
        <f>TEXT(Query1[[#This Row],[last_work_day]],"mmm'yy")</f>
        <v>Feb'26</v>
      </c>
    </row>
    <row r="605" spans="1:15" x14ac:dyDescent="0.35">
      <c r="A605" s="30" t="s">
        <v>429</v>
      </c>
      <c r="B605" s="30" t="s">
        <v>65</v>
      </c>
      <c r="C605" s="30" t="s">
        <v>2249</v>
      </c>
      <c r="D605">
        <v>1</v>
      </c>
      <c r="E605" s="30" t="s">
        <v>2250</v>
      </c>
      <c r="F605" s="29">
        <v>45901</v>
      </c>
      <c r="G605">
        <v>25882.5</v>
      </c>
      <c r="H605">
        <v>5882.5</v>
      </c>
      <c r="I605" s="30" t="s">
        <v>16</v>
      </c>
      <c r="J605" s="30" t="s">
        <v>544</v>
      </c>
      <c r="K605">
        <v>6</v>
      </c>
      <c r="L605" s="29">
        <v>46080</v>
      </c>
      <c r="M605" s="29">
        <v>46064</v>
      </c>
      <c r="N605" s="30" t="str">
        <f>VLOOKUP(Query1[[#This Row],[company_name]],'Org Mapping'!$B:$I,8,FALSE)</f>
        <v>UHG/Lenovo</v>
      </c>
      <c r="O605" s="30" t="str">
        <f>TEXT(Query1[[#This Row],[last_work_day]],"mmm'yy")</f>
        <v>Feb'26</v>
      </c>
    </row>
    <row r="606" spans="1:15" x14ac:dyDescent="0.35">
      <c r="A606" s="30" t="s">
        <v>551</v>
      </c>
      <c r="B606" s="30" t="s">
        <v>65</v>
      </c>
      <c r="C606" s="30" t="s">
        <v>2251</v>
      </c>
      <c r="D606">
        <v>1</v>
      </c>
      <c r="E606" s="30" t="s">
        <v>2252</v>
      </c>
      <c r="F606" s="29">
        <v>45873</v>
      </c>
      <c r="G606">
        <v>25882.5</v>
      </c>
      <c r="H606">
        <v>5882.5</v>
      </c>
      <c r="I606" s="30" t="s">
        <v>16</v>
      </c>
      <c r="J606" s="30" t="s">
        <v>544</v>
      </c>
      <c r="K606">
        <v>6</v>
      </c>
      <c r="L606" s="29">
        <v>46080</v>
      </c>
      <c r="M606" s="29">
        <v>46064</v>
      </c>
      <c r="N606" s="30" t="str">
        <f>VLOOKUP(Query1[[#This Row],[company_name]],'Org Mapping'!$B:$I,8,FALSE)</f>
        <v>UHG/Lenovo</v>
      </c>
      <c r="O606" s="30" t="str">
        <f>TEXT(Query1[[#This Row],[last_work_day]],"mmm'yy")</f>
        <v>Feb'26</v>
      </c>
    </row>
    <row r="607" spans="1:15" x14ac:dyDescent="0.35">
      <c r="A607" s="30" t="s">
        <v>429</v>
      </c>
      <c r="B607" s="30" t="s">
        <v>65</v>
      </c>
      <c r="C607" s="30" t="s">
        <v>2253</v>
      </c>
      <c r="D607">
        <v>1</v>
      </c>
      <c r="E607" s="30" t="s">
        <v>2254</v>
      </c>
      <c r="F607" s="29">
        <v>45901</v>
      </c>
      <c r="G607">
        <v>25882.5</v>
      </c>
      <c r="H607">
        <v>5882.5</v>
      </c>
      <c r="I607" s="30" t="s">
        <v>21</v>
      </c>
      <c r="J607" s="30" t="s">
        <v>544</v>
      </c>
      <c r="K607">
        <v>6</v>
      </c>
      <c r="L607" s="29">
        <v>46034</v>
      </c>
      <c r="M607" s="29">
        <v>46034</v>
      </c>
      <c r="N607" s="30" t="str">
        <f>VLOOKUP(Query1[[#This Row],[company_name]],'Org Mapping'!$B:$I,8,FALSE)</f>
        <v>UHG/Lenovo</v>
      </c>
      <c r="O607" s="30" t="str">
        <f>TEXT(Query1[[#This Row],[last_work_day]],"mmm'yy")</f>
        <v>Jan'26</v>
      </c>
    </row>
    <row r="608" spans="1:15" x14ac:dyDescent="0.35">
      <c r="A608" s="30" t="s">
        <v>551</v>
      </c>
      <c r="B608" s="30" t="s">
        <v>65</v>
      </c>
      <c r="C608" s="30" t="s">
        <v>2255</v>
      </c>
      <c r="D608">
        <v>1</v>
      </c>
      <c r="E608" s="30" t="s">
        <v>2256</v>
      </c>
      <c r="F608" s="29">
        <v>45873</v>
      </c>
      <c r="G608">
        <v>25882.5</v>
      </c>
      <c r="H608">
        <v>5882.5</v>
      </c>
      <c r="I608" s="30" t="s">
        <v>16</v>
      </c>
      <c r="J608" s="30" t="s">
        <v>544</v>
      </c>
      <c r="K608">
        <v>6</v>
      </c>
      <c r="L608" s="29">
        <v>46080</v>
      </c>
      <c r="M608" s="29">
        <v>46064</v>
      </c>
      <c r="N608" s="30" t="str">
        <f>VLOOKUP(Query1[[#This Row],[company_name]],'Org Mapping'!$B:$I,8,FALSE)</f>
        <v>UHG/Lenovo</v>
      </c>
      <c r="O608" s="30" t="str">
        <f>TEXT(Query1[[#This Row],[last_work_day]],"mmm'yy")</f>
        <v>Feb'26</v>
      </c>
    </row>
    <row r="609" spans="1:15" x14ac:dyDescent="0.35">
      <c r="A609" s="30" t="s">
        <v>542</v>
      </c>
      <c r="B609" s="30" t="s">
        <v>65</v>
      </c>
      <c r="C609" s="30" t="s">
        <v>2257</v>
      </c>
      <c r="D609">
        <v>1</v>
      </c>
      <c r="E609" s="30" t="s">
        <v>2258</v>
      </c>
      <c r="F609" s="29">
        <v>45880</v>
      </c>
      <c r="G609">
        <v>25882.5</v>
      </c>
      <c r="H609">
        <v>5882.5</v>
      </c>
      <c r="I609" s="30" t="s">
        <v>37</v>
      </c>
      <c r="J609" s="30" t="s">
        <v>544</v>
      </c>
      <c r="K609">
        <v>6</v>
      </c>
      <c r="L609" s="29">
        <v>46050</v>
      </c>
      <c r="M609" s="29">
        <v>46038</v>
      </c>
      <c r="N609" s="30" t="str">
        <f>VLOOKUP(Query1[[#This Row],[company_name]],'Org Mapping'!$B:$I,8,FALSE)</f>
        <v>UHG/Lenovo</v>
      </c>
      <c r="O609" s="30" t="str">
        <f>TEXT(Query1[[#This Row],[last_work_day]],"mmm'yy")</f>
        <v>Jan'26</v>
      </c>
    </row>
    <row r="610" spans="1:15" x14ac:dyDescent="0.35">
      <c r="A610" s="30" t="s">
        <v>151</v>
      </c>
      <c r="B610" s="30" t="s">
        <v>65</v>
      </c>
      <c r="C610" s="30" t="s">
        <v>2259</v>
      </c>
      <c r="D610">
        <v>1</v>
      </c>
      <c r="E610" s="30" t="s">
        <v>2260</v>
      </c>
      <c r="F610" s="29">
        <v>45880</v>
      </c>
      <c r="G610">
        <v>25882.5</v>
      </c>
      <c r="H610">
        <v>5882.5</v>
      </c>
      <c r="I610" s="30" t="s">
        <v>16</v>
      </c>
      <c r="J610" s="30" t="s">
        <v>544</v>
      </c>
      <c r="K610">
        <v>6</v>
      </c>
      <c r="L610" s="29">
        <v>46059</v>
      </c>
      <c r="M610" s="29">
        <v>46050</v>
      </c>
      <c r="N610" s="30" t="str">
        <f>VLOOKUP(Query1[[#This Row],[company_name]],'Org Mapping'!$B:$I,8,FALSE)</f>
        <v>UHG/Lenovo</v>
      </c>
      <c r="O610" s="30" t="str">
        <f>TEXT(Query1[[#This Row],[last_work_day]],"mmm'yy")</f>
        <v>Feb'26</v>
      </c>
    </row>
    <row r="611" spans="1:15" x14ac:dyDescent="0.35">
      <c r="A611" s="30" t="s">
        <v>151</v>
      </c>
      <c r="B611" s="30" t="s">
        <v>65</v>
      </c>
      <c r="C611" s="30" t="s">
        <v>2261</v>
      </c>
      <c r="D611">
        <v>1</v>
      </c>
      <c r="E611" s="30" t="s">
        <v>2262</v>
      </c>
      <c r="F611" s="29">
        <v>45880</v>
      </c>
      <c r="G611">
        <v>25882.5</v>
      </c>
      <c r="H611">
        <v>5882.5</v>
      </c>
      <c r="I611" s="30" t="s">
        <v>16</v>
      </c>
      <c r="J611" s="30" t="s">
        <v>544</v>
      </c>
      <c r="K611">
        <v>6</v>
      </c>
      <c r="L611" s="29">
        <v>46059</v>
      </c>
      <c r="M611" s="29">
        <v>46050</v>
      </c>
      <c r="N611" s="30" t="str">
        <f>VLOOKUP(Query1[[#This Row],[company_name]],'Org Mapping'!$B:$I,8,FALSE)</f>
        <v>UHG/Lenovo</v>
      </c>
      <c r="O611" s="30" t="str">
        <f>TEXT(Query1[[#This Row],[last_work_day]],"mmm'yy")</f>
        <v>Feb'26</v>
      </c>
    </row>
    <row r="612" spans="1:15" x14ac:dyDescent="0.35">
      <c r="A612" s="30" t="s">
        <v>542</v>
      </c>
      <c r="B612" s="30" t="s">
        <v>65</v>
      </c>
      <c r="C612" s="30" t="s">
        <v>2263</v>
      </c>
      <c r="D612">
        <v>1</v>
      </c>
      <c r="E612" s="30" t="s">
        <v>2264</v>
      </c>
      <c r="F612" s="29">
        <v>45880</v>
      </c>
      <c r="G612">
        <v>25882.5</v>
      </c>
      <c r="H612">
        <v>5882.5</v>
      </c>
      <c r="I612" s="30" t="s">
        <v>37</v>
      </c>
      <c r="J612" s="30" t="s">
        <v>544</v>
      </c>
      <c r="K612">
        <v>6</v>
      </c>
      <c r="L612" s="29">
        <v>46050</v>
      </c>
      <c r="M612" s="29">
        <v>46038</v>
      </c>
      <c r="N612" s="30" t="str">
        <f>VLOOKUP(Query1[[#This Row],[company_name]],'Org Mapping'!$B:$I,8,FALSE)</f>
        <v>UHG/Lenovo</v>
      </c>
      <c r="O612" s="30" t="str">
        <f>TEXT(Query1[[#This Row],[last_work_day]],"mmm'yy")</f>
        <v>Jan'26</v>
      </c>
    </row>
    <row r="613" spans="1:15" x14ac:dyDescent="0.35">
      <c r="A613" s="30" t="s">
        <v>151</v>
      </c>
      <c r="B613" s="30" t="s">
        <v>65</v>
      </c>
      <c r="C613" s="30" t="s">
        <v>2265</v>
      </c>
      <c r="D613">
        <v>1</v>
      </c>
      <c r="E613" s="30" t="s">
        <v>2266</v>
      </c>
      <c r="F613" s="29">
        <v>45901</v>
      </c>
      <c r="G613">
        <v>25882.5</v>
      </c>
      <c r="H613">
        <v>5882.5</v>
      </c>
      <c r="I613" s="30" t="s">
        <v>21</v>
      </c>
      <c r="J613" s="30" t="s">
        <v>544</v>
      </c>
      <c r="K613">
        <v>6</v>
      </c>
      <c r="L613" s="29">
        <v>46034</v>
      </c>
      <c r="M613" s="29">
        <v>46034</v>
      </c>
      <c r="N613" s="30" t="str">
        <f>VLOOKUP(Query1[[#This Row],[company_name]],'Org Mapping'!$B:$I,8,FALSE)</f>
        <v>UHG/Lenovo</v>
      </c>
      <c r="O613" s="30" t="str">
        <f>TEXT(Query1[[#This Row],[last_work_day]],"mmm'yy")</f>
        <v>Jan'26</v>
      </c>
    </row>
    <row r="614" spans="1:15" x14ac:dyDescent="0.35">
      <c r="A614" s="30" t="s">
        <v>551</v>
      </c>
      <c r="B614" s="30" t="s">
        <v>65</v>
      </c>
      <c r="C614" s="30" t="s">
        <v>2267</v>
      </c>
      <c r="D614">
        <v>1</v>
      </c>
      <c r="E614" s="30" t="s">
        <v>2268</v>
      </c>
      <c r="F614" s="29">
        <v>45873</v>
      </c>
      <c r="G614">
        <v>25882.5</v>
      </c>
      <c r="H614">
        <v>5882.5</v>
      </c>
      <c r="I614" s="30" t="s">
        <v>16</v>
      </c>
      <c r="J614" s="30" t="s">
        <v>544</v>
      </c>
      <c r="K614">
        <v>6</v>
      </c>
      <c r="L614" s="29">
        <v>46052</v>
      </c>
      <c r="M614" s="29">
        <v>46042</v>
      </c>
      <c r="N614" s="30" t="str">
        <f>VLOOKUP(Query1[[#This Row],[company_name]],'Org Mapping'!$B:$I,8,FALSE)</f>
        <v>UHG/Lenovo</v>
      </c>
      <c r="O614" s="30" t="str">
        <f>TEXT(Query1[[#This Row],[last_work_day]],"mmm'yy")</f>
        <v>Jan'26</v>
      </c>
    </row>
    <row r="615" spans="1:15" x14ac:dyDescent="0.35">
      <c r="A615" s="30" t="s">
        <v>542</v>
      </c>
      <c r="B615" s="30" t="s">
        <v>65</v>
      </c>
      <c r="C615" s="30" t="s">
        <v>2269</v>
      </c>
      <c r="D615">
        <v>1</v>
      </c>
      <c r="E615" s="30" t="s">
        <v>2270</v>
      </c>
      <c r="F615" s="29">
        <v>45880</v>
      </c>
      <c r="G615">
        <v>25882.5</v>
      </c>
      <c r="H615">
        <v>5882.5</v>
      </c>
      <c r="I615" s="30" t="s">
        <v>16</v>
      </c>
      <c r="J615" s="30" t="s">
        <v>544</v>
      </c>
      <c r="K615">
        <v>6</v>
      </c>
      <c r="L615" s="29">
        <v>46059</v>
      </c>
      <c r="M615" s="29">
        <v>46050</v>
      </c>
      <c r="N615" s="30" t="str">
        <f>VLOOKUP(Query1[[#This Row],[company_name]],'Org Mapping'!$B:$I,8,FALSE)</f>
        <v>UHG/Lenovo</v>
      </c>
      <c r="O615" s="30" t="str">
        <f>TEXT(Query1[[#This Row],[last_work_day]],"mmm'yy")</f>
        <v>Feb'26</v>
      </c>
    </row>
    <row r="616" spans="1:15" x14ac:dyDescent="0.35">
      <c r="A616" s="30" t="s">
        <v>151</v>
      </c>
      <c r="B616" s="30" t="s">
        <v>65</v>
      </c>
      <c r="C616" s="30" t="s">
        <v>2271</v>
      </c>
      <c r="D616">
        <v>1</v>
      </c>
      <c r="E616" s="30" t="s">
        <v>2272</v>
      </c>
      <c r="F616" s="29">
        <v>45873</v>
      </c>
      <c r="G616">
        <v>25882.5</v>
      </c>
      <c r="H616">
        <v>5882.5</v>
      </c>
      <c r="I616" s="30" t="s">
        <v>16</v>
      </c>
      <c r="J616" s="30" t="s">
        <v>544</v>
      </c>
      <c r="K616">
        <v>6</v>
      </c>
      <c r="L616" s="29">
        <v>46052</v>
      </c>
      <c r="M616" s="29">
        <v>46042</v>
      </c>
      <c r="N616" s="30" t="str">
        <f>VLOOKUP(Query1[[#This Row],[company_name]],'Org Mapping'!$B:$I,8,FALSE)</f>
        <v>UHG/Lenovo</v>
      </c>
      <c r="O616" s="30" t="str">
        <f>TEXT(Query1[[#This Row],[last_work_day]],"mmm'yy")</f>
        <v>Jan'26</v>
      </c>
    </row>
    <row r="617" spans="1:15" x14ac:dyDescent="0.35">
      <c r="A617" s="30" t="s">
        <v>360</v>
      </c>
      <c r="B617" s="30" t="s">
        <v>65</v>
      </c>
      <c r="C617" s="30" t="s">
        <v>2273</v>
      </c>
      <c r="D617">
        <v>1</v>
      </c>
      <c r="E617" s="30" t="s">
        <v>2274</v>
      </c>
      <c r="F617" s="29">
        <v>45901</v>
      </c>
      <c r="G617">
        <v>24097.5</v>
      </c>
      <c r="H617">
        <v>4097.5</v>
      </c>
      <c r="I617" s="30" t="s">
        <v>16</v>
      </c>
      <c r="J617" s="30" t="s">
        <v>544</v>
      </c>
      <c r="K617">
        <v>6</v>
      </c>
      <c r="L617" s="29">
        <v>46080</v>
      </c>
      <c r="M617" s="29">
        <v>46064</v>
      </c>
      <c r="N617" s="30" t="str">
        <f>VLOOKUP(Query1[[#This Row],[company_name]],'Org Mapping'!$B:$I,8,FALSE)</f>
        <v>UHG/Lenovo</v>
      </c>
      <c r="O617" s="30" t="str">
        <f>TEXT(Query1[[#This Row],[last_work_day]],"mmm'yy")</f>
        <v>Feb'26</v>
      </c>
    </row>
    <row r="618" spans="1:15" x14ac:dyDescent="0.35">
      <c r="A618" s="30" t="s">
        <v>550</v>
      </c>
      <c r="B618" s="30" t="s">
        <v>65</v>
      </c>
      <c r="C618" s="30" t="s">
        <v>2275</v>
      </c>
      <c r="D618">
        <v>1</v>
      </c>
      <c r="E618" s="30" t="s">
        <v>2276</v>
      </c>
      <c r="F618" s="29">
        <v>45901</v>
      </c>
      <c r="G618">
        <v>25882.5</v>
      </c>
      <c r="H618">
        <v>5882.5</v>
      </c>
      <c r="I618" s="30" t="s">
        <v>37</v>
      </c>
      <c r="J618" s="30" t="s">
        <v>544</v>
      </c>
      <c r="K618">
        <v>6</v>
      </c>
      <c r="L618" s="29">
        <v>46052</v>
      </c>
      <c r="M618" s="29">
        <v>46042</v>
      </c>
      <c r="N618" s="30" t="str">
        <f>VLOOKUP(Query1[[#This Row],[company_name]],'Org Mapping'!$B:$I,8,FALSE)</f>
        <v>UHG/Lenovo</v>
      </c>
      <c r="O618" s="30" t="str">
        <f>TEXT(Query1[[#This Row],[last_work_day]],"mmm'yy")</f>
        <v>Jan'26</v>
      </c>
    </row>
    <row r="619" spans="1:15" x14ac:dyDescent="0.35">
      <c r="A619" s="30" t="s">
        <v>593</v>
      </c>
      <c r="B619" s="30" t="s">
        <v>2169</v>
      </c>
      <c r="C619" s="30" t="s">
        <v>2277</v>
      </c>
      <c r="D619">
        <v>2</v>
      </c>
      <c r="E619" s="30" t="s">
        <v>2278</v>
      </c>
      <c r="F619" s="29">
        <v>45854</v>
      </c>
      <c r="G619">
        <v>156450</v>
      </c>
      <c r="H619">
        <v>56450</v>
      </c>
      <c r="I619" s="30" t="s">
        <v>91</v>
      </c>
      <c r="J619" s="30" t="s">
        <v>560</v>
      </c>
      <c r="K619">
        <v>6</v>
      </c>
      <c r="L619" s="29">
        <v>46059</v>
      </c>
      <c r="M619" s="29">
        <v>46058</v>
      </c>
      <c r="N619" s="30" t="str">
        <f>VLOOKUP(Query1[[#This Row],[company_name]],'Org Mapping'!$B:$I,8,FALSE)</f>
        <v>Prathap Sagar</v>
      </c>
      <c r="O619" s="30" t="str">
        <f>TEXT(Query1[[#This Row],[last_work_day]],"mmm'yy")</f>
        <v>Feb'26</v>
      </c>
    </row>
    <row r="620" spans="1:15" x14ac:dyDescent="0.35">
      <c r="A620" s="30" t="s">
        <v>555</v>
      </c>
      <c r="B620" s="30" t="s">
        <v>65</v>
      </c>
      <c r="C620" s="30" t="s">
        <v>2279</v>
      </c>
      <c r="D620">
        <v>1</v>
      </c>
      <c r="E620" s="30" t="s">
        <v>2280</v>
      </c>
      <c r="F620" s="29">
        <v>45880</v>
      </c>
      <c r="G620">
        <v>25882.5</v>
      </c>
      <c r="H620">
        <v>5882.5</v>
      </c>
      <c r="I620" s="30" t="s">
        <v>16</v>
      </c>
      <c r="J620" s="30" t="s">
        <v>544</v>
      </c>
      <c r="K620">
        <v>6</v>
      </c>
      <c r="L620" s="29">
        <v>46059</v>
      </c>
      <c r="M620" s="29">
        <v>46050</v>
      </c>
      <c r="N620" s="30" t="str">
        <f>VLOOKUP(Query1[[#This Row],[company_name]],'Org Mapping'!$B:$I,8,FALSE)</f>
        <v>UHG/Lenovo</v>
      </c>
      <c r="O620" s="30" t="str">
        <f>TEXT(Query1[[#This Row],[last_work_day]],"mmm'yy")</f>
        <v>Feb'26</v>
      </c>
    </row>
    <row r="621" spans="1:15" x14ac:dyDescent="0.35">
      <c r="A621" s="30" t="s">
        <v>542</v>
      </c>
      <c r="B621" s="30" t="s">
        <v>65</v>
      </c>
      <c r="C621" s="30" t="s">
        <v>2281</v>
      </c>
      <c r="D621">
        <v>1</v>
      </c>
      <c r="E621" s="30" t="s">
        <v>2282</v>
      </c>
      <c r="F621" s="29">
        <v>45880</v>
      </c>
      <c r="G621">
        <v>25882.5</v>
      </c>
      <c r="H621">
        <v>5882.5</v>
      </c>
      <c r="I621" s="30" t="s">
        <v>16</v>
      </c>
      <c r="J621" s="30" t="s">
        <v>544</v>
      </c>
      <c r="K621">
        <v>6</v>
      </c>
      <c r="L621" s="29">
        <v>46059</v>
      </c>
      <c r="M621" s="29">
        <v>46050</v>
      </c>
      <c r="N621" s="30" t="str">
        <f>VLOOKUP(Query1[[#This Row],[company_name]],'Org Mapping'!$B:$I,8,FALSE)</f>
        <v>UHG/Lenovo</v>
      </c>
      <c r="O621" s="30" t="str">
        <f>TEXT(Query1[[#This Row],[last_work_day]],"mmm'yy")</f>
        <v>Feb'26</v>
      </c>
    </row>
    <row r="622" spans="1:15" x14ac:dyDescent="0.35">
      <c r="A622" s="30" t="s">
        <v>542</v>
      </c>
      <c r="B622" s="30" t="s">
        <v>65</v>
      </c>
      <c r="C622" s="30" t="s">
        <v>2283</v>
      </c>
      <c r="D622">
        <v>1</v>
      </c>
      <c r="E622" s="30" t="s">
        <v>2284</v>
      </c>
      <c r="F622" s="29">
        <v>45901</v>
      </c>
      <c r="G622">
        <v>25882.5</v>
      </c>
      <c r="H622">
        <v>5882.5</v>
      </c>
      <c r="I622" s="30" t="s">
        <v>16</v>
      </c>
      <c r="J622" s="30" t="s">
        <v>544</v>
      </c>
      <c r="K622">
        <v>6</v>
      </c>
      <c r="L622" s="29">
        <v>46080</v>
      </c>
      <c r="M622" s="29">
        <v>46064</v>
      </c>
      <c r="N622" s="30" t="str">
        <f>VLOOKUP(Query1[[#This Row],[company_name]],'Org Mapping'!$B:$I,8,FALSE)</f>
        <v>UHG/Lenovo</v>
      </c>
      <c r="O622" s="30" t="str">
        <f>TEXT(Query1[[#This Row],[last_work_day]],"mmm'yy")</f>
        <v>Feb'26</v>
      </c>
    </row>
    <row r="623" spans="1:15" x14ac:dyDescent="0.35">
      <c r="A623" s="30" t="s">
        <v>551</v>
      </c>
      <c r="B623" s="30" t="s">
        <v>65</v>
      </c>
      <c r="C623" s="30" t="s">
        <v>2285</v>
      </c>
      <c r="D623">
        <v>1</v>
      </c>
      <c r="E623" s="30" t="s">
        <v>2286</v>
      </c>
      <c r="F623" s="29">
        <v>45880</v>
      </c>
      <c r="G623">
        <v>25882.5</v>
      </c>
      <c r="H623">
        <v>5882.5</v>
      </c>
      <c r="I623" s="30" t="s">
        <v>37</v>
      </c>
      <c r="J623" s="30" t="s">
        <v>544</v>
      </c>
      <c r="K623">
        <v>6</v>
      </c>
      <c r="L623" s="29">
        <v>46050</v>
      </c>
      <c r="M623" s="29">
        <v>46038</v>
      </c>
      <c r="N623" s="30" t="str">
        <f>VLOOKUP(Query1[[#This Row],[company_name]],'Org Mapping'!$B:$I,8,FALSE)</f>
        <v>UHG/Lenovo</v>
      </c>
      <c r="O623" s="30" t="str">
        <f>TEXT(Query1[[#This Row],[last_work_day]],"mmm'yy")</f>
        <v>Jan'26</v>
      </c>
    </row>
    <row r="624" spans="1:15" x14ac:dyDescent="0.35">
      <c r="A624" s="30" t="s">
        <v>550</v>
      </c>
      <c r="B624" s="30" t="s">
        <v>65</v>
      </c>
      <c r="C624" s="30" t="s">
        <v>2287</v>
      </c>
      <c r="D624">
        <v>1</v>
      </c>
      <c r="E624" s="30" t="s">
        <v>2288</v>
      </c>
      <c r="F624" s="29">
        <v>45880</v>
      </c>
      <c r="G624">
        <v>25882.5</v>
      </c>
      <c r="H624">
        <v>5882.5</v>
      </c>
      <c r="I624" s="30" t="s">
        <v>37</v>
      </c>
      <c r="J624" s="30" t="s">
        <v>544</v>
      </c>
      <c r="K624">
        <v>6</v>
      </c>
      <c r="L624" s="29">
        <v>46050</v>
      </c>
      <c r="M624" s="29">
        <v>46038</v>
      </c>
      <c r="N624" s="30" t="str">
        <f>VLOOKUP(Query1[[#This Row],[company_name]],'Org Mapping'!$B:$I,8,FALSE)</f>
        <v>UHG/Lenovo</v>
      </c>
      <c r="O624" s="30" t="str">
        <f>TEXT(Query1[[#This Row],[last_work_day]],"mmm'yy")</f>
        <v>Jan'26</v>
      </c>
    </row>
    <row r="625" spans="1:15" x14ac:dyDescent="0.35">
      <c r="A625" s="30" t="s">
        <v>550</v>
      </c>
      <c r="B625" s="30" t="s">
        <v>65</v>
      </c>
      <c r="C625" s="30" t="s">
        <v>2289</v>
      </c>
      <c r="D625">
        <v>1</v>
      </c>
      <c r="E625" s="30" t="s">
        <v>2290</v>
      </c>
      <c r="F625" s="29">
        <v>45880</v>
      </c>
      <c r="G625">
        <v>25882.5</v>
      </c>
      <c r="H625">
        <v>5882.5</v>
      </c>
      <c r="I625" s="30" t="s">
        <v>37</v>
      </c>
      <c r="J625" s="30" t="s">
        <v>544</v>
      </c>
      <c r="K625">
        <v>6</v>
      </c>
      <c r="L625" s="29">
        <v>46050</v>
      </c>
      <c r="M625" s="29">
        <v>46038</v>
      </c>
      <c r="N625" s="30" t="str">
        <f>VLOOKUP(Query1[[#This Row],[company_name]],'Org Mapping'!$B:$I,8,FALSE)</f>
        <v>UHG/Lenovo</v>
      </c>
      <c r="O625" s="30" t="str">
        <f>TEXT(Query1[[#This Row],[last_work_day]],"mmm'yy")</f>
        <v>Jan'26</v>
      </c>
    </row>
    <row r="626" spans="1:15" x14ac:dyDescent="0.35">
      <c r="A626" s="30" t="s">
        <v>550</v>
      </c>
      <c r="B626" s="30" t="s">
        <v>65</v>
      </c>
      <c r="C626" s="30" t="s">
        <v>2291</v>
      </c>
      <c r="D626">
        <v>1</v>
      </c>
      <c r="E626" s="30" t="s">
        <v>2292</v>
      </c>
      <c r="F626" s="29">
        <v>45880</v>
      </c>
      <c r="G626">
        <v>25882.5</v>
      </c>
      <c r="H626">
        <v>5882.5</v>
      </c>
      <c r="I626" s="30" t="s">
        <v>16</v>
      </c>
      <c r="J626" s="30" t="s">
        <v>544</v>
      </c>
      <c r="K626">
        <v>6</v>
      </c>
      <c r="L626" s="29">
        <v>46059</v>
      </c>
      <c r="M626" s="29">
        <v>46050</v>
      </c>
      <c r="N626" s="30" t="str">
        <f>VLOOKUP(Query1[[#This Row],[company_name]],'Org Mapping'!$B:$I,8,FALSE)</f>
        <v>UHG/Lenovo</v>
      </c>
      <c r="O626" s="30" t="str">
        <f>TEXT(Query1[[#This Row],[last_work_day]],"mmm'yy")</f>
        <v>Feb'26</v>
      </c>
    </row>
    <row r="627" spans="1:15" x14ac:dyDescent="0.35">
      <c r="A627" s="30" t="s">
        <v>542</v>
      </c>
      <c r="B627" s="30" t="s">
        <v>65</v>
      </c>
      <c r="C627" s="30" t="s">
        <v>2293</v>
      </c>
      <c r="D627">
        <v>1</v>
      </c>
      <c r="E627" s="30" t="s">
        <v>2294</v>
      </c>
      <c r="F627" s="29">
        <v>45873</v>
      </c>
      <c r="G627">
        <v>25882.5</v>
      </c>
      <c r="H627">
        <v>5882.5</v>
      </c>
      <c r="I627" s="30" t="s">
        <v>16</v>
      </c>
      <c r="J627" s="30" t="s">
        <v>544</v>
      </c>
      <c r="K627">
        <v>6</v>
      </c>
      <c r="L627" s="29">
        <v>46052</v>
      </c>
      <c r="M627" s="29">
        <v>46042</v>
      </c>
      <c r="N627" s="30" t="str">
        <f>VLOOKUP(Query1[[#This Row],[company_name]],'Org Mapping'!$B:$I,8,FALSE)</f>
        <v>UHG/Lenovo</v>
      </c>
      <c r="O627" s="30" t="str">
        <f>TEXT(Query1[[#This Row],[last_work_day]],"mmm'yy")</f>
        <v>Jan'26</v>
      </c>
    </row>
    <row r="628" spans="1:15" x14ac:dyDescent="0.35">
      <c r="A628" s="30" t="s">
        <v>550</v>
      </c>
      <c r="B628" s="30" t="s">
        <v>65</v>
      </c>
      <c r="C628" s="30" t="s">
        <v>2295</v>
      </c>
      <c r="D628">
        <v>1</v>
      </c>
      <c r="E628" s="30" t="s">
        <v>2296</v>
      </c>
      <c r="F628" s="29">
        <v>45903</v>
      </c>
      <c r="G628">
        <v>25882.5</v>
      </c>
      <c r="H628">
        <v>5882.5</v>
      </c>
      <c r="I628" s="30" t="s">
        <v>37</v>
      </c>
      <c r="J628" s="30" t="s">
        <v>544</v>
      </c>
      <c r="K628">
        <v>6</v>
      </c>
      <c r="L628" s="29">
        <v>46064</v>
      </c>
      <c r="M628" s="29">
        <v>46057</v>
      </c>
      <c r="N628" s="30" t="str">
        <f>VLOOKUP(Query1[[#This Row],[company_name]],'Org Mapping'!$B:$I,8,FALSE)</f>
        <v>UHG/Lenovo</v>
      </c>
      <c r="O628" s="30" t="str">
        <f>TEXT(Query1[[#This Row],[last_work_day]],"mmm'yy")</f>
        <v>Feb'26</v>
      </c>
    </row>
    <row r="629" spans="1:15" x14ac:dyDescent="0.35">
      <c r="A629" s="30" t="s">
        <v>98</v>
      </c>
      <c r="B629" s="30" t="s">
        <v>65</v>
      </c>
      <c r="C629" s="30" t="s">
        <v>594</v>
      </c>
      <c r="D629">
        <v>2</v>
      </c>
      <c r="E629" s="30" t="s">
        <v>595</v>
      </c>
      <c r="F629" s="29">
        <v>45855</v>
      </c>
      <c r="G629">
        <v>23718</v>
      </c>
      <c r="H629">
        <v>3618</v>
      </c>
      <c r="I629" s="30" t="s">
        <v>37</v>
      </c>
      <c r="J629" s="30" t="s">
        <v>76</v>
      </c>
      <c r="K629">
        <v>6</v>
      </c>
      <c r="L629" s="29">
        <v>46024</v>
      </c>
      <c r="M629" s="29">
        <v>45995</v>
      </c>
      <c r="N629" s="30" t="str">
        <f>VLOOKUP(Query1[[#This Row],[company_name]],'Org Mapping'!$B:$I,8,FALSE)</f>
        <v>Jawad Ulla Khan</v>
      </c>
      <c r="O629" s="30" t="str">
        <f>TEXT(Query1[[#This Row],[last_work_day]],"mmm'yy")</f>
        <v>Jan'26</v>
      </c>
    </row>
    <row r="630" spans="1:15" x14ac:dyDescent="0.35">
      <c r="A630" s="30" t="s">
        <v>390</v>
      </c>
      <c r="B630" s="30" t="s">
        <v>65</v>
      </c>
      <c r="C630" s="30" t="s">
        <v>2297</v>
      </c>
      <c r="D630">
        <v>1</v>
      </c>
      <c r="E630" s="30" t="s">
        <v>2298</v>
      </c>
      <c r="F630" s="29">
        <v>45901</v>
      </c>
      <c r="G630">
        <v>25882.5</v>
      </c>
      <c r="H630">
        <v>5882.5</v>
      </c>
      <c r="I630" s="30" t="s">
        <v>37</v>
      </c>
      <c r="J630" s="30" t="s">
        <v>544</v>
      </c>
      <c r="K630">
        <v>6</v>
      </c>
      <c r="L630" s="29">
        <v>46050</v>
      </c>
      <c r="M630" s="29">
        <v>46050</v>
      </c>
      <c r="N630" s="30" t="str">
        <f>VLOOKUP(Query1[[#This Row],[company_name]],'Org Mapping'!$B:$I,8,FALSE)</f>
        <v>UHG/Lenovo</v>
      </c>
      <c r="O630" s="30" t="str">
        <f>TEXT(Query1[[#This Row],[last_work_day]],"mmm'yy")</f>
        <v>Jan'26</v>
      </c>
    </row>
    <row r="631" spans="1:15" x14ac:dyDescent="0.35">
      <c r="A631" s="30" t="s">
        <v>390</v>
      </c>
      <c r="B631" s="30" t="s">
        <v>65</v>
      </c>
      <c r="C631" s="30" t="s">
        <v>596</v>
      </c>
      <c r="D631">
        <v>2</v>
      </c>
      <c r="E631" s="30" t="s">
        <v>597</v>
      </c>
      <c r="F631" s="29">
        <v>45855</v>
      </c>
      <c r="G631">
        <v>23718</v>
      </c>
      <c r="H631">
        <v>3618</v>
      </c>
      <c r="I631" s="30" t="s">
        <v>26</v>
      </c>
      <c r="J631" s="30" t="s">
        <v>76</v>
      </c>
      <c r="K631">
        <v>6</v>
      </c>
      <c r="L631" s="29">
        <v>46148</v>
      </c>
      <c r="M631" s="29">
        <v>45986</v>
      </c>
      <c r="N631" s="30" t="str">
        <f>VLOOKUP(Query1[[#This Row],[company_name]],'Org Mapping'!$B:$I,8,FALSE)</f>
        <v>Jawad Ulla Khan</v>
      </c>
      <c r="O631" s="30" t="str">
        <f>TEXT(Query1[[#This Row],[last_work_day]],"mmm'yy")</f>
        <v>May'26</v>
      </c>
    </row>
    <row r="632" spans="1:15" x14ac:dyDescent="0.35">
      <c r="A632" s="30" t="s">
        <v>551</v>
      </c>
      <c r="B632" s="30" t="s">
        <v>65</v>
      </c>
      <c r="C632" s="30" t="s">
        <v>2299</v>
      </c>
      <c r="D632">
        <v>1</v>
      </c>
      <c r="E632" s="30" t="s">
        <v>2300</v>
      </c>
      <c r="F632" s="29">
        <v>45880</v>
      </c>
      <c r="G632">
        <v>25882.5</v>
      </c>
      <c r="H632">
        <v>5882.5</v>
      </c>
      <c r="I632" s="30" t="s">
        <v>37</v>
      </c>
      <c r="J632" s="30" t="s">
        <v>544</v>
      </c>
      <c r="K632">
        <v>6</v>
      </c>
      <c r="L632" s="29">
        <v>46050</v>
      </c>
      <c r="M632" s="29">
        <v>46038</v>
      </c>
      <c r="N632" s="30" t="str">
        <f>VLOOKUP(Query1[[#This Row],[company_name]],'Org Mapping'!$B:$I,8,FALSE)</f>
        <v>UHG/Lenovo</v>
      </c>
      <c r="O632" s="30" t="str">
        <f>TEXT(Query1[[#This Row],[last_work_day]],"mmm'yy")</f>
        <v>Jan'26</v>
      </c>
    </row>
    <row r="633" spans="1:15" x14ac:dyDescent="0.35">
      <c r="A633" s="30" t="s">
        <v>542</v>
      </c>
      <c r="B633" s="30" t="s">
        <v>65</v>
      </c>
      <c r="C633" s="30" t="s">
        <v>2301</v>
      </c>
      <c r="D633">
        <v>1</v>
      </c>
      <c r="E633" s="30" t="s">
        <v>2302</v>
      </c>
      <c r="F633" s="29">
        <v>45880</v>
      </c>
      <c r="G633">
        <v>25882.5</v>
      </c>
      <c r="H633">
        <v>5882.5</v>
      </c>
      <c r="I633" s="30" t="s">
        <v>16</v>
      </c>
      <c r="J633" s="30" t="s">
        <v>544</v>
      </c>
      <c r="K633">
        <v>6</v>
      </c>
      <c r="L633" s="29">
        <v>46059</v>
      </c>
      <c r="M633" s="29">
        <v>46050</v>
      </c>
      <c r="N633" s="30" t="str">
        <f>VLOOKUP(Query1[[#This Row],[company_name]],'Org Mapping'!$B:$I,8,FALSE)</f>
        <v>UHG/Lenovo</v>
      </c>
      <c r="O633" s="30" t="str">
        <f>TEXT(Query1[[#This Row],[last_work_day]],"mmm'yy")</f>
        <v>Feb'26</v>
      </c>
    </row>
    <row r="634" spans="1:15" x14ac:dyDescent="0.35">
      <c r="A634" s="30" t="s">
        <v>2303</v>
      </c>
      <c r="B634" s="30" t="s">
        <v>1494</v>
      </c>
      <c r="C634" s="30" t="s">
        <v>2304</v>
      </c>
      <c r="D634">
        <v>1</v>
      </c>
      <c r="E634" s="30" t="s">
        <v>2305</v>
      </c>
      <c r="F634" s="29">
        <v>45866</v>
      </c>
      <c r="G634">
        <v>46683</v>
      </c>
      <c r="H634">
        <v>13350</v>
      </c>
      <c r="I634" s="30" t="s">
        <v>26</v>
      </c>
      <c r="J634" s="30" t="s">
        <v>119</v>
      </c>
      <c r="K634">
        <v>6</v>
      </c>
      <c r="L634" s="29">
        <v>46027</v>
      </c>
      <c r="M634" s="29">
        <v>45999</v>
      </c>
      <c r="N634" s="30" t="str">
        <f>VLOOKUP(Query1[[#This Row],[company_name]],'Org Mapping'!$B:$I,8,FALSE)</f>
        <v>Anuradha</v>
      </c>
      <c r="O634" s="30" t="str">
        <f>TEXT(Query1[[#This Row],[last_work_day]],"mmm'yy")</f>
        <v>Jan'26</v>
      </c>
    </row>
    <row r="635" spans="1:15" x14ac:dyDescent="0.35">
      <c r="A635" s="30" t="s">
        <v>551</v>
      </c>
      <c r="B635" s="30" t="s">
        <v>65</v>
      </c>
      <c r="C635" s="30" t="s">
        <v>2306</v>
      </c>
      <c r="D635">
        <v>1</v>
      </c>
      <c r="E635" s="30" t="s">
        <v>2307</v>
      </c>
      <c r="F635" s="29">
        <v>45880</v>
      </c>
      <c r="G635">
        <v>25882.5</v>
      </c>
      <c r="H635">
        <v>5882.5</v>
      </c>
      <c r="I635" s="30" t="s">
        <v>16</v>
      </c>
      <c r="J635" s="30" t="s">
        <v>544</v>
      </c>
      <c r="K635">
        <v>6</v>
      </c>
      <c r="L635" s="29">
        <v>46059</v>
      </c>
      <c r="M635" s="29">
        <v>46050</v>
      </c>
      <c r="N635" s="30" t="str">
        <f>VLOOKUP(Query1[[#This Row],[company_name]],'Org Mapping'!$B:$I,8,FALSE)</f>
        <v>UHG/Lenovo</v>
      </c>
      <c r="O635" s="30" t="str">
        <f>TEXT(Query1[[#This Row],[last_work_day]],"mmm'yy")</f>
        <v>Feb'26</v>
      </c>
    </row>
    <row r="636" spans="1:15" x14ac:dyDescent="0.35">
      <c r="A636" s="30" t="s">
        <v>551</v>
      </c>
      <c r="B636" s="30" t="s">
        <v>65</v>
      </c>
      <c r="C636" s="30" t="s">
        <v>2308</v>
      </c>
      <c r="D636">
        <v>1</v>
      </c>
      <c r="E636" s="30" t="s">
        <v>2309</v>
      </c>
      <c r="F636" s="29">
        <v>45901</v>
      </c>
      <c r="G636">
        <v>25882.5</v>
      </c>
      <c r="H636">
        <v>5882.5</v>
      </c>
      <c r="I636" s="30" t="s">
        <v>16</v>
      </c>
      <c r="J636" s="30" t="s">
        <v>544</v>
      </c>
      <c r="K636">
        <v>6</v>
      </c>
      <c r="L636" s="29">
        <v>46080</v>
      </c>
      <c r="M636" s="29">
        <v>46064</v>
      </c>
      <c r="N636" s="30" t="str">
        <f>VLOOKUP(Query1[[#This Row],[company_name]],'Org Mapping'!$B:$I,8,FALSE)</f>
        <v>UHG/Lenovo</v>
      </c>
      <c r="O636" s="30" t="str">
        <f>TEXT(Query1[[#This Row],[last_work_day]],"mmm'yy")</f>
        <v>Feb'26</v>
      </c>
    </row>
    <row r="637" spans="1:15" x14ac:dyDescent="0.35">
      <c r="A637" s="30" t="s">
        <v>551</v>
      </c>
      <c r="B637" s="30" t="s">
        <v>65</v>
      </c>
      <c r="C637" s="30" t="s">
        <v>2310</v>
      </c>
      <c r="D637">
        <v>1</v>
      </c>
      <c r="E637" s="30" t="s">
        <v>2311</v>
      </c>
      <c r="F637" s="29">
        <v>45901</v>
      </c>
      <c r="G637">
        <v>25882.5</v>
      </c>
      <c r="H637">
        <v>5882.5</v>
      </c>
      <c r="I637" s="30" t="s">
        <v>37</v>
      </c>
      <c r="J637" s="30" t="s">
        <v>544</v>
      </c>
      <c r="K637">
        <v>6</v>
      </c>
      <c r="L637" s="29">
        <v>46064</v>
      </c>
      <c r="M637" s="29">
        <v>46057</v>
      </c>
      <c r="N637" s="30" t="str">
        <f>VLOOKUP(Query1[[#This Row],[company_name]],'Org Mapping'!$B:$I,8,FALSE)</f>
        <v>UHG/Lenovo</v>
      </c>
      <c r="O637" s="30" t="str">
        <f>TEXT(Query1[[#This Row],[last_work_day]],"mmm'yy")</f>
        <v>Feb'26</v>
      </c>
    </row>
    <row r="638" spans="1:15" x14ac:dyDescent="0.35">
      <c r="A638" s="30" t="s">
        <v>555</v>
      </c>
      <c r="B638" s="30" t="s">
        <v>65</v>
      </c>
      <c r="C638" s="30" t="s">
        <v>598</v>
      </c>
      <c r="D638">
        <v>2</v>
      </c>
      <c r="E638" s="30" t="s">
        <v>599</v>
      </c>
      <c r="F638" s="29">
        <v>45856</v>
      </c>
      <c r="G638">
        <v>23718</v>
      </c>
      <c r="H638">
        <v>3618</v>
      </c>
      <c r="I638" s="30" t="s">
        <v>26</v>
      </c>
      <c r="J638" s="30" t="s">
        <v>76</v>
      </c>
      <c r="K638">
        <v>6</v>
      </c>
      <c r="L638" s="29">
        <v>46059</v>
      </c>
      <c r="M638" s="29">
        <v>46041</v>
      </c>
      <c r="N638" s="30" t="str">
        <f>VLOOKUP(Query1[[#This Row],[company_name]],'Org Mapping'!$B:$I,8,FALSE)</f>
        <v>Jawad Ulla Khan</v>
      </c>
      <c r="O638" s="30" t="str">
        <f>TEXT(Query1[[#This Row],[last_work_day]],"mmm'yy")</f>
        <v>Feb'26</v>
      </c>
    </row>
    <row r="639" spans="1:15" x14ac:dyDescent="0.35">
      <c r="A639" s="30" t="s">
        <v>2312</v>
      </c>
      <c r="B639" s="30" t="s">
        <v>117</v>
      </c>
      <c r="C639" s="30" t="s">
        <v>2313</v>
      </c>
      <c r="D639">
        <v>1</v>
      </c>
      <c r="E639" s="30" t="s">
        <v>2314</v>
      </c>
      <c r="F639" s="29">
        <v>45859</v>
      </c>
      <c r="G639">
        <v>189162.56</v>
      </c>
      <c r="H639">
        <v>30829.56</v>
      </c>
      <c r="I639" s="30" t="s">
        <v>16</v>
      </c>
      <c r="J639" s="30" t="s">
        <v>118</v>
      </c>
      <c r="K639">
        <v>6</v>
      </c>
      <c r="L639" s="29">
        <v>46142</v>
      </c>
      <c r="M639" s="29">
        <v>45985</v>
      </c>
      <c r="N639" s="30" t="str">
        <f>VLOOKUP(Query1[[#This Row],[company_name]],'Org Mapping'!$B:$I,8,FALSE)</f>
        <v>DXC</v>
      </c>
      <c r="O639" s="30" t="str">
        <f>TEXT(Query1[[#This Row],[last_work_day]],"mmm'yy")</f>
        <v>Apr'26</v>
      </c>
    </row>
    <row r="640" spans="1:15" x14ac:dyDescent="0.35">
      <c r="A640" s="30" t="s">
        <v>343</v>
      </c>
      <c r="B640" s="30" t="s">
        <v>293</v>
      </c>
      <c r="C640" s="30" t="s">
        <v>2315</v>
      </c>
      <c r="D640">
        <v>2</v>
      </c>
      <c r="E640" s="30" t="s">
        <v>2316</v>
      </c>
      <c r="F640" s="29">
        <v>45880</v>
      </c>
      <c r="G640">
        <v>424667</v>
      </c>
      <c r="H640">
        <v>108001</v>
      </c>
      <c r="I640" s="30" t="s">
        <v>21</v>
      </c>
      <c r="J640" s="30" t="s">
        <v>543</v>
      </c>
      <c r="K640">
        <v>6</v>
      </c>
      <c r="L640" s="29">
        <v>46098</v>
      </c>
      <c r="M640" s="29">
        <v>46076</v>
      </c>
      <c r="N640" s="30" t="str">
        <f>VLOOKUP(Query1[[#This Row],[company_name]],'Org Mapping'!$B:$I,8,FALSE)</f>
        <v>Anuradha</v>
      </c>
      <c r="O640" s="30" t="str">
        <f>TEXT(Query1[[#This Row],[last_work_day]],"mmm'yy")</f>
        <v>Mar'26</v>
      </c>
    </row>
    <row r="641" spans="1:15" x14ac:dyDescent="0.35">
      <c r="A641" s="30" t="s">
        <v>1815</v>
      </c>
      <c r="B641" s="30" t="s">
        <v>1494</v>
      </c>
      <c r="C641" s="30" t="s">
        <v>2317</v>
      </c>
      <c r="D641">
        <v>1</v>
      </c>
      <c r="E641" s="30" t="s">
        <v>2318</v>
      </c>
      <c r="F641" s="29">
        <v>45880</v>
      </c>
      <c r="G641">
        <v>70308</v>
      </c>
      <c r="H641">
        <v>16142</v>
      </c>
      <c r="I641" s="30" t="s">
        <v>26</v>
      </c>
      <c r="J641" s="30" t="s">
        <v>119</v>
      </c>
      <c r="K641">
        <v>6</v>
      </c>
      <c r="L641" s="29">
        <v>46105</v>
      </c>
      <c r="M641" s="29">
        <v>46093</v>
      </c>
      <c r="N641" s="30" t="str">
        <f>VLOOKUP(Query1[[#This Row],[company_name]],'Org Mapping'!$B:$I,8,FALSE)</f>
        <v>Anuradha</v>
      </c>
      <c r="O641" s="30" t="str">
        <f>TEXT(Query1[[#This Row],[last_work_day]],"mmm'yy")</f>
        <v>Mar'26</v>
      </c>
    </row>
    <row r="642" spans="1:15" x14ac:dyDescent="0.35">
      <c r="A642" s="30" t="s">
        <v>557</v>
      </c>
      <c r="B642" s="30" t="s">
        <v>65</v>
      </c>
      <c r="C642" s="30" t="s">
        <v>600</v>
      </c>
      <c r="D642">
        <v>2</v>
      </c>
      <c r="E642" s="30" t="s">
        <v>601</v>
      </c>
      <c r="F642" s="29">
        <v>45860</v>
      </c>
      <c r="G642">
        <v>29500</v>
      </c>
      <c r="H642">
        <v>4500</v>
      </c>
      <c r="I642" s="30" t="s">
        <v>26</v>
      </c>
      <c r="J642" s="30" t="s">
        <v>76</v>
      </c>
      <c r="K642">
        <v>6</v>
      </c>
      <c r="L642" s="29">
        <v>46135</v>
      </c>
      <c r="M642" s="29">
        <v>46090</v>
      </c>
      <c r="N642" s="30" t="str">
        <f>VLOOKUP(Query1[[#This Row],[company_name]],'Org Mapping'!$B:$I,8,FALSE)</f>
        <v>Jawad Ulla Khan</v>
      </c>
      <c r="O642" s="30" t="str">
        <f>TEXT(Query1[[#This Row],[last_work_day]],"mmm'yy")</f>
        <v>Apr'26</v>
      </c>
    </row>
    <row r="643" spans="1:15" x14ac:dyDescent="0.35">
      <c r="A643" s="30" t="s">
        <v>551</v>
      </c>
      <c r="B643" s="30" t="s">
        <v>65</v>
      </c>
      <c r="C643" s="30" t="s">
        <v>2319</v>
      </c>
      <c r="D643">
        <v>1</v>
      </c>
      <c r="E643" s="30" t="s">
        <v>2320</v>
      </c>
      <c r="F643" s="29">
        <v>45880</v>
      </c>
      <c r="G643">
        <v>25882.5</v>
      </c>
      <c r="H643">
        <v>5882.5</v>
      </c>
      <c r="I643" s="30" t="s">
        <v>37</v>
      </c>
      <c r="J643" s="30" t="s">
        <v>544</v>
      </c>
      <c r="K643">
        <v>6</v>
      </c>
      <c r="L643" s="29">
        <v>46050</v>
      </c>
      <c r="M643" s="29">
        <v>46038</v>
      </c>
      <c r="N643" s="30" t="str">
        <f>VLOOKUP(Query1[[#This Row],[company_name]],'Org Mapping'!$B:$I,8,FALSE)</f>
        <v>UHG/Lenovo</v>
      </c>
      <c r="O643" s="30" t="str">
        <f>TEXT(Query1[[#This Row],[last_work_day]],"mmm'yy")</f>
        <v>Jan'26</v>
      </c>
    </row>
    <row r="644" spans="1:15" x14ac:dyDescent="0.35">
      <c r="A644" s="30" t="s">
        <v>2321</v>
      </c>
      <c r="B644" s="30" t="s">
        <v>1818</v>
      </c>
      <c r="C644" s="30" t="s">
        <v>2322</v>
      </c>
      <c r="D644">
        <v>2</v>
      </c>
      <c r="E644" s="30" t="s">
        <v>2323</v>
      </c>
      <c r="F644" s="29">
        <v>45860</v>
      </c>
      <c r="G644">
        <v>88000</v>
      </c>
      <c r="H644">
        <v>21334</v>
      </c>
      <c r="I644" s="30" t="s">
        <v>16</v>
      </c>
      <c r="J644" s="30" t="s">
        <v>569</v>
      </c>
      <c r="K644">
        <v>6</v>
      </c>
      <c r="L644" s="29">
        <v>46150</v>
      </c>
      <c r="M644" s="29">
        <v>46169</v>
      </c>
      <c r="N644" s="30" t="str">
        <f>VLOOKUP(Query1[[#This Row],[company_name]],'Org Mapping'!$B:$I,8,FALSE)</f>
        <v>(Sonia/Dikshitha)</v>
      </c>
      <c r="O644" s="30" t="str">
        <f>TEXT(Query1[[#This Row],[last_work_day]],"mmm'yy")</f>
        <v>May'26</v>
      </c>
    </row>
    <row r="645" spans="1:15" x14ac:dyDescent="0.35">
      <c r="A645" s="30" t="s">
        <v>1572</v>
      </c>
      <c r="B645" s="30" t="s">
        <v>39</v>
      </c>
      <c r="C645" s="30" t="s">
        <v>2324</v>
      </c>
      <c r="D645">
        <v>2</v>
      </c>
      <c r="E645" s="30" t="s">
        <v>2325</v>
      </c>
      <c r="F645" s="29">
        <v>45862</v>
      </c>
      <c r="G645">
        <v>35333.33</v>
      </c>
      <c r="H645">
        <v>2000.33</v>
      </c>
      <c r="I645" s="30" t="s">
        <v>26</v>
      </c>
      <c r="J645" s="30" t="s">
        <v>31</v>
      </c>
      <c r="K645">
        <v>6</v>
      </c>
      <c r="L645" s="29">
        <v>46125</v>
      </c>
      <c r="M645" s="29">
        <v>46094</v>
      </c>
      <c r="N645" s="30" t="str">
        <f>VLOOKUP(Query1[[#This Row],[company_name]],'Org Mapping'!$B:$I,8,FALSE)</f>
        <v>Mehr Hashim</v>
      </c>
      <c r="O645" s="30" t="str">
        <f>TEXT(Query1[[#This Row],[last_work_day]],"mmm'yy")</f>
        <v>Apr'26</v>
      </c>
    </row>
    <row r="646" spans="1:15" x14ac:dyDescent="0.35">
      <c r="A646" s="30" t="s">
        <v>1453</v>
      </c>
      <c r="B646" s="30" t="s">
        <v>39</v>
      </c>
      <c r="C646" s="30" t="s">
        <v>2326</v>
      </c>
      <c r="D646">
        <v>2</v>
      </c>
      <c r="E646" s="30" t="s">
        <v>2327</v>
      </c>
      <c r="F646" s="29">
        <v>45862</v>
      </c>
      <c r="G646">
        <v>123666.67</v>
      </c>
      <c r="H646">
        <v>7000.67</v>
      </c>
      <c r="I646" s="30" t="s">
        <v>26</v>
      </c>
      <c r="J646" s="30" t="s">
        <v>31</v>
      </c>
      <c r="K646">
        <v>6</v>
      </c>
      <c r="L646" s="29">
        <v>46076</v>
      </c>
      <c r="M646" s="29">
        <v>46044</v>
      </c>
      <c r="N646" s="30" t="str">
        <f>VLOOKUP(Query1[[#This Row],[company_name]],'Org Mapping'!$B:$I,8,FALSE)</f>
        <v>Mehr Hashim</v>
      </c>
      <c r="O646" s="30" t="str">
        <f>TEXT(Query1[[#This Row],[last_work_day]],"mmm'yy")</f>
        <v>Feb'26</v>
      </c>
    </row>
    <row r="647" spans="1:15" x14ac:dyDescent="0.35">
      <c r="A647" s="30" t="s">
        <v>1453</v>
      </c>
      <c r="B647" s="30" t="s">
        <v>39</v>
      </c>
      <c r="C647" s="30" t="s">
        <v>2328</v>
      </c>
      <c r="D647">
        <v>2</v>
      </c>
      <c r="E647" s="30" t="s">
        <v>2329</v>
      </c>
      <c r="F647" s="29">
        <v>45855</v>
      </c>
      <c r="G647">
        <v>44166.67</v>
      </c>
      <c r="H647">
        <v>10833.67</v>
      </c>
      <c r="I647" s="30" t="s">
        <v>26</v>
      </c>
      <c r="J647" s="30" t="s">
        <v>31</v>
      </c>
      <c r="K647">
        <v>6</v>
      </c>
      <c r="L647" s="29">
        <v>46069</v>
      </c>
      <c r="M647" s="29">
        <v>46037</v>
      </c>
      <c r="N647" s="30" t="str">
        <f>VLOOKUP(Query1[[#This Row],[company_name]],'Org Mapping'!$B:$I,8,FALSE)</f>
        <v>Mehr Hashim</v>
      </c>
      <c r="O647" s="30" t="str">
        <f>TEXT(Query1[[#This Row],[last_work_day]],"mmm'yy")</f>
        <v>Feb'26</v>
      </c>
    </row>
    <row r="648" spans="1:15" x14ac:dyDescent="0.35">
      <c r="A648" s="30" t="s">
        <v>1497</v>
      </c>
      <c r="B648" s="30" t="s">
        <v>39</v>
      </c>
      <c r="C648" s="30" t="s">
        <v>2330</v>
      </c>
      <c r="D648">
        <v>4</v>
      </c>
      <c r="E648" s="30" t="s">
        <v>2331</v>
      </c>
      <c r="F648" s="29">
        <v>45866</v>
      </c>
      <c r="G648">
        <v>524000</v>
      </c>
      <c r="H648">
        <v>190667</v>
      </c>
      <c r="I648" s="30" t="s">
        <v>91</v>
      </c>
      <c r="J648" s="30" t="s">
        <v>495</v>
      </c>
      <c r="K648">
        <v>6</v>
      </c>
      <c r="L648" s="29">
        <v>46146</v>
      </c>
      <c r="M648" s="29">
        <v>46114</v>
      </c>
      <c r="N648" s="30" t="str">
        <f>VLOOKUP(Query1[[#This Row],[company_name]],'Org Mapping'!$B:$I,8,FALSE)</f>
        <v>Mehr Hashim</v>
      </c>
      <c r="O648" s="30" t="str">
        <f>TEXT(Query1[[#This Row],[last_work_day]],"mmm'yy")</f>
        <v>May'26</v>
      </c>
    </row>
    <row r="649" spans="1:15" x14ac:dyDescent="0.35">
      <c r="A649" s="30" t="s">
        <v>151</v>
      </c>
      <c r="B649" s="30" t="s">
        <v>65</v>
      </c>
      <c r="C649" s="30" t="s">
        <v>602</v>
      </c>
      <c r="D649">
        <v>2</v>
      </c>
      <c r="E649" s="30" t="s">
        <v>603</v>
      </c>
      <c r="F649" s="29">
        <v>45868</v>
      </c>
      <c r="G649">
        <v>22066</v>
      </c>
      <c r="H649">
        <v>3366</v>
      </c>
      <c r="I649" s="30" t="s">
        <v>37</v>
      </c>
      <c r="J649" s="30" t="s">
        <v>76</v>
      </c>
      <c r="K649">
        <v>6</v>
      </c>
      <c r="L649" s="29">
        <v>46120</v>
      </c>
      <c r="M649" s="29">
        <v>46093</v>
      </c>
      <c r="N649" s="30" t="str">
        <f>VLOOKUP(Query1[[#This Row],[company_name]],'Org Mapping'!$B:$I,8,FALSE)</f>
        <v>Jawad Ulla Khan</v>
      </c>
      <c r="O649" s="30" t="str">
        <f>TEXT(Query1[[#This Row],[last_work_day]],"mmm'yy")</f>
        <v>Apr'26</v>
      </c>
    </row>
    <row r="650" spans="1:15" x14ac:dyDescent="0.35">
      <c r="A650" s="30" t="s">
        <v>1547</v>
      </c>
      <c r="B650" s="30" t="s">
        <v>126</v>
      </c>
      <c r="C650" s="30" t="s">
        <v>2332</v>
      </c>
      <c r="D650">
        <v>2</v>
      </c>
      <c r="E650" s="30" t="s">
        <v>2333</v>
      </c>
      <c r="F650" s="29">
        <v>45863</v>
      </c>
      <c r="G650">
        <v>30000</v>
      </c>
      <c r="H650">
        <v>5000</v>
      </c>
      <c r="I650" s="30" t="s">
        <v>545</v>
      </c>
      <c r="J650" s="30" t="s">
        <v>361</v>
      </c>
      <c r="K650">
        <v>6</v>
      </c>
      <c r="L650" s="29">
        <v>46024</v>
      </c>
      <c r="M650" s="29">
        <v>45995</v>
      </c>
      <c r="N650" s="30" t="str">
        <f>VLOOKUP(Query1[[#This Row],[company_name]],'Org Mapping'!$B:$I,8,FALSE)</f>
        <v>Prathap Sagar</v>
      </c>
      <c r="O650" s="30" t="str">
        <f>TEXT(Query1[[#This Row],[last_work_day]],"mmm'yy")</f>
        <v>Jan'26</v>
      </c>
    </row>
    <row r="651" spans="1:15" x14ac:dyDescent="0.35">
      <c r="A651" s="30" t="s">
        <v>151</v>
      </c>
      <c r="B651" s="30" t="s">
        <v>65</v>
      </c>
      <c r="C651" s="30" t="s">
        <v>604</v>
      </c>
      <c r="D651">
        <v>2</v>
      </c>
      <c r="E651" s="30" t="s">
        <v>605</v>
      </c>
      <c r="F651" s="29">
        <v>45863</v>
      </c>
      <c r="G651">
        <v>22066</v>
      </c>
      <c r="H651">
        <v>3366</v>
      </c>
      <c r="I651" s="30" t="s">
        <v>26</v>
      </c>
      <c r="J651" s="30" t="s">
        <v>76</v>
      </c>
      <c r="K651">
        <v>6</v>
      </c>
      <c r="L651" s="29">
        <v>46035</v>
      </c>
      <c r="M651" s="29">
        <v>46013</v>
      </c>
      <c r="N651" s="30" t="str">
        <f>VLOOKUP(Query1[[#This Row],[company_name]],'Org Mapping'!$B:$I,8,FALSE)</f>
        <v>Jawad Ulla Khan</v>
      </c>
      <c r="O651" s="30" t="str">
        <f>TEXT(Query1[[#This Row],[last_work_day]],"mmm'yy")</f>
        <v>Jan'26</v>
      </c>
    </row>
    <row r="652" spans="1:15" x14ac:dyDescent="0.35">
      <c r="A652" s="30" t="s">
        <v>1565</v>
      </c>
      <c r="B652" s="30" t="s">
        <v>117</v>
      </c>
      <c r="C652" s="30" t="s">
        <v>2334</v>
      </c>
      <c r="D652">
        <v>4</v>
      </c>
      <c r="E652" s="30" t="s">
        <v>2335</v>
      </c>
      <c r="F652" s="29">
        <v>45870</v>
      </c>
      <c r="G652">
        <v>236453.2</v>
      </c>
      <c r="H652">
        <v>56453.2</v>
      </c>
      <c r="I652" s="30" t="s">
        <v>16</v>
      </c>
      <c r="J652" s="30" t="s">
        <v>118</v>
      </c>
      <c r="K652">
        <v>6</v>
      </c>
      <c r="L652" s="29">
        <v>46173</v>
      </c>
      <c r="M652" s="29">
        <v>46163</v>
      </c>
      <c r="N652" s="30" t="str">
        <f>VLOOKUP(Query1[[#This Row],[company_name]],'Org Mapping'!$B:$I,8,FALSE)</f>
        <v>DXC</v>
      </c>
      <c r="O652" s="30" t="str">
        <f>TEXT(Query1[[#This Row],[last_work_day]],"mmm'yy")</f>
        <v>May'26</v>
      </c>
    </row>
    <row r="653" spans="1:15" x14ac:dyDescent="0.35">
      <c r="A653" s="30" t="s">
        <v>1357</v>
      </c>
      <c r="B653" s="30" t="s">
        <v>117</v>
      </c>
      <c r="C653" s="30" t="s">
        <v>2336</v>
      </c>
      <c r="D653">
        <v>4</v>
      </c>
      <c r="E653" s="30" t="s">
        <v>2337</v>
      </c>
      <c r="F653" s="29">
        <v>45870</v>
      </c>
      <c r="G653">
        <v>234482.76</v>
      </c>
      <c r="H653">
        <v>53649.760000000002</v>
      </c>
      <c r="I653" s="30" t="s">
        <v>1279</v>
      </c>
      <c r="J653" s="30" t="s">
        <v>118</v>
      </c>
      <c r="K653">
        <v>6</v>
      </c>
      <c r="L653" s="29">
        <v>46053</v>
      </c>
      <c r="M653" s="29">
        <v>46060</v>
      </c>
      <c r="N653" s="30" t="str">
        <f>VLOOKUP(Query1[[#This Row],[company_name]],'Org Mapping'!$B:$I,8,FALSE)</f>
        <v>DXC</v>
      </c>
      <c r="O653" s="30" t="str">
        <f>TEXT(Query1[[#This Row],[last_work_day]],"mmm'yy")</f>
        <v>Jan'26</v>
      </c>
    </row>
    <row r="654" spans="1:15" x14ac:dyDescent="0.35">
      <c r="A654" s="30" t="s">
        <v>481</v>
      </c>
      <c r="B654" s="30" t="s">
        <v>65</v>
      </c>
      <c r="C654" s="30" t="s">
        <v>547</v>
      </c>
      <c r="D654">
        <v>2</v>
      </c>
      <c r="E654" s="30" t="s">
        <v>606</v>
      </c>
      <c r="F654" s="29">
        <v>45863</v>
      </c>
      <c r="G654">
        <v>50000</v>
      </c>
      <c r="H654">
        <v>10000</v>
      </c>
      <c r="I654" s="30" t="s">
        <v>545</v>
      </c>
      <c r="J654" s="30" t="s">
        <v>76</v>
      </c>
      <c r="K654">
        <v>6</v>
      </c>
      <c r="L654" s="29">
        <v>46024</v>
      </c>
      <c r="M654" s="29">
        <v>45995</v>
      </c>
      <c r="N654" s="30" t="str">
        <f>VLOOKUP(Query1[[#This Row],[company_name]],'Org Mapping'!$B:$I,8,FALSE)</f>
        <v>Jawad Ulla Khan</v>
      </c>
      <c r="O654" s="30" t="str">
        <f>TEXT(Query1[[#This Row],[last_work_day]],"mmm'yy")</f>
        <v>Jan'26</v>
      </c>
    </row>
    <row r="655" spans="1:15" x14ac:dyDescent="0.35">
      <c r="A655" s="30" t="s">
        <v>390</v>
      </c>
      <c r="B655" s="30" t="s">
        <v>65</v>
      </c>
      <c r="C655" s="30" t="s">
        <v>607</v>
      </c>
      <c r="D655">
        <v>2</v>
      </c>
      <c r="E655" s="30" t="s">
        <v>608</v>
      </c>
      <c r="F655" s="29">
        <v>45868</v>
      </c>
      <c r="G655">
        <v>23718</v>
      </c>
      <c r="H655">
        <v>3618</v>
      </c>
      <c r="I655" s="30" t="s">
        <v>37</v>
      </c>
      <c r="J655" s="30" t="s">
        <v>76</v>
      </c>
      <c r="K655">
        <v>6</v>
      </c>
      <c r="L655" s="29">
        <v>46087</v>
      </c>
      <c r="M655" s="29">
        <v>46062</v>
      </c>
      <c r="N655" s="30" t="str">
        <f>VLOOKUP(Query1[[#This Row],[company_name]],'Org Mapping'!$B:$I,8,FALSE)</f>
        <v>Jawad Ulla Khan</v>
      </c>
      <c r="O655" s="30" t="str">
        <f>TEXT(Query1[[#This Row],[last_work_day]],"mmm'yy")</f>
        <v>Mar'26</v>
      </c>
    </row>
    <row r="656" spans="1:15" x14ac:dyDescent="0.35">
      <c r="A656" s="30" t="s">
        <v>104</v>
      </c>
      <c r="B656" s="30" t="s">
        <v>1628</v>
      </c>
      <c r="C656" s="30" t="s">
        <v>2338</v>
      </c>
      <c r="D656">
        <v>2</v>
      </c>
      <c r="E656" s="30" t="s">
        <v>2339</v>
      </c>
      <c r="F656" s="29">
        <v>45873</v>
      </c>
      <c r="G656">
        <v>207395</v>
      </c>
      <c r="H656">
        <v>3229</v>
      </c>
      <c r="I656" s="30" t="s">
        <v>21</v>
      </c>
      <c r="J656" s="30" t="s">
        <v>524</v>
      </c>
      <c r="K656">
        <v>6</v>
      </c>
      <c r="L656" s="29">
        <v>46054</v>
      </c>
      <c r="M656" s="29">
        <v>46006</v>
      </c>
      <c r="N656" s="30" t="str">
        <f>VLOOKUP(Query1[[#This Row],[company_name]],'Org Mapping'!$B:$I,8,FALSE)</f>
        <v>Sadhna Shukla</v>
      </c>
      <c r="O656" s="30" t="str">
        <f>TEXT(Query1[[#This Row],[last_work_day]],"mmm'yy")</f>
        <v>Feb'26</v>
      </c>
    </row>
    <row r="657" spans="1:15" x14ac:dyDescent="0.35">
      <c r="A657" s="30" t="s">
        <v>98</v>
      </c>
      <c r="B657" s="30" t="s">
        <v>65</v>
      </c>
      <c r="C657" s="30" t="s">
        <v>610</v>
      </c>
      <c r="D657">
        <v>2</v>
      </c>
      <c r="E657" s="30" t="s">
        <v>611</v>
      </c>
      <c r="F657" s="29">
        <v>45868</v>
      </c>
      <c r="G657">
        <v>24123.919999999998</v>
      </c>
      <c r="H657">
        <v>4023.92</v>
      </c>
      <c r="I657" s="30" t="s">
        <v>26</v>
      </c>
      <c r="J657" s="30" t="s">
        <v>76</v>
      </c>
      <c r="K657">
        <v>6</v>
      </c>
      <c r="L657" s="29">
        <v>46171</v>
      </c>
      <c r="M657" s="29">
        <v>46153</v>
      </c>
      <c r="N657" s="30" t="str">
        <f>VLOOKUP(Query1[[#This Row],[company_name]],'Org Mapping'!$B:$I,8,FALSE)</f>
        <v>Jawad Ulla Khan</v>
      </c>
      <c r="O657" s="30" t="str">
        <f>TEXT(Query1[[#This Row],[last_work_day]],"mmm'yy")</f>
        <v>May'26</v>
      </c>
    </row>
    <row r="658" spans="1:15" x14ac:dyDescent="0.35">
      <c r="A658" s="30" t="s">
        <v>151</v>
      </c>
      <c r="B658" s="30" t="s">
        <v>65</v>
      </c>
      <c r="C658" s="30" t="s">
        <v>612</v>
      </c>
      <c r="D658">
        <v>2</v>
      </c>
      <c r="E658" s="30" t="s">
        <v>613</v>
      </c>
      <c r="F658" s="29">
        <v>45869</v>
      </c>
      <c r="G658">
        <v>23718</v>
      </c>
      <c r="H658">
        <v>3618</v>
      </c>
      <c r="I658" s="30" t="s">
        <v>92</v>
      </c>
      <c r="J658" s="30" t="s">
        <v>76</v>
      </c>
      <c r="K658">
        <v>6</v>
      </c>
      <c r="L658" s="29">
        <v>46120</v>
      </c>
      <c r="M658" s="29">
        <v>45995</v>
      </c>
      <c r="N658" s="30" t="str">
        <f>VLOOKUP(Query1[[#This Row],[company_name]],'Org Mapping'!$B:$I,8,FALSE)</f>
        <v>Jawad Ulla Khan</v>
      </c>
      <c r="O658" s="30" t="str">
        <f>TEXT(Query1[[#This Row],[last_work_day]],"mmm'yy")</f>
        <v>Apr'26</v>
      </c>
    </row>
    <row r="659" spans="1:15" x14ac:dyDescent="0.35">
      <c r="A659" s="30" t="s">
        <v>390</v>
      </c>
      <c r="B659" s="30" t="s">
        <v>65</v>
      </c>
      <c r="C659" s="30" t="s">
        <v>615</v>
      </c>
      <c r="D659">
        <v>2</v>
      </c>
      <c r="E659" s="30" t="s">
        <v>616</v>
      </c>
      <c r="F659" s="29">
        <v>45868</v>
      </c>
      <c r="G659">
        <v>23718</v>
      </c>
      <c r="H659">
        <v>3618</v>
      </c>
      <c r="I659" s="30" t="s">
        <v>26</v>
      </c>
      <c r="J659" s="30" t="s">
        <v>76</v>
      </c>
      <c r="K659">
        <v>6</v>
      </c>
      <c r="L659" s="29">
        <v>46122</v>
      </c>
      <c r="M659" s="29">
        <v>45995</v>
      </c>
      <c r="N659" s="30" t="str">
        <f>VLOOKUP(Query1[[#This Row],[company_name]],'Org Mapping'!$B:$I,8,FALSE)</f>
        <v>Jawad Ulla Khan</v>
      </c>
      <c r="O659" s="30" t="str">
        <f>TEXT(Query1[[#This Row],[last_work_day]],"mmm'yy")</f>
        <v>Apr'26</v>
      </c>
    </row>
    <row r="660" spans="1:15" x14ac:dyDescent="0.35">
      <c r="A660" s="30" t="s">
        <v>98</v>
      </c>
      <c r="B660" s="30" t="s">
        <v>65</v>
      </c>
      <c r="C660" s="30" t="s">
        <v>617</v>
      </c>
      <c r="D660">
        <v>2</v>
      </c>
      <c r="E660" s="30" t="s">
        <v>618</v>
      </c>
      <c r="F660" s="29">
        <v>45869</v>
      </c>
      <c r="G660">
        <v>23718</v>
      </c>
      <c r="H660">
        <v>3618</v>
      </c>
      <c r="I660" s="30" t="s">
        <v>26</v>
      </c>
      <c r="J660" s="30" t="s">
        <v>76</v>
      </c>
      <c r="K660">
        <v>6</v>
      </c>
      <c r="L660" s="29">
        <v>46146</v>
      </c>
      <c r="M660" s="29">
        <v>46118</v>
      </c>
      <c r="N660" s="30" t="str">
        <f>VLOOKUP(Query1[[#This Row],[company_name]],'Org Mapping'!$B:$I,8,FALSE)</f>
        <v>Jawad Ulla Khan</v>
      </c>
      <c r="O660" s="30" t="str">
        <f>TEXT(Query1[[#This Row],[last_work_day]],"mmm'yy")</f>
        <v>May'26</v>
      </c>
    </row>
    <row r="661" spans="1:15" x14ac:dyDescent="0.35">
      <c r="A661" s="30" t="s">
        <v>430</v>
      </c>
      <c r="B661" s="30" t="s">
        <v>65</v>
      </c>
      <c r="C661" s="30" t="s">
        <v>619</v>
      </c>
      <c r="D661">
        <v>2</v>
      </c>
      <c r="E661" s="30" t="s">
        <v>620</v>
      </c>
      <c r="F661" s="29">
        <v>45875</v>
      </c>
      <c r="G661">
        <v>50000</v>
      </c>
      <c r="H661">
        <v>10000</v>
      </c>
      <c r="I661" s="30" t="s">
        <v>26</v>
      </c>
      <c r="J661" s="30" t="s">
        <v>76</v>
      </c>
      <c r="K661">
        <v>6</v>
      </c>
      <c r="L661" s="29">
        <v>46122</v>
      </c>
      <c r="M661" s="29">
        <v>46105</v>
      </c>
      <c r="N661" s="30" t="str">
        <f>VLOOKUP(Query1[[#This Row],[company_name]],'Org Mapping'!$B:$I,8,FALSE)</f>
        <v>Jawad Ulla Khan</v>
      </c>
      <c r="O661" s="30" t="str">
        <f>TEXT(Query1[[#This Row],[last_work_day]],"mmm'yy")</f>
        <v>Apr'26</v>
      </c>
    </row>
    <row r="662" spans="1:15" x14ac:dyDescent="0.35">
      <c r="A662" s="30" t="s">
        <v>390</v>
      </c>
      <c r="B662" s="30" t="s">
        <v>65</v>
      </c>
      <c r="C662" s="30" t="s">
        <v>621</v>
      </c>
      <c r="D662">
        <v>2</v>
      </c>
      <c r="E662" s="30" t="s">
        <v>622</v>
      </c>
      <c r="F662" s="29">
        <v>45868</v>
      </c>
      <c r="G662">
        <v>23718</v>
      </c>
      <c r="H662">
        <v>3618</v>
      </c>
      <c r="I662" s="30" t="s">
        <v>26</v>
      </c>
      <c r="J662" s="30" t="s">
        <v>76</v>
      </c>
      <c r="K662">
        <v>6</v>
      </c>
      <c r="L662" s="29">
        <v>46079</v>
      </c>
      <c r="M662" s="29">
        <v>46041</v>
      </c>
      <c r="N662" s="30" t="str">
        <f>VLOOKUP(Query1[[#This Row],[company_name]],'Org Mapping'!$B:$I,8,FALSE)</f>
        <v>Jawad Ulla Khan</v>
      </c>
      <c r="O662" s="30" t="str">
        <f>TEXT(Query1[[#This Row],[last_work_day]],"mmm'yy")</f>
        <v>Feb'26</v>
      </c>
    </row>
    <row r="663" spans="1:15" x14ac:dyDescent="0.35">
      <c r="A663" s="30" t="s">
        <v>2340</v>
      </c>
      <c r="B663" s="30" t="s">
        <v>1544</v>
      </c>
      <c r="C663" s="30" t="s">
        <v>2341</v>
      </c>
      <c r="D663">
        <v>2</v>
      </c>
      <c r="E663" s="30" t="s">
        <v>2342</v>
      </c>
      <c r="F663" s="29">
        <v>45869</v>
      </c>
      <c r="G663">
        <v>157500</v>
      </c>
      <c r="H663">
        <v>24167</v>
      </c>
      <c r="I663" s="30" t="s">
        <v>21</v>
      </c>
      <c r="J663" s="30" t="s">
        <v>520</v>
      </c>
      <c r="K663">
        <v>6</v>
      </c>
      <c r="L663" s="29">
        <v>46043</v>
      </c>
      <c r="M663" s="29">
        <v>46009</v>
      </c>
      <c r="N663" s="30" t="str">
        <f>VLOOKUP(Query1[[#This Row],[company_name]],'Org Mapping'!$B:$I,8,FALSE)</f>
        <v>Prathap Sagar</v>
      </c>
      <c r="O663" s="30" t="str">
        <f>TEXT(Query1[[#This Row],[last_work_day]],"mmm'yy")</f>
        <v>Jan'26</v>
      </c>
    </row>
    <row r="664" spans="1:15" x14ac:dyDescent="0.35">
      <c r="A664" s="30" t="s">
        <v>2343</v>
      </c>
      <c r="B664" s="30" t="s">
        <v>39</v>
      </c>
      <c r="C664" s="30" t="s">
        <v>2344</v>
      </c>
      <c r="D664">
        <v>2</v>
      </c>
      <c r="E664" s="30" t="s">
        <v>2345</v>
      </c>
      <c r="F664" s="29">
        <v>45895</v>
      </c>
      <c r="G664">
        <v>314160</v>
      </c>
      <c r="H664">
        <v>105827</v>
      </c>
      <c r="I664" s="30" t="s">
        <v>16</v>
      </c>
      <c r="J664" s="30" t="s">
        <v>49</v>
      </c>
      <c r="K664">
        <v>6</v>
      </c>
      <c r="L664" s="29">
        <v>46052</v>
      </c>
      <c r="M664" s="29">
        <v>46014</v>
      </c>
      <c r="N664" s="30" t="str">
        <f>VLOOKUP(Query1[[#This Row],[company_name]],'Org Mapping'!$B:$I,8,FALSE)</f>
        <v>Mehr Hashim</v>
      </c>
      <c r="O664" s="30" t="str">
        <f>TEXT(Query1[[#This Row],[last_work_day]],"mmm'yy")</f>
        <v>Jan'26</v>
      </c>
    </row>
    <row r="665" spans="1:15" x14ac:dyDescent="0.35">
      <c r="A665" s="30" t="s">
        <v>2346</v>
      </c>
      <c r="B665" s="30" t="s">
        <v>39</v>
      </c>
      <c r="C665" s="30" t="s">
        <v>2347</v>
      </c>
      <c r="D665">
        <v>2</v>
      </c>
      <c r="E665" s="30" t="s">
        <v>2348</v>
      </c>
      <c r="F665" s="29">
        <v>45868</v>
      </c>
      <c r="G665">
        <v>386400</v>
      </c>
      <c r="H665">
        <v>153067</v>
      </c>
      <c r="I665" s="30" t="s">
        <v>21</v>
      </c>
      <c r="J665" s="30" t="s">
        <v>49</v>
      </c>
      <c r="K665">
        <v>6</v>
      </c>
      <c r="L665" s="29">
        <v>46024</v>
      </c>
      <c r="M665" s="29">
        <v>46015</v>
      </c>
      <c r="N665" s="30" t="str">
        <f>VLOOKUP(Query1[[#This Row],[company_name]],'Org Mapping'!$B:$I,8,FALSE)</f>
        <v>Mehr Hashim</v>
      </c>
      <c r="O665" s="30" t="str">
        <f>TEXT(Query1[[#This Row],[last_work_day]],"mmm'yy")</f>
        <v>Jan'26</v>
      </c>
    </row>
    <row r="666" spans="1:15" x14ac:dyDescent="0.35">
      <c r="A666" s="30" t="s">
        <v>430</v>
      </c>
      <c r="B666" s="30" t="s">
        <v>65</v>
      </c>
      <c r="C666" s="30" t="s">
        <v>2349</v>
      </c>
      <c r="D666">
        <v>1</v>
      </c>
      <c r="E666" s="30" t="s">
        <v>2350</v>
      </c>
      <c r="F666" s="29">
        <v>45901</v>
      </c>
      <c r="G666">
        <v>25882.5</v>
      </c>
      <c r="H666">
        <v>5882.5</v>
      </c>
      <c r="I666" s="30" t="s">
        <v>16</v>
      </c>
      <c r="J666" s="30" t="s">
        <v>544</v>
      </c>
      <c r="K666">
        <v>6</v>
      </c>
      <c r="L666" s="29">
        <v>46080</v>
      </c>
      <c r="M666" s="29">
        <v>46064</v>
      </c>
      <c r="N666" s="30" t="str">
        <f>VLOOKUP(Query1[[#This Row],[company_name]],'Org Mapping'!$B:$I,8,FALSE)</f>
        <v>UHG/Lenovo</v>
      </c>
      <c r="O666" s="30" t="str">
        <f>TEXT(Query1[[#This Row],[last_work_day]],"mmm'yy")</f>
        <v>Feb'26</v>
      </c>
    </row>
    <row r="667" spans="1:15" x14ac:dyDescent="0.35">
      <c r="A667" s="30" t="s">
        <v>429</v>
      </c>
      <c r="B667" s="30" t="s">
        <v>65</v>
      </c>
      <c r="C667" s="30" t="s">
        <v>2351</v>
      </c>
      <c r="D667">
        <v>1</v>
      </c>
      <c r="E667" s="30" t="s">
        <v>2352</v>
      </c>
      <c r="F667" s="29">
        <v>45901</v>
      </c>
      <c r="G667">
        <v>25882.5</v>
      </c>
      <c r="H667">
        <v>5882.5</v>
      </c>
      <c r="I667" s="30" t="s">
        <v>16</v>
      </c>
      <c r="J667" s="30" t="s">
        <v>544</v>
      </c>
      <c r="K667">
        <v>6</v>
      </c>
      <c r="L667" s="29">
        <v>46080</v>
      </c>
      <c r="M667" s="29">
        <v>46064</v>
      </c>
      <c r="N667" s="30" t="str">
        <f>VLOOKUP(Query1[[#This Row],[company_name]],'Org Mapping'!$B:$I,8,FALSE)</f>
        <v>UHG/Lenovo</v>
      </c>
      <c r="O667" s="30" t="str">
        <f>TEXT(Query1[[#This Row],[last_work_day]],"mmm'yy")</f>
        <v>Feb'26</v>
      </c>
    </row>
    <row r="668" spans="1:15" x14ac:dyDescent="0.35">
      <c r="A668" s="30" t="s">
        <v>2321</v>
      </c>
      <c r="B668" s="30" t="s">
        <v>1818</v>
      </c>
      <c r="C668" s="30" t="s">
        <v>2353</v>
      </c>
      <c r="D668">
        <v>1</v>
      </c>
      <c r="E668" s="30" t="s">
        <v>2354</v>
      </c>
      <c r="F668" s="29">
        <v>45894</v>
      </c>
      <c r="G668">
        <v>281666</v>
      </c>
      <c r="H668">
        <v>67666</v>
      </c>
      <c r="I668" s="30" t="s">
        <v>26</v>
      </c>
      <c r="J668" s="30" t="s">
        <v>569</v>
      </c>
      <c r="K668">
        <v>6</v>
      </c>
      <c r="L668" s="29">
        <v>46035</v>
      </c>
      <c r="M668" s="29">
        <v>46028</v>
      </c>
      <c r="N668" s="30" t="str">
        <f>VLOOKUP(Query1[[#This Row],[company_name]],'Org Mapping'!$B:$I,8,FALSE)</f>
        <v>(Sonia/Dikshitha)</v>
      </c>
      <c r="O668" s="30" t="str">
        <f>TEXT(Query1[[#This Row],[last_work_day]],"mmm'yy")</f>
        <v>Jan'26</v>
      </c>
    </row>
    <row r="669" spans="1:15" x14ac:dyDescent="0.35">
      <c r="A669" s="30" t="s">
        <v>555</v>
      </c>
      <c r="B669" s="30" t="s">
        <v>65</v>
      </c>
      <c r="C669" s="30" t="s">
        <v>623</v>
      </c>
      <c r="D669">
        <v>2</v>
      </c>
      <c r="E669" s="30" t="s">
        <v>624</v>
      </c>
      <c r="F669" s="29">
        <v>45874</v>
      </c>
      <c r="G669">
        <v>23718</v>
      </c>
      <c r="H669">
        <v>3618</v>
      </c>
      <c r="I669" s="30" t="s">
        <v>26</v>
      </c>
      <c r="J669" s="30" t="s">
        <v>76</v>
      </c>
      <c r="K669">
        <v>6</v>
      </c>
      <c r="L669" s="29">
        <v>46029</v>
      </c>
      <c r="M669" s="29">
        <v>46000</v>
      </c>
      <c r="N669" s="30" t="str">
        <f>VLOOKUP(Query1[[#This Row],[company_name]],'Org Mapping'!$B:$I,8,FALSE)</f>
        <v>Jawad Ulla Khan</v>
      </c>
      <c r="O669" s="30" t="str">
        <f>TEXT(Query1[[#This Row],[last_work_day]],"mmm'yy")</f>
        <v>Jan'26</v>
      </c>
    </row>
    <row r="670" spans="1:15" x14ac:dyDescent="0.35">
      <c r="A670" s="30" t="s">
        <v>557</v>
      </c>
      <c r="B670" s="30" t="s">
        <v>65</v>
      </c>
      <c r="C670" s="30" t="s">
        <v>625</v>
      </c>
      <c r="D670">
        <v>2</v>
      </c>
      <c r="E670" s="30" t="s">
        <v>626</v>
      </c>
      <c r="F670" s="29">
        <v>45874</v>
      </c>
      <c r="G670">
        <v>24123.919999999998</v>
      </c>
      <c r="H670">
        <v>4023.92</v>
      </c>
      <c r="I670" s="30" t="s">
        <v>26</v>
      </c>
      <c r="J670" s="30" t="s">
        <v>76</v>
      </c>
      <c r="K670">
        <v>6</v>
      </c>
      <c r="L670" s="29">
        <v>46157</v>
      </c>
      <c r="M670" s="29">
        <v>46133</v>
      </c>
      <c r="N670" s="30" t="str">
        <f>VLOOKUP(Query1[[#This Row],[company_name]],'Org Mapping'!$B:$I,8,FALSE)</f>
        <v>Jawad Ulla Khan</v>
      </c>
      <c r="O670" s="30" t="str">
        <f>TEXT(Query1[[#This Row],[last_work_day]],"mmm'yy")</f>
        <v>May'26</v>
      </c>
    </row>
    <row r="671" spans="1:15" x14ac:dyDescent="0.35">
      <c r="A671" s="30" t="s">
        <v>390</v>
      </c>
      <c r="B671" s="30" t="s">
        <v>65</v>
      </c>
      <c r="C671" s="30" t="s">
        <v>627</v>
      </c>
      <c r="D671">
        <v>2</v>
      </c>
      <c r="E671" s="30" t="s">
        <v>628</v>
      </c>
      <c r="F671" s="29">
        <v>45873</v>
      </c>
      <c r="G671">
        <v>23718</v>
      </c>
      <c r="H671">
        <v>3618</v>
      </c>
      <c r="I671" s="30" t="s">
        <v>26</v>
      </c>
      <c r="J671" s="30" t="s">
        <v>76</v>
      </c>
      <c r="K671">
        <v>6</v>
      </c>
      <c r="L671" s="29">
        <v>46029</v>
      </c>
      <c r="M671" s="29">
        <v>46000</v>
      </c>
      <c r="N671" s="30" t="str">
        <f>VLOOKUP(Query1[[#This Row],[company_name]],'Org Mapping'!$B:$I,8,FALSE)</f>
        <v>Jawad Ulla Khan</v>
      </c>
      <c r="O671" s="30" t="str">
        <f>TEXT(Query1[[#This Row],[last_work_day]],"mmm'yy")</f>
        <v>Jan'26</v>
      </c>
    </row>
    <row r="672" spans="1:15" x14ac:dyDescent="0.35">
      <c r="A672" s="30" t="s">
        <v>629</v>
      </c>
      <c r="B672" s="30" t="s">
        <v>65</v>
      </c>
      <c r="C672" s="30" t="s">
        <v>630</v>
      </c>
      <c r="D672">
        <v>2</v>
      </c>
      <c r="E672" s="30" t="s">
        <v>631</v>
      </c>
      <c r="F672" s="29">
        <v>45875</v>
      </c>
      <c r="G672">
        <v>22066</v>
      </c>
      <c r="H672">
        <v>3366</v>
      </c>
      <c r="I672" s="30" t="s">
        <v>37</v>
      </c>
      <c r="J672" s="30" t="s">
        <v>76</v>
      </c>
      <c r="K672">
        <v>6</v>
      </c>
      <c r="L672" s="29">
        <v>46087</v>
      </c>
      <c r="M672" s="29">
        <v>46065</v>
      </c>
      <c r="N672" s="30" t="str">
        <f>VLOOKUP(Query1[[#This Row],[company_name]],'Org Mapping'!$B:$I,8,FALSE)</f>
        <v>Jawad Ulla Khan</v>
      </c>
      <c r="O672" s="30" t="str">
        <f>TEXT(Query1[[#This Row],[last_work_day]],"mmm'yy")</f>
        <v>Mar'26</v>
      </c>
    </row>
    <row r="673" spans="1:15" x14ac:dyDescent="0.35">
      <c r="A673" s="30" t="s">
        <v>550</v>
      </c>
      <c r="B673" s="30" t="s">
        <v>65</v>
      </c>
      <c r="C673" s="30" t="s">
        <v>2355</v>
      </c>
      <c r="D673">
        <v>1</v>
      </c>
      <c r="E673" s="30" t="s">
        <v>2356</v>
      </c>
      <c r="F673" s="29">
        <v>45880</v>
      </c>
      <c r="G673">
        <v>25882.5</v>
      </c>
      <c r="H673">
        <v>5882.5</v>
      </c>
      <c r="I673" s="30" t="s">
        <v>16</v>
      </c>
      <c r="J673" s="30" t="s">
        <v>544</v>
      </c>
      <c r="K673">
        <v>6</v>
      </c>
      <c r="L673" s="29">
        <v>46059</v>
      </c>
      <c r="M673" s="29">
        <v>46050</v>
      </c>
      <c r="N673" s="30" t="str">
        <f>VLOOKUP(Query1[[#This Row],[company_name]],'Org Mapping'!$B:$I,8,FALSE)</f>
        <v>UHG/Lenovo</v>
      </c>
      <c r="O673" s="30" t="str">
        <f>TEXT(Query1[[#This Row],[last_work_day]],"mmm'yy")</f>
        <v>Feb'26</v>
      </c>
    </row>
    <row r="674" spans="1:15" x14ac:dyDescent="0.35">
      <c r="A674" s="30" t="s">
        <v>557</v>
      </c>
      <c r="B674" s="30" t="s">
        <v>65</v>
      </c>
      <c r="C674" s="30" t="s">
        <v>2357</v>
      </c>
      <c r="D674">
        <v>1</v>
      </c>
      <c r="E674" s="30" t="s">
        <v>2358</v>
      </c>
      <c r="F674" s="29">
        <v>45880</v>
      </c>
      <c r="G674">
        <v>25882.5</v>
      </c>
      <c r="H674">
        <v>5882.5</v>
      </c>
      <c r="I674" s="30" t="s">
        <v>37</v>
      </c>
      <c r="J674" s="30" t="s">
        <v>544</v>
      </c>
      <c r="K674">
        <v>6</v>
      </c>
      <c r="L674" s="29">
        <v>46050</v>
      </c>
      <c r="M674" s="29">
        <v>46038</v>
      </c>
      <c r="N674" s="30" t="str">
        <f>VLOOKUP(Query1[[#This Row],[company_name]],'Org Mapping'!$B:$I,8,FALSE)</f>
        <v>UHG/Lenovo</v>
      </c>
      <c r="O674" s="30" t="str">
        <f>TEXT(Query1[[#This Row],[last_work_day]],"mmm'yy")</f>
        <v>Jan'26</v>
      </c>
    </row>
    <row r="675" spans="1:15" x14ac:dyDescent="0.35">
      <c r="A675" s="30" t="s">
        <v>551</v>
      </c>
      <c r="B675" s="30" t="s">
        <v>65</v>
      </c>
      <c r="C675" s="30" t="s">
        <v>2359</v>
      </c>
      <c r="D675">
        <v>1</v>
      </c>
      <c r="E675" s="30" t="s">
        <v>2360</v>
      </c>
      <c r="F675" s="29">
        <v>45880</v>
      </c>
      <c r="G675">
        <v>25882.5</v>
      </c>
      <c r="H675">
        <v>5882.5</v>
      </c>
      <c r="I675" s="30" t="s">
        <v>16</v>
      </c>
      <c r="J675" s="30" t="s">
        <v>544</v>
      </c>
      <c r="K675">
        <v>6</v>
      </c>
      <c r="L675" s="29">
        <v>46059</v>
      </c>
      <c r="M675" s="29">
        <v>46050</v>
      </c>
      <c r="N675" s="30" t="str">
        <f>VLOOKUP(Query1[[#This Row],[company_name]],'Org Mapping'!$B:$I,8,FALSE)</f>
        <v>UHG/Lenovo</v>
      </c>
      <c r="O675" s="30" t="str">
        <f>TEXT(Query1[[#This Row],[last_work_day]],"mmm'yy")</f>
        <v>Feb'26</v>
      </c>
    </row>
    <row r="676" spans="1:15" x14ac:dyDescent="0.35">
      <c r="A676" s="30" t="s">
        <v>551</v>
      </c>
      <c r="B676" s="30" t="s">
        <v>65</v>
      </c>
      <c r="C676" s="30" t="s">
        <v>2361</v>
      </c>
      <c r="D676">
        <v>1</v>
      </c>
      <c r="E676" s="30" t="s">
        <v>2362</v>
      </c>
      <c r="F676" s="29">
        <v>45901</v>
      </c>
      <c r="G676">
        <v>25882.5</v>
      </c>
      <c r="H676">
        <v>5882.5</v>
      </c>
      <c r="I676" s="30" t="s">
        <v>16</v>
      </c>
      <c r="J676" s="30" t="s">
        <v>544</v>
      </c>
      <c r="K676">
        <v>6</v>
      </c>
      <c r="L676" s="29">
        <v>46080</v>
      </c>
      <c r="M676" s="29">
        <v>46064</v>
      </c>
      <c r="N676" s="30" t="str">
        <f>VLOOKUP(Query1[[#This Row],[company_name]],'Org Mapping'!$B:$I,8,FALSE)</f>
        <v>UHG/Lenovo</v>
      </c>
      <c r="O676" s="30" t="str">
        <f>TEXT(Query1[[#This Row],[last_work_day]],"mmm'yy")</f>
        <v>Feb'26</v>
      </c>
    </row>
    <row r="677" spans="1:15" x14ac:dyDescent="0.35">
      <c r="A677" s="30" t="s">
        <v>1554</v>
      </c>
      <c r="B677" s="30" t="s">
        <v>2363</v>
      </c>
      <c r="C677" s="30" t="s">
        <v>2364</v>
      </c>
      <c r="D677">
        <v>2</v>
      </c>
      <c r="E677" s="30" t="s">
        <v>2365</v>
      </c>
      <c r="F677" s="29">
        <v>45880</v>
      </c>
      <c r="G677">
        <v>173880</v>
      </c>
      <c r="H677">
        <v>48880</v>
      </c>
      <c r="I677" s="30" t="s">
        <v>16</v>
      </c>
      <c r="J677" s="30" t="s">
        <v>560</v>
      </c>
      <c r="K677">
        <v>6</v>
      </c>
      <c r="L677" s="29">
        <v>46080</v>
      </c>
      <c r="M677" s="29">
        <v>46051</v>
      </c>
      <c r="N677" s="30" t="str">
        <f>VLOOKUP(Query1[[#This Row],[company_name]],'Org Mapping'!$B:$I,8,FALSE)</f>
        <v>Prathap Sagar</v>
      </c>
      <c r="O677" s="30" t="str">
        <f>TEXT(Query1[[#This Row],[last_work_day]],"mmm'yy")</f>
        <v>Feb'26</v>
      </c>
    </row>
    <row r="678" spans="1:15" x14ac:dyDescent="0.35">
      <c r="A678" s="30" t="s">
        <v>360</v>
      </c>
      <c r="B678" s="30" t="s">
        <v>65</v>
      </c>
      <c r="C678" s="30" t="s">
        <v>2366</v>
      </c>
      <c r="D678">
        <v>1</v>
      </c>
      <c r="E678" s="30" t="s">
        <v>2367</v>
      </c>
      <c r="F678" s="29">
        <v>45901</v>
      </c>
      <c r="G678">
        <v>25882.5</v>
      </c>
      <c r="H678">
        <v>5882.5</v>
      </c>
      <c r="I678" s="30" t="s">
        <v>16</v>
      </c>
      <c r="J678" s="30" t="s">
        <v>544</v>
      </c>
      <c r="K678">
        <v>6</v>
      </c>
      <c r="L678" s="29">
        <v>46080</v>
      </c>
      <c r="M678" s="29">
        <v>46064</v>
      </c>
      <c r="N678" s="30" t="str">
        <f>VLOOKUP(Query1[[#This Row],[company_name]],'Org Mapping'!$B:$I,8,FALSE)</f>
        <v>UHG/Lenovo</v>
      </c>
      <c r="O678" s="30" t="str">
        <f>TEXT(Query1[[#This Row],[last_work_day]],"mmm'yy")</f>
        <v>Feb'26</v>
      </c>
    </row>
    <row r="679" spans="1:15" x14ac:dyDescent="0.35">
      <c r="A679" s="30" t="s">
        <v>555</v>
      </c>
      <c r="B679" s="30" t="s">
        <v>65</v>
      </c>
      <c r="C679" s="30" t="s">
        <v>2368</v>
      </c>
      <c r="D679">
        <v>1</v>
      </c>
      <c r="E679" s="30" t="s">
        <v>2369</v>
      </c>
      <c r="F679" s="29">
        <v>45880</v>
      </c>
      <c r="G679">
        <v>25882.5</v>
      </c>
      <c r="H679">
        <v>5882.5</v>
      </c>
      <c r="I679" s="30" t="s">
        <v>37</v>
      </c>
      <c r="J679" s="30" t="s">
        <v>544</v>
      </c>
      <c r="K679">
        <v>6</v>
      </c>
      <c r="L679" s="29">
        <v>46050</v>
      </c>
      <c r="M679" s="29">
        <v>46038</v>
      </c>
      <c r="N679" s="30" t="str">
        <f>VLOOKUP(Query1[[#This Row],[company_name]],'Org Mapping'!$B:$I,8,FALSE)</f>
        <v>UHG/Lenovo</v>
      </c>
      <c r="O679" s="30" t="str">
        <f>TEXT(Query1[[#This Row],[last_work_day]],"mmm'yy")</f>
        <v>Jan'26</v>
      </c>
    </row>
    <row r="680" spans="1:15" x14ac:dyDescent="0.35">
      <c r="A680" s="30" t="s">
        <v>527</v>
      </c>
      <c r="B680" s="30" t="s">
        <v>1494</v>
      </c>
      <c r="C680" s="30" t="s">
        <v>2370</v>
      </c>
      <c r="D680">
        <v>2</v>
      </c>
      <c r="E680" s="30" t="s">
        <v>2371</v>
      </c>
      <c r="F680" s="29">
        <v>45873</v>
      </c>
      <c r="G680">
        <v>67500</v>
      </c>
      <c r="H680">
        <v>5000</v>
      </c>
      <c r="I680" s="30" t="s">
        <v>16</v>
      </c>
      <c r="J680" s="30" t="s">
        <v>66</v>
      </c>
      <c r="K680">
        <v>6</v>
      </c>
      <c r="L680" s="29">
        <v>46031</v>
      </c>
      <c r="M680" s="29">
        <v>46066</v>
      </c>
      <c r="N680" s="30" t="str">
        <f>VLOOKUP(Query1[[#This Row],[company_name]],'Org Mapping'!$B:$I,8,FALSE)</f>
        <v>Jawad Ulla Khan</v>
      </c>
      <c r="O680" s="30" t="str">
        <f>TEXT(Query1[[#This Row],[last_work_day]],"mmm'yy")</f>
        <v>Jan'26</v>
      </c>
    </row>
    <row r="681" spans="1:15" x14ac:dyDescent="0.35">
      <c r="A681" s="30" t="s">
        <v>390</v>
      </c>
      <c r="B681" s="30" t="s">
        <v>65</v>
      </c>
      <c r="C681" s="30" t="s">
        <v>632</v>
      </c>
      <c r="D681">
        <v>2</v>
      </c>
      <c r="E681" s="30" t="s">
        <v>633</v>
      </c>
      <c r="F681" s="29">
        <v>45875</v>
      </c>
      <c r="G681">
        <v>22066</v>
      </c>
      <c r="H681">
        <v>3366</v>
      </c>
      <c r="I681" s="30" t="s">
        <v>26</v>
      </c>
      <c r="J681" s="30" t="s">
        <v>76</v>
      </c>
      <c r="K681">
        <v>6</v>
      </c>
      <c r="L681" s="29">
        <v>46031</v>
      </c>
      <c r="M681" s="29">
        <v>46003</v>
      </c>
      <c r="N681" s="30" t="str">
        <f>VLOOKUP(Query1[[#This Row],[company_name]],'Org Mapping'!$B:$I,8,FALSE)</f>
        <v>Jawad Ulla Khan</v>
      </c>
      <c r="O681" s="30" t="str">
        <f>TEXT(Query1[[#This Row],[last_work_day]],"mmm'yy")</f>
        <v>Jan'26</v>
      </c>
    </row>
    <row r="682" spans="1:15" x14ac:dyDescent="0.35">
      <c r="A682" s="30" t="s">
        <v>98</v>
      </c>
      <c r="B682" s="30" t="s">
        <v>65</v>
      </c>
      <c r="C682" s="30" t="s">
        <v>634</v>
      </c>
      <c r="D682">
        <v>2</v>
      </c>
      <c r="E682" s="30" t="s">
        <v>635</v>
      </c>
      <c r="F682" s="29">
        <v>45875</v>
      </c>
      <c r="G682">
        <v>23718</v>
      </c>
      <c r="H682">
        <v>3618</v>
      </c>
      <c r="I682" s="30" t="s">
        <v>26</v>
      </c>
      <c r="J682" s="30" t="s">
        <v>76</v>
      </c>
      <c r="K682">
        <v>6</v>
      </c>
      <c r="L682" s="29">
        <v>46106</v>
      </c>
      <c r="M682" s="29">
        <v>46086</v>
      </c>
      <c r="N682" s="30" t="str">
        <f>VLOOKUP(Query1[[#This Row],[company_name]],'Org Mapping'!$B:$I,8,FALSE)</f>
        <v>Jawad Ulla Khan</v>
      </c>
      <c r="O682" s="30" t="str">
        <f>TEXT(Query1[[#This Row],[last_work_day]],"mmm'yy")</f>
        <v>Mar'26</v>
      </c>
    </row>
    <row r="683" spans="1:15" x14ac:dyDescent="0.35">
      <c r="A683" s="30" t="s">
        <v>390</v>
      </c>
      <c r="B683" s="30" t="s">
        <v>65</v>
      </c>
      <c r="C683" s="30" t="s">
        <v>636</v>
      </c>
      <c r="D683">
        <v>2</v>
      </c>
      <c r="E683" s="30" t="s">
        <v>637</v>
      </c>
      <c r="F683" s="29">
        <v>45876</v>
      </c>
      <c r="G683">
        <v>23718</v>
      </c>
      <c r="H683">
        <v>3618</v>
      </c>
      <c r="I683" s="30" t="s">
        <v>37</v>
      </c>
      <c r="J683" s="30" t="s">
        <v>76</v>
      </c>
      <c r="K683">
        <v>6</v>
      </c>
      <c r="L683" s="29">
        <v>46064</v>
      </c>
      <c r="M683" s="29">
        <v>45995</v>
      </c>
      <c r="N683" s="30" t="str">
        <f>VLOOKUP(Query1[[#This Row],[company_name]],'Org Mapping'!$B:$I,8,FALSE)</f>
        <v>Jawad Ulla Khan</v>
      </c>
      <c r="O683" s="30" t="str">
        <f>TEXT(Query1[[#This Row],[last_work_day]],"mmm'yy")</f>
        <v>Feb'26</v>
      </c>
    </row>
    <row r="684" spans="1:15" x14ac:dyDescent="0.35">
      <c r="A684" s="30" t="s">
        <v>1572</v>
      </c>
      <c r="B684" s="30" t="s">
        <v>39</v>
      </c>
      <c r="C684" s="30" t="s">
        <v>2372</v>
      </c>
      <c r="D684">
        <v>2</v>
      </c>
      <c r="E684" s="30" t="s">
        <v>2373</v>
      </c>
      <c r="F684" s="29">
        <v>45876</v>
      </c>
      <c r="G684">
        <v>123666.67</v>
      </c>
      <c r="H684">
        <v>7000.67</v>
      </c>
      <c r="I684" s="30" t="s">
        <v>26</v>
      </c>
      <c r="J684" s="30" t="s">
        <v>31</v>
      </c>
      <c r="K684">
        <v>6</v>
      </c>
      <c r="L684" s="29">
        <v>46063</v>
      </c>
      <c r="M684" s="29">
        <v>46032</v>
      </c>
      <c r="N684" s="30" t="str">
        <f>VLOOKUP(Query1[[#This Row],[company_name]],'Org Mapping'!$B:$I,8,FALSE)</f>
        <v>Mehr Hashim</v>
      </c>
      <c r="O684" s="30" t="str">
        <f>TEXT(Query1[[#This Row],[last_work_day]],"mmm'yy")</f>
        <v>Feb'26</v>
      </c>
    </row>
    <row r="685" spans="1:15" x14ac:dyDescent="0.35">
      <c r="A685" s="30" t="s">
        <v>390</v>
      </c>
      <c r="B685" s="30" t="s">
        <v>65</v>
      </c>
      <c r="C685" s="30" t="s">
        <v>638</v>
      </c>
      <c r="D685">
        <v>2</v>
      </c>
      <c r="E685" s="30" t="s">
        <v>639</v>
      </c>
      <c r="F685" s="29">
        <v>45877</v>
      </c>
      <c r="G685">
        <v>22066</v>
      </c>
      <c r="H685">
        <v>3366</v>
      </c>
      <c r="I685" s="30" t="s">
        <v>26</v>
      </c>
      <c r="J685" s="30" t="s">
        <v>76</v>
      </c>
      <c r="K685">
        <v>6</v>
      </c>
      <c r="L685" s="29">
        <v>46066</v>
      </c>
      <c r="M685" s="29">
        <v>46041</v>
      </c>
      <c r="N685" s="30" t="str">
        <f>VLOOKUP(Query1[[#This Row],[company_name]],'Org Mapping'!$B:$I,8,FALSE)</f>
        <v>Jawad Ulla Khan</v>
      </c>
      <c r="O685" s="30" t="str">
        <f>TEXT(Query1[[#This Row],[last_work_day]],"mmm'yy")</f>
        <v>Feb'26</v>
      </c>
    </row>
    <row r="686" spans="1:15" x14ac:dyDescent="0.35">
      <c r="A686" s="30" t="s">
        <v>553</v>
      </c>
      <c r="B686" s="30" t="s">
        <v>65</v>
      </c>
      <c r="C686" s="30" t="s">
        <v>593</v>
      </c>
      <c r="D686">
        <v>2</v>
      </c>
      <c r="E686" s="30" t="s">
        <v>640</v>
      </c>
      <c r="F686" s="29">
        <v>45877</v>
      </c>
      <c r="G686">
        <v>22066</v>
      </c>
      <c r="H686">
        <v>3366</v>
      </c>
      <c r="I686" s="30" t="s">
        <v>37</v>
      </c>
      <c r="J686" s="30" t="s">
        <v>76</v>
      </c>
      <c r="K686">
        <v>6</v>
      </c>
      <c r="L686" s="29">
        <v>46091</v>
      </c>
      <c r="M686" s="29">
        <v>45995</v>
      </c>
      <c r="N686" s="30" t="str">
        <f>VLOOKUP(Query1[[#This Row],[company_name]],'Org Mapping'!$B:$I,8,FALSE)</f>
        <v>Jawad Ulla Khan</v>
      </c>
      <c r="O686" s="30" t="str">
        <f>TEXT(Query1[[#This Row],[last_work_day]],"mmm'yy")</f>
        <v>Mar'26</v>
      </c>
    </row>
    <row r="687" spans="1:15" x14ac:dyDescent="0.35">
      <c r="A687" s="30" t="s">
        <v>614</v>
      </c>
      <c r="B687" s="30" t="s">
        <v>65</v>
      </c>
      <c r="C687" s="30" t="s">
        <v>641</v>
      </c>
      <c r="D687">
        <v>2</v>
      </c>
      <c r="E687" s="30" t="s">
        <v>642</v>
      </c>
      <c r="F687" s="29">
        <v>45877</v>
      </c>
      <c r="G687">
        <v>22066</v>
      </c>
      <c r="H687">
        <v>3366</v>
      </c>
      <c r="I687" s="30" t="s">
        <v>26</v>
      </c>
      <c r="J687" s="30" t="s">
        <v>76</v>
      </c>
      <c r="K687">
        <v>6</v>
      </c>
      <c r="L687" s="29">
        <v>46080</v>
      </c>
      <c r="M687" s="29">
        <v>45995</v>
      </c>
      <c r="N687" s="30" t="str">
        <f>VLOOKUP(Query1[[#This Row],[company_name]],'Org Mapping'!$B:$I,8,FALSE)</f>
        <v>Jawad Ulla Khan</v>
      </c>
      <c r="O687" s="30" t="str">
        <f>TEXT(Query1[[#This Row],[last_work_day]],"mmm'yy")</f>
        <v>Feb'26</v>
      </c>
    </row>
    <row r="688" spans="1:15" x14ac:dyDescent="0.35">
      <c r="A688" s="30" t="s">
        <v>643</v>
      </c>
      <c r="B688" s="30" t="s">
        <v>65</v>
      </c>
      <c r="C688" s="30" t="s">
        <v>644</v>
      </c>
      <c r="D688">
        <v>2</v>
      </c>
      <c r="E688" s="30" t="s">
        <v>645</v>
      </c>
      <c r="F688" s="29">
        <v>45877</v>
      </c>
      <c r="G688">
        <v>22066</v>
      </c>
      <c r="H688">
        <v>3366</v>
      </c>
      <c r="I688" s="30" t="s">
        <v>37</v>
      </c>
      <c r="J688" s="30" t="s">
        <v>76</v>
      </c>
      <c r="K688">
        <v>6</v>
      </c>
      <c r="L688" s="29">
        <v>46091</v>
      </c>
      <c r="M688" s="29">
        <v>46065</v>
      </c>
      <c r="N688" s="30" t="str">
        <f>VLOOKUP(Query1[[#This Row],[company_name]],'Org Mapping'!$B:$I,8,FALSE)</f>
        <v>Jawad Ulla Khan</v>
      </c>
      <c r="O688" s="30" t="str">
        <f>TEXT(Query1[[#This Row],[last_work_day]],"mmm'yy")</f>
        <v>Mar'26</v>
      </c>
    </row>
    <row r="689" spans="1:15" x14ac:dyDescent="0.35">
      <c r="A689" s="30" t="s">
        <v>292</v>
      </c>
      <c r="B689" s="30" t="s">
        <v>293</v>
      </c>
      <c r="C689" s="30" t="s">
        <v>2374</v>
      </c>
      <c r="D689">
        <v>1</v>
      </c>
      <c r="E689" s="30" t="s">
        <v>2375</v>
      </c>
      <c r="F689" s="29">
        <v>45877</v>
      </c>
      <c r="G689">
        <v>220500</v>
      </c>
      <c r="H689">
        <v>16334</v>
      </c>
      <c r="I689" s="30" t="s">
        <v>16</v>
      </c>
      <c r="J689" s="30" t="s">
        <v>326</v>
      </c>
      <c r="K689">
        <v>6</v>
      </c>
      <c r="L689" s="29">
        <v>46024</v>
      </c>
      <c r="M689" s="29">
        <v>45993</v>
      </c>
      <c r="N689" s="30" t="str">
        <f>VLOOKUP(Query1[[#This Row],[company_name]],'Org Mapping'!$B:$I,8,FALSE)</f>
        <v>Deepak Desai</v>
      </c>
      <c r="O689" s="30" t="str">
        <f>TEXT(Query1[[#This Row],[last_work_day]],"mmm'yy")</f>
        <v>Jan'26</v>
      </c>
    </row>
    <row r="690" spans="1:15" x14ac:dyDescent="0.35">
      <c r="A690" s="30" t="s">
        <v>390</v>
      </c>
      <c r="B690" s="30" t="s">
        <v>65</v>
      </c>
      <c r="C690" s="30" t="s">
        <v>646</v>
      </c>
      <c r="D690">
        <v>2</v>
      </c>
      <c r="E690" s="30" t="s">
        <v>647</v>
      </c>
      <c r="F690" s="29">
        <v>45882</v>
      </c>
      <c r="G690">
        <v>23718</v>
      </c>
      <c r="H690">
        <v>3618</v>
      </c>
      <c r="I690" s="30" t="s">
        <v>26</v>
      </c>
      <c r="J690" s="30" t="s">
        <v>76</v>
      </c>
      <c r="K690">
        <v>6</v>
      </c>
      <c r="L690" s="29">
        <v>46059</v>
      </c>
      <c r="M690" s="29">
        <v>46041</v>
      </c>
      <c r="N690" s="30" t="str">
        <f>VLOOKUP(Query1[[#This Row],[company_name]],'Org Mapping'!$B:$I,8,FALSE)</f>
        <v>Jawad Ulla Khan</v>
      </c>
      <c r="O690" s="30" t="str">
        <f>TEXT(Query1[[#This Row],[last_work_day]],"mmm'yy")</f>
        <v>Feb'26</v>
      </c>
    </row>
    <row r="691" spans="1:15" x14ac:dyDescent="0.35">
      <c r="A691" s="30" t="s">
        <v>557</v>
      </c>
      <c r="B691" s="30" t="s">
        <v>65</v>
      </c>
      <c r="C691" s="30" t="s">
        <v>648</v>
      </c>
      <c r="D691">
        <v>2</v>
      </c>
      <c r="E691" s="30" t="s">
        <v>649</v>
      </c>
      <c r="F691" s="29">
        <v>45882</v>
      </c>
      <c r="G691">
        <v>23718</v>
      </c>
      <c r="H691">
        <v>3618</v>
      </c>
      <c r="I691" s="30" t="s">
        <v>92</v>
      </c>
      <c r="J691" s="30" t="s">
        <v>76</v>
      </c>
      <c r="K691">
        <v>6</v>
      </c>
      <c r="L691" s="29">
        <v>46148</v>
      </c>
      <c r="M691" s="29">
        <v>46147</v>
      </c>
      <c r="N691" s="30" t="str">
        <f>VLOOKUP(Query1[[#This Row],[company_name]],'Org Mapping'!$B:$I,8,FALSE)</f>
        <v>Jawad Ulla Khan</v>
      </c>
      <c r="O691" s="30" t="str">
        <f>TEXT(Query1[[#This Row],[last_work_day]],"mmm'yy")</f>
        <v>May'26</v>
      </c>
    </row>
    <row r="692" spans="1:15" x14ac:dyDescent="0.35">
      <c r="A692" s="30" t="s">
        <v>1453</v>
      </c>
      <c r="B692" s="30" t="s">
        <v>39</v>
      </c>
      <c r="C692" s="30" t="s">
        <v>2376</v>
      </c>
      <c r="D692">
        <v>2</v>
      </c>
      <c r="E692" s="30" t="s">
        <v>2377</v>
      </c>
      <c r="F692" s="29">
        <v>45897</v>
      </c>
      <c r="G692">
        <v>128083.33</v>
      </c>
      <c r="H692">
        <v>7250.33</v>
      </c>
      <c r="I692" s="30" t="s">
        <v>26</v>
      </c>
      <c r="J692" s="30" t="s">
        <v>31</v>
      </c>
      <c r="K692">
        <v>6</v>
      </c>
      <c r="L692" s="29">
        <v>46135</v>
      </c>
      <c r="M692" s="29">
        <v>46112</v>
      </c>
      <c r="N692" s="30" t="str">
        <f>VLOOKUP(Query1[[#This Row],[company_name]],'Org Mapping'!$B:$I,8,FALSE)</f>
        <v>Mehr Hashim</v>
      </c>
      <c r="O692" s="30" t="str">
        <f>TEXT(Query1[[#This Row],[last_work_day]],"mmm'yy")</f>
        <v>Apr'26</v>
      </c>
    </row>
    <row r="693" spans="1:15" x14ac:dyDescent="0.35">
      <c r="A693" s="30" t="s">
        <v>550</v>
      </c>
      <c r="B693" s="30" t="s">
        <v>65</v>
      </c>
      <c r="C693" s="30" t="s">
        <v>2378</v>
      </c>
      <c r="D693">
        <v>1</v>
      </c>
      <c r="E693" s="30" t="s">
        <v>2379</v>
      </c>
      <c r="F693" s="29">
        <v>45901</v>
      </c>
      <c r="G693">
        <v>25882.5</v>
      </c>
      <c r="H693">
        <v>5882.5</v>
      </c>
      <c r="I693" s="30" t="s">
        <v>16</v>
      </c>
      <c r="J693" s="30" t="s">
        <v>544</v>
      </c>
      <c r="K693">
        <v>6</v>
      </c>
      <c r="L693" s="29">
        <v>46080</v>
      </c>
      <c r="M693" s="29">
        <v>46064</v>
      </c>
      <c r="N693" s="30" t="str">
        <f>VLOOKUP(Query1[[#This Row],[company_name]],'Org Mapping'!$B:$I,8,FALSE)</f>
        <v>UHG/Lenovo</v>
      </c>
      <c r="O693" s="30" t="str">
        <f>TEXT(Query1[[#This Row],[last_work_day]],"mmm'yy")</f>
        <v>Feb'26</v>
      </c>
    </row>
    <row r="694" spans="1:15" x14ac:dyDescent="0.35">
      <c r="A694" s="30" t="s">
        <v>2380</v>
      </c>
      <c r="B694" s="30" t="s">
        <v>1628</v>
      </c>
      <c r="C694" s="30" t="s">
        <v>2381</v>
      </c>
      <c r="D694">
        <v>2</v>
      </c>
      <c r="E694" s="30" t="s">
        <v>2382</v>
      </c>
      <c r="F694" s="29">
        <v>45880</v>
      </c>
      <c r="G694">
        <v>116666</v>
      </c>
      <c r="H694">
        <v>50000</v>
      </c>
      <c r="I694" s="30" t="s">
        <v>21</v>
      </c>
      <c r="J694" s="30" t="s">
        <v>524</v>
      </c>
      <c r="K694">
        <v>6</v>
      </c>
      <c r="L694" s="29">
        <v>46087</v>
      </c>
      <c r="M694" s="29">
        <v>46052</v>
      </c>
      <c r="N694" s="30" t="str">
        <f>VLOOKUP(Query1[[#This Row],[company_name]],'Org Mapping'!$B:$I,8,FALSE)</f>
        <v>Sadhna Shukla</v>
      </c>
      <c r="O694" s="30" t="str">
        <f>TEXT(Query1[[#This Row],[last_work_day]],"mmm'yy")</f>
        <v>Mar'26</v>
      </c>
    </row>
    <row r="695" spans="1:15" x14ac:dyDescent="0.35">
      <c r="A695" s="30" t="s">
        <v>360</v>
      </c>
      <c r="B695" s="30" t="s">
        <v>65</v>
      </c>
      <c r="C695" s="30" t="s">
        <v>650</v>
      </c>
      <c r="D695">
        <v>2</v>
      </c>
      <c r="E695" s="30" t="s">
        <v>651</v>
      </c>
      <c r="F695" s="29">
        <v>45882</v>
      </c>
      <c r="G695">
        <v>23718</v>
      </c>
      <c r="H695">
        <v>3618</v>
      </c>
      <c r="I695" s="30" t="s">
        <v>37</v>
      </c>
      <c r="J695" s="30" t="s">
        <v>76</v>
      </c>
      <c r="K695">
        <v>6</v>
      </c>
      <c r="L695" s="29">
        <v>46107</v>
      </c>
      <c r="M695" s="29">
        <v>45995</v>
      </c>
      <c r="N695" s="30" t="str">
        <f>VLOOKUP(Query1[[#This Row],[company_name]],'Org Mapping'!$B:$I,8,FALSE)</f>
        <v>Jawad Ulla Khan</v>
      </c>
      <c r="O695" s="30" t="str">
        <f>TEXT(Query1[[#This Row],[last_work_day]],"mmm'yy")</f>
        <v>Mar'26</v>
      </c>
    </row>
    <row r="696" spans="1:15" x14ac:dyDescent="0.35">
      <c r="A696" s="30" t="s">
        <v>557</v>
      </c>
      <c r="B696" s="30" t="s">
        <v>65</v>
      </c>
      <c r="C696" s="30" t="s">
        <v>652</v>
      </c>
      <c r="D696">
        <v>2</v>
      </c>
      <c r="E696" s="30" t="s">
        <v>653</v>
      </c>
      <c r="F696" s="29">
        <v>45883</v>
      </c>
      <c r="G696">
        <v>23718</v>
      </c>
      <c r="H696">
        <v>3618</v>
      </c>
      <c r="I696" s="30" t="s">
        <v>26</v>
      </c>
      <c r="J696" s="30" t="s">
        <v>76</v>
      </c>
      <c r="K696">
        <v>6</v>
      </c>
      <c r="L696" s="29">
        <v>46029</v>
      </c>
      <c r="M696" s="29">
        <v>46001</v>
      </c>
      <c r="N696" s="30" t="str">
        <f>VLOOKUP(Query1[[#This Row],[company_name]],'Org Mapping'!$B:$I,8,FALSE)</f>
        <v>Jawad Ulla Khan</v>
      </c>
      <c r="O696" s="30" t="str">
        <f>TEXT(Query1[[#This Row],[last_work_day]],"mmm'yy")</f>
        <v>Jan'26</v>
      </c>
    </row>
    <row r="697" spans="1:15" x14ac:dyDescent="0.35">
      <c r="A697" s="30" t="s">
        <v>557</v>
      </c>
      <c r="B697" s="30" t="s">
        <v>65</v>
      </c>
      <c r="C697" s="30" t="s">
        <v>654</v>
      </c>
      <c r="D697">
        <v>2</v>
      </c>
      <c r="E697" s="30" t="s">
        <v>655</v>
      </c>
      <c r="F697" s="29">
        <v>45883</v>
      </c>
      <c r="G697">
        <v>24123.919999999998</v>
      </c>
      <c r="H697">
        <v>4023.92</v>
      </c>
      <c r="I697" s="30" t="s">
        <v>92</v>
      </c>
      <c r="J697" s="30" t="s">
        <v>76</v>
      </c>
      <c r="K697">
        <v>6</v>
      </c>
      <c r="L697" s="29">
        <v>46157</v>
      </c>
      <c r="M697" s="29">
        <v>46157</v>
      </c>
      <c r="N697" s="30" t="str">
        <f>VLOOKUP(Query1[[#This Row],[company_name]],'Org Mapping'!$B:$I,8,FALSE)</f>
        <v>Jawad Ulla Khan</v>
      </c>
      <c r="O697" s="30" t="str">
        <f>TEXT(Query1[[#This Row],[last_work_day]],"mmm'yy")</f>
        <v>May'26</v>
      </c>
    </row>
    <row r="698" spans="1:15" x14ac:dyDescent="0.35">
      <c r="A698" s="30" t="s">
        <v>390</v>
      </c>
      <c r="B698" s="30" t="s">
        <v>65</v>
      </c>
      <c r="C698" s="30" t="s">
        <v>657</v>
      </c>
      <c r="D698">
        <v>2</v>
      </c>
      <c r="E698" s="30" t="s">
        <v>658</v>
      </c>
      <c r="F698" s="29">
        <v>45883</v>
      </c>
      <c r="G698">
        <v>23718</v>
      </c>
      <c r="H698">
        <v>3618</v>
      </c>
      <c r="I698" s="30" t="s">
        <v>91</v>
      </c>
      <c r="J698" s="30" t="s">
        <v>76</v>
      </c>
      <c r="K698">
        <v>6</v>
      </c>
      <c r="L698" s="29">
        <v>46115</v>
      </c>
      <c r="M698" s="29">
        <v>46093</v>
      </c>
      <c r="N698" s="30" t="str">
        <f>VLOOKUP(Query1[[#This Row],[company_name]],'Org Mapping'!$B:$I,8,FALSE)</f>
        <v>Jawad Ulla Khan</v>
      </c>
      <c r="O698" s="30" t="str">
        <f>TEXT(Query1[[#This Row],[last_work_day]],"mmm'yy")</f>
        <v>Apr'26</v>
      </c>
    </row>
    <row r="699" spans="1:15" x14ac:dyDescent="0.35">
      <c r="A699" s="30" t="s">
        <v>360</v>
      </c>
      <c r="B699" s="30" t="s">
        <v>65</v>
      </c>
      <c r="C699" s="30" t="s">
        <v>659</v>
      </c>
      <c r="D699">
        <v>2</v>
      </c>
      <c r="E699" s="30" t="s">
        <v>660</v>
      </c>
      <c r="F699" s="29">
        <v>45888</v>
      </c>
      <c r="G699">
        <v>26550</v>
      </c>
      <c r="H699">
        <v>4050</v>
      </c>
      <c r="I699" s="30" t="s">
        <v>37</v>
      </c>
      <c r="J699" s="30" t="s">
        <v>76</v>
      </c>
      <c r="K699">
        <v>6</v>
      </c>
      <c r="L699" s="29">
        <v>46056</v>
      </c>
      <c r="M699" s="29">
        <v>46035</v>
      </c>
      <c r="N699" s="30" t="str">
        <f>VLOOKUP(Query1[[#This Row],[company_name]],'Org Mapping'!$B:$I,8,FALSE)</f>
        <v>Jawad Ulla Khan</v>
      </c>
      <c r="O699" s="30" t="str">
        <f>TEXT(Query1[[#This Row],[last_work_day]],"mmm'yy")</f>
        <v>Feb'26</v>
      </c>
    </row>
    <row r="700" spans="1:15" x14ac:dyDescent="0.35">
      <c r="A700" s="30" t="s">
        <v>2383</v>
      </c>
      <c r="B700" s="30" t="s">
        <v>1494</v>
      </c>
      <c r="C700" s="30" t="s">
        <v>2384</v>
      </c>
      <c r="D700">
        <v>1</v>
      </c>
      <c r="E700" s="30" t="s">
        <v>2385</v>
      </c>
      <c r="F700" s="29">
        <v>45908</v>
      </c>
      <c r="G700">
        <v>46683</v>
      </c>
      <c r="H700">
        <v>9183</v>
      </c>
      <c r="I700" s="30" t="s">
        <v>16</v>
      </c>
      <c r="J700" s="30" t="s">
        <v>119</v>
      </c>
      <c r="K700">
        <v>6</v>
      </c>
      <c r="L700" s="29">
        <v>46080</v>
      </c>
      <c r="M700" s="29">
        <v>46027</v>
      </c>
      <c r="N700" s="30" t="str">
        <f>VLOOKUP(Query1[[#This Row],[company_name]],'Org Mapping'!$B:$I,8,FALSE)</f>
        <v>Anuradha</v>
      </c>
      <c r="O700" s="30" t="str">
        <f>TEXT(Query1[[#This Row],[last_work_day]],"mmm'yy")</f>
        <v>Feb'26</v>
      </c>
    </row>
    <row r="701" spans="1:15" x14ac:dyDescent="0.35">
      <c r="A701" s="30" t="s">
        <v>429</v>
      </c>
      <c r="B701" s="30" t="s">
        <v>65</v>
      </c>
      <c r="C701" s="30" t="s">
        <v>661</v>
      </c>
      <c r="D701">
        <v>2</v>
      </c>
      <c r="E701" s="30" t="s">
        <v>662</v>
      </c>
      <c r="F701" s="29">
        <v>45890</v>
      </c>
      <c r="G701">
        <v>23718</v>
      </c>
      <c r="H701">
        <v>3618</v>
      </c>
      <c r="I701" s="30" t="s">
        <v>26</v>
      </c>
      <c r="J701" s="30" t="s">
        <v>76</v>
      </c>
      <c r="K701">
        <v>6</v>
      </c>
      <c r="L701" s="29">
        <v>46038</v>
      </c>
      <c r="M701" s="29">
        <v>46027</v>
      </c>
      <c r="N701" s="30" t="str">
        <f>VLOOKUP(Query1[[#This Row],[company_name]],'Org Mapping'!$B:$I,8,FALSE)</f>
        <v>Jawad Ulla Khan</v>
      </c>
      <c r="O701" s="30" t="str">
        <f>TEXT(Query1[[#This Row],[last_work_day]],"mmm'yy")</f>
        <v>Jan'26</v>
      </c>
    </row>
    <row r="702" spans="1:15" x14ac:dyDescent="0.35">
      <c r="A702" s="30" t="s">
        <v>2386</v>
      </c>
      <c r="B702" s="30" t="s">
        <v>117</v>
      </c>
      <c r="C702" s="30" t="s">
        <v>2387</v>
      </c>
      <c r="D702">
        <v>1</v>
      </c>
      <c r="E702" s="30" t="s">
        <v>2388</v>
      </c>
      <c r="F702" s="29">
        <v>45887</v>
      </c>
      <c r="G702">
        <v>130049.26</v>
      </c>
      <c r="H702">
        <v>55049.26</v>
      </c>
      <c r="I702" s="30" t="s">
        <v>21</v>
      </c>
      <c r="J702" s="30" t="s">
        <v>118</v>
      </c>
      <c r="K702">
        <v>6</v>
      </c>
      <c r="L702" s="29">
        <v>46112</v>
      </c>
      <c r="M702" s="29">
        <v>46069</v>
      </c>
      <c r="N702" s="30" t="str">
        <f>VLOOKUP(Query1[[#This Row],[company_name]],'Org Mapping'!$B:$I,8,FALSE)</f>
        <v>DXC</v>
      </c>
      <c r="O702" s="30" t="str">
        <f>TEXT(Query1[[#This Row],[last_work_day]],"mmm'yy")</f>
        <v>Mar'26</v>
      </c>
    </row>
    <row r="703" spans="1:15" x14ac:dyDescent="0.35">
      <c r="A703" s="30" t="s">
        <v>1523</v>
      </c>
      <c r="B703" s="30" t="s">
        <v>1494</v>
      </c>
      <c r="C703" s="30" t="s">
        <v>2389</v>
      </c>
      <c r="D703">
        <v>1</v>
      </c>
      <c r="E703" s="30" t="s">
        <v>2390</v>
      </c>
      <c r="F703" s="29">
        <v>45890</v>
      </c>
      <c r="G703">
        <v>140049</v>
      </c>
      <c r="H703">
        <v>48383</v>
      </c>
      <c r="I703" s="30" t="s">
        <v>26</v>
      </c>
      <c r="J703" s="30" t="s">
        <v>119</v>
      </c>
      <c r="K703">
        <v>6</v>
      </c>
      <c r="L703" s="29">
        <v>46028</v>
      </c>
      <c r="M703" s="29">
        <v>45996</v>
      </c>
      <c r="N703" s="30" t="str">
        <f>VLOOKUP(Query1[[#This Row],[company_name]],'Org Mapping'!$B:$I,8,FALSE)</f>
        <v>Anuradha</v>
      </c>
      <c r="O703" s="30" t="str">
        <f>TEXT(Query1[[#This Row],[last_work_day]],"mmm'yy")</f>
        <v>Jan'26</v>
      </c>
    </row>
    <row r="704" spans="1:15" x14ac:dyDescent="0.35">
      <c r="A704" s="30" t="s">
        <v>1613</v>
      </c>
      <c r="B704" s="30" t="s">
        <v>1494</v>
      </c>
      <c r="C704" s="30" t="s">
        <v>2391</v>
      </c>
      <c r="D704">
        <v>1</v>
      </c>
      <c r="E704" s="30" t="s">
        <v>2392</v>
      </c>
      <c r="F704" s="29">
        <v>45894</v>
      </c>
      <c r="G704">
        <v>43953</v>
      </c>
      <c r="H704">
        <v>8953</v>
      </c>
      <c r="I704" s="30" t="s">
        <v>26</v>
      </c>
      <c r="J704" s="30" t="s">
        <v>119</v>
      </c>
      <c r="K704">
        <v>6</v>
      </c>
      <c r="L704" s="29">
        <v>46094</v>
      </c>
      <c r="M704" s="29">
        <v>46097</v>
      </c>
      <c r="N704" s="30" t="str">
        <f>VLOOKUP(Query1[[#This Row],[company_name]],'Org Mapping'!$B:$I,8,FALSE)</f>
        <v>Anuradha</v>
      </c>
      <c r="O704" s="30" t="str">
        <f>TEXT(Query1[[#This Row],[last_work_day]],"mmm'yy")</f>
        <v>Mar'26</v>
      </c>
    </row>
    <row r="705" spans="1:15" x14ac:dyDescent="0.35">
      <c r="A705" s="30" t="s">
        <v>2393</v>
      </c>
      <c r="B705" s="30" t="s">
        <v>1628</v>
      </c>
      <c r="C705" s="30" t="s">
        <v>2394</v>
      </c>
      <c r="D705">
        <v>2</v>
      </c>
      <c r="E705" s="30" t="s">
        <v>2395</v>
      </c>
      <c r="F705" s="29">
        <v>45894</v>
      </c>
      <c r="G705">
        <v>162500</v>
      </c>
      <c r="H705">
        <v>12500</v>
      </c>
      <c r="I705" s="30" t="s">
        <v>21</v>
      </c>
      <c r="J705" s="30" t="s">
        <v>524</v>
      </c>
      <c r="K705">
        <v>6</v>
      </c>
      <c r="L705" s="29">
        <v>46080</v>
      </c>
      <c r="M705" s="29">
        <v>46052</v>
      </c>
      <c r="N705" s="30" t="str">
        <f>VLOOKUP(Query1[[#This Row],[company_name]],'Org Mapping'!$B:$I,8,FALSE)</f>
        <v>Sadhna Shukla</v>
      </c>
      <c r="O705" s="30" t="str">
        <f>TEXT(Query1[[#This Row],[last_work_day]],"mmm'yy")</f>
        <v>Feb'26</v>
      </c>
    </row>
    <row r="706" spans="1:15" x14ac:dyDescent="0.35">
      <c r="A706" s="30" t="s">
        <v>2396</v>
      </c>
      <c r="B706" s="30" t="s">
        <v>1657</v>
      </c>
      <c r="C706" s="30" t="s">
        <v>2397</v>
      </c>
      <c r="D706">
        <v>2</v>
      </c>
      <c r="E706" s="30" t="s">
        <v>2398</v>
      </c>
      <c r="F706" s="29">
        <v>45887</v>
      </c>
      <c r="G706">
        <v>116666</v>
      </c>
      <c r="H706">
        <v>8333</v>
      </c>
      <c r="I706" s="30" t="s">
        <v>21</v>
      </c>
      <c r="J706" s="30" t="s">
        <v>524</v>
      </c>
      <c r="K706">
        <v>6</v>
      </c>
      <c r="L706" s="29">
        <v>46157</v>
      </c>
      <c r="M706" s="29">
        <v>46142</v>
      </c>
      <c r="N706" s="30" t="str">
        <f>VLOOKUP(Query1[[#This Row],[company_name]],'Org Mapping'!$B:$I,8,FALSE)</f>
        <v>Sadhna Shukla</v>
      </c>
      <c r="O706" s="30" t="str">
        <f>TEXT(Query1[[#This Row],[last_work_day]],"mmm'yy")</f>
        <v>May'26</v>
      </c>
    </row>
    <row r="707" spans="1:15" x14ac:dyDescent="0.35">
      <c r="A707" s="30" t="s">
        <v>555</v>
      </c>
      <c r="B707" s="30" t="s">
        <v>65</v>
      </c>
      <c r="C707" s="30" t="s">
        <v>663</v>
      </c>
      <c r="D707">
        <v>2</v>
      </c>
      <c r="E707" s="30" t="s">
        <v>664</v>
      </c>
      <c r="F707" s="29">
        <v>45889</v>
      </c>
      <c r="G707">
        <v>23718</v>
      </c>
      <c r="H707">
        <v>3618</v>
      </c>
      <c r="I707" s="30" t="s">
        <v>26</v>
      </c>
      <c r="J707" s="30" t="s">
        <v>76</v>
      </c>
      <c r="K707">
        <v>6</v>
      </c>
      <c r="L707" s="29">
        <v>46024</v>
      </c>
      <c r="M707" s="29">
        <v>46006</v>
      </c>
      <c r="N707" s="30" t="str">
        <f>VLOOKUP(Query1[[#This Row],[company_name]],'Org Mapping'!$B:$I,8,FALSE)</f>
        <v>Jawad Ulla Khan</v>
      </c>
      <c r="O707" s="30" t="str">
        <f>TEXT(Query1[[#This Row],[last_work_day]],"mmm'yy")</f>
        <v>Jan'26</v>
      </c>
    </row>
    <row r="708" spans="1:15" x14ac:dyDescent="0.35">
      <c r="A708" s="30" t="s">
        <v>2399</v>
      </c>
      <c r="B708" s="30" t="s">
        <v>39</v>
      </c>
      <c r="C708" s="30" t="s">
        <v>2400</v>
      </c>
      <c r="D708">
        <v>2</v>
      </c>
      <c r="E708" s="30" t="s">
        <v>2401</v>
      </c>
      <c r="F708" s="29">
        <v>45897</v>
      </c>
      <c r="G708">
        <v>39750</v>
      </c>
      <c r="H708">
        <v>2250</v>
      </c>
      <c r="I708" s="30" t="s">
        <v>26</v>
      </c>
      <c r="J708" s="30" t="s">
        <v>31</v>
      </c>
      <c r="K708">
        <v>6</v>
      </c>
      <c r="L708" s="29">
        <v>46029</v>
      </c>
      <c r="M708" s="29">
        <v>46029</v>
      </c>
      <c r="N708" s="30" t="str">
        <f>VLOOKUP(Query1[[#This Row],[company_name]],'Org Mapping'!$B:$I,8,FALSE)</f>
        <v>Mehr Hashim</v>
      </c>
      <c r="O708" s="30" t="str">
        <f>TEXT(Query1[[#This Row],[last_work_day]],"mmm'yy")</f>
        <v>Jan'26</v>
      </c>
    </row>
    <row r="709" spans="1:15" x14ac:dyDescent="0.35">
      <c r="A709" s="30" t="s">
        <v>2402</v>
      </c>
      <c r="B709" s="30" t="s">
        <v>1544</v>
      </c>
      <c r="C709" s="30" t="s">
        <v>2403</v>
      </c>
      <c r="D709">
        <v>2</v>
      </c>
      <c r="E709" s="30" t="s">
        <v>2404</v>
      </c>
      <c r="F709" s="29">
        <v>45909</v>
      </c>
      <c r="G709">
        <v>277200</v>
      </c>
      <c r="H709">
        <v>177200</v>
      </c>
      <c r="I709" s="30" t="s">
        <v>21</v>
      </c>
      <c r="J709" s="30" t="s">
        <v>48</v>
      </c>
      <c r="K709">
        <v>6</v>
      </c>
      <c r="L709" s="29">
        <v>46108</v>
      </c>
      <c r="M709" s="29">
        <v>46101</v>
      </c>
      <c r="N709" s="30" t="str">
        <f>VLOOKUP(Query1[[#This Row],[company_name]],'Org Mapping'!$B:$I,8,FALSE)</f>
        <v>Prathap Sagar</v>
      </c>
      <c r="O709" s="30" t="str">
        <f>TEXT(Query1[[#This Row],[last_work_day]],"mmm'yy")</f>
        <v>Mar'26</v>
      </c>
    </row>
    <row r="710" spans="1:15" x14ac:dyDescent="0.35">
      <c r="A710" s="30" t="s">
        <v>1683</v>
      </c>
      <c r="B710" s="30" t="s">
        <v>1628</v>
      </c>
      <c r="C710" s="30" t="s">
        <v>2405</v>
      </c>
      <c r="D710">
        <v>2</v>
      </c>
      <c r="E710" s="30" t="s">
        <v>2406</v>
      </c>
      <c r="F710" s="29">
        <v>45895</v>
      </c>
      <c r="G710">
        <v>162500</v>
      </c>
      <c r="H710">
        <v>12500</v>
      </c>
      <c r="I710" s="30" t="s">
        <v>21</v>
      </c>
      <c r="J710" s="30" t="s">
        <v>524</v>
      </c>
      <c r="K710">
        <v>6</v>
      </c>
      <c r="L710" s="29">
        <v>46080</v>
      </c>
      <c r="M710" s="29">
        <v>46052</v>
      </c>
      <c r="N710" s="30" t="str">
        <f>VLOOKUP(Query1[[#This Row],[company_name]],'Org Mapping'!$B:$I,8,FALSE)</f>
        <v>Sadhna Shukla</v>
      </c>
      <c r="O710" s="30" t="str">
        <f>TEXT(Query1[[#This Row],[last_work_day]],"mmm'yy")</f>
        <v>Feb'26</v>
      </c>
    </row>
    <row r="711" spans="1:15" x14ac:dyDescent="0.35">
      <c r="A711" s="30" t="s">
        <v>2135</v>
      </c>
      <c r="B711" s="30" t="s">
        <v>2169</v>
      </c>
      <c r="C711" s="30" t="s">
        <v>2407</v>
      </c>
      <c r="D711">
        <v>2</v>
      </c>
      <c r="E711" s="30" t="s">
        <v>2408</v>
      </c>
      <c r="F711" s="29">
        <v>45901</v>
      </c>
      <c r="G711">
        <v>204750</v>
      </c>
      <c r="H711">
        <v>29750</v>
      </c>
      <c r="I711" s="30" t="s">
        <v>21</v>
      </c>
      <c r="J711" s="30" t="s">
        <v>560</v>
      </c>
      <c r="K711">
        <v>6</v>
      </c>
      <c r="L711" s="29">
        <v>46031</v>
      </c>
      <c r="M711" s="29">
        <v>46009</v>
      </c>
      <c r="N711" s="30" t="str">
        <f>VLOOKUP(Query1[[#This Row],[company_name]],'Org Mapping'!$B:$I,8,FALSE)</f>
        <v>Prathap Sagar</v>
      </c>
      <c r="O711" s="30" t="str">
        <f>TEXT(Query1[[#This Row],[last_work_day]],"mmm'yy")</f>
        <v>Jan'26</v>
      </c>
    </row>
    <row r="712" spans="1:15" x14ac:dyDescent="0.35">
      <c r="A712" s="30" t="s">
        <v>557</v>
      </c>
      <c r="B712" s="30" t="s">
        <v>65</v>
      </c>
      <c r="C712" s="30" t="s">
        <v>665</v>
      </c>
      <c r="D712">
        <v>2</v>
      </c>
      <c r="E712" s="30" t="s">
        <v>666</v>
      </c>
      <c r="F712" s="29">
        <v>45891</v>
      </c>
      <c r="G712">
        <v>23718</v>
      </c>
      <c r="H712">
        <v>3618</v>
      </c>
      <c r="I712" s="30" t="s">
        <v>37</v>
      </c>
      <c r="J712" s="30" t="s">
        <v>76</v>
      </c>
      <c r="K712">
        <v>6</v>
      </c>
      <c r="L712" s="29">
        <v>46086</v>
      </c>
      <c r="M712" s="29">
        <v>46058</v>
      </c>
      <c r="N712" s="30" t="str">
        <f>VLOOKUP(Query1[[#This Row],[company_name]],'Org Mapping'!$B:$I,8,FALSE)</f>
        <v>Jawad Ulla Khan</v>
      </c>
      <c r="O712" s="30" t="str">
        <f>TEXT(Query1[[#This Row],[last_work_day]],"mmm'yy")</f>
        <v>Mar'26</v>
      </c>
    </row>
    <row r="713" spans="1:15" x14ac:dyDescent="0.35">
      <c r="A713" s="30" t="s">
        <v>2115</v>
      </c>
      <c r="B713" s="30" t="s">
        <v>446</v>
      </c>
      <c r="C713" s="30" t="s">
        <v>2409</v>
      </c>
      <c r="D713">
        <v>1</v>
      </c>
      <c r="E713" s="30" t="s">
        <v>2410</v>
      </c>
      <c r="F713" s="29">
        <v>45901</v>
      </c>
      <c r="G713">
        <v>248260.32</v>
      </c>
      <c r="H713">
        <v>35760.32</v>
      </c>
      <c r="I713" s="30" t="s">
        <v>16</v>
      </c>
      <c r="J713" s="30" t="s">
        <v>102</v>
      </c>
      <c r="K713">
        <v>6</v>
      </c>
      <c r="L713" s="29">
        <v>46171</v>
      </c>
      <c r="M713" s="29">
        <v>46105</v>
      </c>
      <c r="N713" s="30" t="str">
        <f>VLOOKUP(Query1[[#This Row],[company_name]],'Org Mapping'!$B:$I,8,FALSE)</f>
        <v>Mehr Hashim</v>
      </c>
      <c r="O713" s="30" t="str">
        <f>TEXT(Query1[[#This Row],[last_work_day]],"mmm'yy")</f>
        <v>May'26</v>
      </c>
    </row>
    <row r="714" spans="1:15" x14ac:dyDescent="0.35">
      <c r="A714" s="30" t="s">
        <v>2411</v>
      </c>
      <c r="B714" s="30" t="s">
        <v>39</v>
      </c>
      <c r="C714" s="30" t="s">
        <v>2412</v>
      </c>
      <c r="D714">
        <v>2</v>
      </c>
      <c r="E714" s="30" t="s">
        <v>2413</v>
      </c>
      <c r="F714" s="29">
        <v>45894</v>
      </c>
      <c r="G714">
        <v>362208</v>
      </c>
      <c r="H714">
        <v>78875</v>
      </c>
      <c r="I714" s="30" t="s">
        <v>16</v>
      </c>
      <c r="J714" s="30" t="s">
        <v>49</v>
      </c>
      <c r="K714">
        <v>6</v>
      </c>
      <c r="L714" s="29">
        <v>46099</v>
      </c>
      <c r="M714" s="29">
        <v>46014</v>
      </c>
      <c r="N714" s="30" t="str">
        <f>VLOOKUP(Query1[[#This Row],[company_name]],'Org Mapping'!$B:$I,8,FALSE)</f>
        <v>Mehr Hashim</v>
      </c>
      <c r="O714" s="30" t="str">
        <f>TEXT(Query1[[#This Row],[last_work_day]],"mmm'yy")</f>
        <v>Mar'26</v>
      </c>
    </row>
    <row r="715" spans="1:15" x14ac:dyDescent="0.35">
      <c r="A715" s="30" t="s">
        <v>668</v>
      </c>
      <c r="B715" s="30" t="s">
        <v>65</v>
      </c>
      <c r="C715" s="30" t="s">
        <v>669</v>
      </c>
      <c r="D715">
        <v>2</v>
      </c>
      <c r="E715" s="30" t="s">
        <v>670</v>
      </c>
      <c r="F715" s="29">
        <v>45897</v>
      </c>
      <c r="G715">
        <v>23718</v>
      </c>
      <c r="H715">
        <v>3618</v>
      </c>
      <c r="I715" s="30" t="s">
        <v>26</v>
      </c>
      <c r="J715" s="30" t="s">
        <v>76</v>
      </c>
      <c r="K715">
        <v>6</v>
      </c>
      <c r="L715" s="29">
        <v>46066</v>
      </c>
      <c r="M715" s="29">
        <v>46038</v>
      </c>
      <c r="N715" s="30" t="str">
        <f>VLOOKUP(Query1[[#This Row],[company_name]],'Org Mapping'!$B:$I,8,FALSE)</f>
        <v>Jawad Ulla Khan</v>
      </c>
      <c r="O715" s="30" t="str">
        <f>TEXT(Query1[[#This Row],[last_work_day]],"mmm'yy")</f>
        <v>Feb'26</v>
      </c>
    </row>
    <row r="716" spans="1:15" x14ac:dyDescent="0.35">
      <c r="A716" s="30" t="s">
        <v>481</v>
      </c>
      <c r="B716" s="30" t="s">
        <v>65</v>
      </c>
      <c r="C716" s="30" t="s">
        <v>671</v>
      </c>
      <c r="D716">
        <v>2</v>
      </c>
      <c r="E716" s="30" t="s">
        <v>672</v>
      </c>
      <c r="F716" s="29">
        <v>45908</v>
      </c>
      <c r="G716">
        <v>50000</v>
      </c>
      <c r="H716">
        <v>10000</v>
      </c>
      <c r="I716" s="30" t="s">
        <v>26</v>
      </c>
      <c r="J716" s="30" t="s">
        <v>76</v>
      </c>
      <c r="K716">
        <v>6</v>
      </c>
      <c r="L716" s="29">
        <v>46106</v>
      </c>
      <c r="M716" s="29">
        <v>45911</v>
      </c>
      <c r="N716" s="30" t="str">
        <f>VLOOKUP(Query1[[#This Row],[company_name]],'Org Mapping'!$B:$I,8,FALSE)</f>
        <v>Jawad Ulla Khan</v>
      </c>
      <c r="O716" s="30" t="str">
        <f>TEXT(Query1[[#This Row],[last_work_day]],"mmm'yy")</f>
        <v>Mar'26</v>
      </c>
    </row>
    <row r="717" spans="1:15" x14ac:dyDescent="0.35">
      <c r="A717" s="30" t="s">
        <v>2414</v>
      </c>
      <c r="B717" s="30" t="s">
        <v>1544</v>
      </c>
      <c r="C717" s="30" t="s">
        <v>2415</v>
      </c>
      <c r="D717">
        <v>2</v>
      </c>
      <c r="E717" s="30" t="s">
        <v>2416</v>
      </c>
      <c r="F717" s="29">
        <v>45897</v>
      </c>
      <c r="G717">
        <v>267600</v>
      </c>
      <c r="H717">
        <v>55100</v>
      </c>
      <c r="I717" s="30" t="s">
        <v>37</v>
      </c>
      <c r="J717" s="30" t="s">
        <v>494</v>
      </c>
      <c r="K717">
        <v>6</v>
      </c>
      <c r="L717" s="29">
        <v>46108</v>
      </c>
      <c r="M717" s="29">
        <v>46094</v>
      </c>
      <c r="N717" s="30" t="str">
        <f>VLOOKUP(Query1[[#This Row],[company_name]],'Org Mapping'!$B:$I,8,FALSE)</f>
        <v>Prathap Sagar</v>
      </c>
      <c r="O717" s="30" t="str">
        <f>TEXT(Query1[[#This Row],[last_work_day]],"mmm'yy")</f>
        <v>Mar'26</v>
      </c>
    </row>
    <row r="718" spans="1:15" x14ac:dyDescent="0.35">
      <c r="A718" s="30" t="s">
        <v>2417</v>
      </c>
      <c r="B718" s="30" t="s">
        <v>1494</v>
      </c>
      <c r="C718" s="30" t="s">
        <v>2418</v>
      </c>
      <c r="D718">
        <v>2</v>
      </c>
      <c r="E718" s="30" t="s">
        <v>2419</v>
      </c>
      <c r="F718" s="29">
        <v>45897</v>
      </c>
      <c r="G718">
        <v>228900</v>
      </c>
      <c r="H718">
        <v>28900</v>
      </c>
      <c r="I718" s="30" t="s">
        <v>26</v>
      </c>
      <c r="J718" s="30" t="s">
        <v>326</v>
      </c>
      <c r="K718">
        <v>6</v>
      </c>
      <c r="L718" s="29">
        <v>46045</v>
      </c>
      <c r="M718" s="29">
        <v>46015</v>
      </c>
      <c r="N718" s="30" t="str">
        <f>VLOOKUP(Query1[[#This Row],[company_name]],'Org Mapping'!$B:$I,8,FALSE)</f>
        <v>Deepak Desai</v>
      </c>
      <c r="O718" s="30" t="str">
        <f>TEXT(Query1[[#This Row],[last_work_day]],"mmm'yy")</f>
        <v>Jan'26</v>
      </c>
    </row>
    <row r="719" spans="1:15" x14ac:dyDescent="0.35">
      <c r="A719" s="30" t="s">
        <v>309</v>
      </c>
      <c r="B719" s="30" t="s">
        <v>43</v>
      </c>
      <c r="C719" s="30" t="s">
        <v>673</v>
      </c>
      <c r="D719">
        <v>6</v>
      </c>
      <c r="E719" s="30" t="s">
        <v>674</v>
      </c>
      <c r="F719" s="29">
        <v>45902</v>
      </c>
      <c r="G719">
        <v>46800</v>
      </c>
      <c r="H719">
        <v>6800</v>
      </c>
      <c r="I719" s="30" t="s">
        <v>26</v>
      </c>
      <c r="J719" s="30" t="s">
        <v>17</v>
      </c>
      <c r="K719">
        <v>6</v>
      </c>
      <c r="L719" s="29">
        <v>46128</v>
      </c>
      <c r="M719" s="29">
        <v>45986</v>
      </c>
      <c r="N719" s="30" t="str">
        <f>VLOOKUP(Query1[[#This Row],[company_name]],'Org Mapping'!$B:$I,8,FALSE)</f>
        <v>Jawad Ulla Khan</v>
      </c>
      <c r="O719" s="30" t="str">
        <f>TEXT(Query1[[#This Row],[last_work_day]],"mmm'yy")</f>
        <v>Apr'26</v>
      </c>
    </row>
    <row r="720" spans="1:15" x14ac:dyDescent="0.35">
      <c r="A720" s="30" t="s">
        <v>1464</v>
      </c>
      <c r="B720" s="30" t="s">
        <v>39</v>
      </c>
      <c r="C720" s="30" t="s">
        <v>2420</v>
      </c>
      <c r="D720">
        <v>2</v>
      </c>
      <c r="E720" s="30" t="s">
        <v>2421</v>
      </c>
      <c r="F720" s="29">
        <v>45903</v>
      </c>
      <c r="G720">
        <v>471000</v>
      </c>
      <c r="H720">
        <v>204334</v>
      </c>
      <c r="I720" s="30" t="s">
        <v>16</v>
      </c>
      <c r="J720" s="30" t="s">
        <v>495</v>
      </c>
      <c r="K720">
        <v>6</v>
      </c>
      <c r="L720" s="29">
        <v>46163</v>
      </c>
      <c r="M720" s="29">
        <v>46134</v>
      </c>
      <c r="N720" s="30" t="str">
        <f>VLOOKUP(Query1[[#This Row],[company_name]],'Org Mapping'!$B:$I,8,FALSE)</f>
        <v>Mehr Hashim</v>
      </c>
      <c r="O720" s="30" t="str">
        <f>TEXT(Query1[[#This Row],[last_work_day]],"mmm'yy")</f>
        <v>May'26</v>
      </c>
    </row>
    <row r="721" spans="1:15" x14ac:dyDescent="0.35">
      <c r="A721" s="30" t="s">
        <v>1411</v>
      </c>
      <c r="B721" s="30" t="s">
        <v>39</v>
      </c>
      <c r="C721" s="30" t="s">
        <v>2422</v>
      </c>
      <c r="D721">
        <v>2</v>
      </c>
      <c r="E721" s="30" t="s">
        <v>2423</v>
      </c>
      <c r="F721" s="29">
        <v>45903</v>
      </c>
      <c r="G721">
        <v>106250</v>
      </c>
      <c r="H721">
        <v>43750</v>
      </c>
      <c r="I721" s="30" t="s">
        <v>26</v>
      </c>
      <c r="J721" s="30" t="s">
        <v>166</v>
      </c>
      <c r="K721">
        <v>6</v>
      </c>
      <c r="L721" s="29">
        <v>46024</v>
      </c>
      <c r="M721" s="29">
        <v>46006</v>
      </c>
      <c r="N721" s="30" t="str">
        <f>VLOOKUP(Query1[[#This Row],[company_name]],'Org Mapping'!$B:$I,8,FALSE)</f>
        <v>Mehr Hashim</v>
      </c>
      <c r="O721" s="30" t="str">
        <f>TEXT(Query1[[#This Row],[last_work_day]],"mmm'yy")</f>
        <v>Jan'26</v>
      </c>
    </row>
    <row r="722" spans="1:15" x14ac:dyDescent="0.35">
      <c r="A722" s="30" t="s">
        <v>550</v>
      </c>
      <c r="B722" s="30" t="s">
        <v>65</v>
      </c>
      <c r="C722" s="30" t="s">
        <v>675</v>
      </c>
      <c r="D722">
        <v>2</v>
      </c>
      <c r="E722" s="30" t="s">
        <v>676</v>
      </c>
      <c r="F722" s="29">
        <v>45903</v>
      </c>
      <c r="G722">
        <v>23718</v>
      </c>
      <c r="H722">
        <v>3618</v>
      </c>
      <c r="I722" s="30" t="s">
        <v>37</v>
      </c>
      <c r="J722" s="30" t="s">
        <v>76</v>
      </c>
      <c r="K722">
        <v>6</v>
      </c>
      <c r="L722" s="29">
        <v>46085</v>
      </c>
      <c r="M722" s="29">
        <v>46058</v>
      </c>
      <c r="N722" s="30" t="str">
        <f>VLOOKUP(Query1[[#This Row],[company_name]],'Org Mapping'!$B:$I,8,FALSE)</f>
        <v>Jawad Ulla Khan</v>
      </c>
      <c r="O722" s="30" t="str">
        <f>TEXT(Query1[[#This Row],[last_work_day]],"mmm'yy")</f>
        <v>Mar'26</v>
      </c>
    </row>
    <row r="723" spans="1:15" x14ac:dyDescent="0.35">
      <c r="A723" s="30" t="s">
        <v>1572</v>
      </c>
      <c r="B723" s="30" t="s">
        <v>39</v>
      </c>
      <c r="C723" s="30" t="s">
        <v>2424</v>
      </c>
      <c r="D723">
        <v>2</v>
      </c>
      <c r="E723" s="30" t="s">
        <v>2425</v>
      </c>
      <c r="F723" s="29">
        <v>45901</v>
      </c>
      <c r="G723">
        <v>57416.67</v>
      </c>
      <c r="H723">
        <v>3250.67</v>
      </c>
      <c r="I723" s="30" t="s">
        <v>26</v>
      </c>
      <c r="J723" s="30" t="s">
        <v>31</v>
      </c>
      <c r="K723">
        <v>6</v>
      </c>
      <c r="L723" s="29">
        <v>46073</v>
      </c>
      <c r="M723" s="29">
        <v>46043</v>
      </c>
      <c r="N723" s="30" t="str">
        <f>VLOOKUP(Query1[[#This Row],[company_name]],'Org Mapping'!$B:$I,8,FALSE)</f>
        <v>Mehr Hashim</v>
      </c>
      <c r="O723" s="30" t="str">
        <f>TEXT(Query1[[#This Row],[last_work_day]],"mmm'yy")</f>
        <v>Feb'26</v>
      </c>
    </row>
    <row r="724" spans="1:15" x14ac:dyDescent="0.35">
      <c r="A724" s="30" t="s">
        <v>1531</v>
      </c>
      <c r="B724" s="30" t="s">
        <v>1494</v>
      </c>
      <c r="C724" s="30" t="s">
        <v>2426</v>
      </c>
      <c r="D724">
        <v>1</v>
      </c>
      <c r="E724" s="30" t="s">
        <v>2427</v>
      </c>
      <c r="F724" s="29">
        <v>45908</v>
      </c>
      <c r="G724">
        <v>140049</v>
      </c>
      <c r="H724">
        <v>65049</v>
      </c>
      <c r="I724" s="30" t="s">
        <v>26</v>
      </c>
      <c r="J724" s="30" t="s">
        <v>119</v>
      </c>
      <c r="K724">
        <v>6</v>
      </c>
      <c r="L724" s="29">
        <v>46121</v>
      </c>
      <c r="M724" s="29">
        <v>46093</v>
      </c>
      <c r="N724" s="30" t="str">
        <f>VLOOKUP(Query1[[#This Row],[company_name]],'Org Mapping'!$B:$I,8,FALSE)</f>
        <v>Anuradha</v>
      </c>
      <c r="O724" s="30" t="str">
        <f>TEXT(Query1[[#This Row],[last_work_day]],"mmm'yy")</f>
        <v>Apr'26</v>
      </c>
    </row>
    <row r="725" spans="1:15" x14ac:dyDescent="0.35">
      <c r="A725" s="30" t="s">
        <v>667</v>
      </c>
      <c r="B725" s="30" t="s">
        <v>65</v>
      </c>
      <c r="C725" s="30" t="s">
        <v>677</v>
      </c>
      <c r="D725">
        <v>2</v>
      </c>
      <c r="E725" s="30" t="s">
        <v>678</v>
      </c>
      <c r="F725" s="29">
        <v>45905</v>
      </c>
      <c r="G725">
        <v>31250</v>
      </c>
      <c r="H725">
        <v>6250</v>
      </c>
      <c r="I725" s="30" t="s">
        <v>26</v>
      </c>
      <c r="J725" s="30" t="s">
        <v>76</v>
      </c>
      <c r="K725">
        <v>6</v>
      </c>
      <c r="L725" s="29">
        <v>46162</v>
      </c>
      <c r="M725" s="29">
        <v>45993</v>
      </c>
      <c r="N725" s="30" t="str">
        <f>VLOOKUP(Query1[[#This Row],[company_name]],'Org Mapping'!$B:$I,8,FALSE)</f>
        <v>Jawad Ulla Khan</v>
      </c>
      <c r="O725" s="30" t="str">
        <f>TEXT(Query1[[#This Row],[last_work_day]],"mmm'yy")</f>
        <v>May'26</v>
      </c>
    </row>
    <row r="726" spans="1:15" x14ac:dyDescent="0.35">
      <c r="A726" s="30" t="s">
        <v>667</v>
      </c>
      <c r="B726" s="30" t="s">
        <v>65</v>
      </c>
      <c r="C726" s="30" t="s">
        <v>679</v>
      </c>
      <c r="D726">
        <v>2</v>
      </c>
      <c r="E726" s="30" t="s">
        <v>680</v>
      </c>
      <c r="F726" s="29">
        <v>45904</v>
      </c>
      <c r="G726">
        <v>50000</v>
      </c>
      <c r="H726">
        <v>10000</v>
      </c>
      <c r="I726" s="30" t="s">
        <v>37</v>
      </c>
      <c r="J726" s="30" t="s">
        <v>76</v>
      </c>
      <c r="K726">
        <v>6</v>
      </c>
      <c r="L726" s="29">
        <v>46024</v>
      </c>
      <c r="M726" s="29">
        <v>45995</v>
      </c>
      <c r="N726" s="30" t="str">
        <f>VLOOKUP(Query1[[#This Row],[company_name]],'Org Mapping'!$B:$I,8,FALSE)</f>
        <v>Jawad Ulla Khan</v>
      </c>
      <c r="O726" s="30" t="str">
        <f>TEXT(Query1[[#This Row],[last_work_day]],"mmm'yy")</f>
        <v>Jan'26</v>
      </c>
    </row>
    <row r="727" spans="1:15" x14ac:dyDescent="0.35">
      <c r="A727" s="30" t="s">
        <v>1411</v>
      </c>
      <c r="B727" s="30" t="s">
        <v>39</v>
      </c>
      <c r="C727" s="30" t="s">
        <v>2428</v>
      </c>
      <c r="D727">
        <v>2</v>
      </c>
      <c r="E727" s="30" t="s">
        <v>2429</v>
      </c>
      <c r="F727" s="29">
        <v>45911</v>
      </c>
      <c r="G727">
        <v>106250</v>
      </c>
      <c r="H727">
        <v>43750</v>
      </c>
      <c r="I727" s="30" t="s">
        <v>26</v>
      </c>
      <c r="J727" s="30" t="s">
        <v>166</v>
      </c>
      <c r="K727">
        <v>6</v>
      </c>
      <c r="L727" s="29">
        <v>46063</v>
      </c>
      <c r="M727" s="29">
        <v>46031</v>
      </c>
      <c r="N727" s="30" t="str">
        <f>VLOOKUP(Query1[[#This Row],[company_name]],'Org Mapping'!$B:$I,8,FALSE)</f>
        <v>Mehr Hashim</v>
      </c>
      <c r="O727" s="30" t="str">
        <f>TEXT(Query1[[#This Row],[last_work_day]],"mmm'yy")</f>
        <v>Feb'26</v>
      </c>
    </row>
    <row r="728" spans="1:15" x14ac:dyDescent="0.35">
      <c r="A728" s="30" t="s">
        <v>668</v>
      </c>
      <c r="B728" s="30" t="s">
        <v>65</v>
      </c>
      <c r="C728" s="30" t="s">
        <v>681</v>
      </c>
      <c r="D728">
        <v>2</v>
      </c>
      <c r="E728" s="30" t="s">
        <v>682</v>
      </c>
      <c r="F728" s="29">
        <v>45905</v>
      </c>
      <c r="G728">
        <v>50000</v>
      </c>
      <c r="H728">
        <v>10000</v>
      </c>
      <c r="I728" s="30" t="s">
        <v>16</v>
      </c>
      <c r="J728" s="30" t="s">
        <v>76</v>
      </c>
      <c r="K728">
        <v>6</v>
      </c>
      <c r="L728" s="29">
        <v>46171</v>
      </c>
      <c r="M728" s="29">
        <v>46163</v>
      </c>
      <c r="N728" s="30" t="str">
        <f>VLOOKUP(Query1[[#This Row],[company_name]],'Org Mapping'!$B:$I,8,FALSE)</f>
        <v>Jawad Ulla Khan</v>
      </c>
      <c r="O728" s="30" t="str">
        <f>TEXT(Query1[[#This Row],[last_work_day]],"mmm'yy")</f>
        <v>May'26</v>
      </c>
    </row>
    <row r="729" spans="1:15" x14ac:dyDescent="0.35">
      <c r="A729" s="30" t="s">
        <v>2430</v>
      </c>
      <c r="B729" s="30" t="s">
        <v>39</v>
      </c>
      <c r="C729" s="30" t="s">
        <v>2431</v>
      </c>
      <c r="D729">
        <v>2</v>
      </c>
      <c r="E729" s="30" t="s">
        <v>2432</v>
      </c>
      <c r="F729" s="29">
        <v>45908</v>
      </c>
      <c r="G729">
        <v>41128</v>
      </c>
      <c r="H729">
        <v>2328</v>
      </c>
      <c r="I729" s="30" t="s">
        <v>26</v>
      </c>
      <c r="J729" s="30" t="s">
        <v>31</v>
      </c>
      <c r="K729">
        <v>6</v>
      </c>
      <c r="L729" s="29">
        <v>46160</v>
      </c>
      <c r="M729" s="29">
        <v>46125</v>
      </c>
      <c r="N729" s="30" t="str">
        <f>VLOOKUP(Query1[[#This Row],[company_name]],'Org Mapping'!$B:$I,8,FALSE)</f>
        <v>Mehr Hashim</v>
      </c>
      <c r="O729" s="30" t="str">
        <f>TEXT(Query1[[#This Row],[last_work_day]],"mmm'yy")</f>
        <v>May'26</v>
      </c>
    </row>
    <row r="730" spans="1:15" x14ac:dyDescent="0.35">
      <c r="A730" s="30" t="s">
        <v>1572</v>
      </c>
      <c r="B730" s="30" t="s">
        <v>39</v>
      </c>
      <c r="C730" s="30" t="s">
        <v>2433</v>
      </c>
      <c r="D730">
        <v>2</v>
      </c>
      <c r="E730" s="30" t="s">
        <v>2434</v>
      </c>
      <c r="F730" s="29">
        <v>45918</v>
      </c>
      <c r="G730">
        <v>61833.33</v>
      </c>
      <c r="H730">
        <v>3500.33</v>
      </c>
      <c r="I730" s="30" t="s">
        <v>26</v>
      </c>
      <c r="J730" s="30" t="s">
        <v>31</v>
      </c>
      <c r="K730">
        <v>6</v>
      </c>
      <c r="L730" s="29">
        <v>46085</v>
      </c>
      <c r="M730" s="29">
        <v>46057</v>
      </c>
      <c r="N730" s="30" t="str">
        <f>VLOOKUP(Query1[[#This Row],[company_name]],'Org Mapping'!$B:$I,8,FALSE)</f>
        <v>Mehr Hashim</v>
      </c>
      <c r="O730" s="30" t="str">
        <f>TEXT(Query1[[#This Row],[last_work_day]],"mmm'yy")</f>
        <v>Mar'26</v>
      </c>
    </row>
    <row r="731" spans="1:15" x14ac:dyDescent="0.35">
      <c r="A731" s="30" t="s">
        <v>2115</v>
      </c>
      <c r="B731" s="30" t="s">
        <v>446</v>
      </c>
      <c r="C731" s="30" t="s">
        <v>2435</v>
      </c>
      <c r="D731">
        <v>2</v>
      </c>
      <c r="E731" s="30" t="s">
        <v>2436</v>
      </c>
      <c r="F731" s="29">
        <v>45922</v>
      </c>
      <c r="G731">
        <v>451332</v>
      </c>
      <c r="H731">
        <v>117999</v>
      </c>
      <c r="I731" s="30" t="s">
        <v>16</v>
      </c>
      <c r="J731" s="30" t="s">
        <v>102</v>
      </c>
      <c r="K731">
        <v>6</v>
      </c>
      <c r="L731" s="29">
        <v>46108</v>
      </c>
      <c r="M731" s="29">
        <v>46097</v>
      </c>
      <c r="N731" s="30" t="str">
        <f>VLOOKUP(Query1[[#This Row],[company_name]],'Org Mapping'!$B:$I,8,FALSE)</f>
        <v>Mehr Hashim</v>
      </c>
      <c r="O731" s="30" t="str">
        <f>TEXT(Query1[[#This Row],[last_work_day]],"mmm'yy")</f>
        <v>Mar'26</v>
      </c>
    </row>
    <row r="732" spans="1:15" x14ac:dyDescent="0.35">
      <c r="A732" s="30" t="s">
        <v>667</v>
      </c>
      <c r="B732" s="30" t="s">
        <v>65</v>
      </c>
      <c r="C732" s="30" t="s">
        <v>683</v>
      </c>
      <c r="D732">
        <v>2</v>
      </c>
      <c r="E732" s="30" t="s">
        <v>684</v>
      </c>
      <c r="F732" s="29">
        <v>45917</v>
      </c>
      <c r="G732">
        <v>50000</v>
      </c>
      <c r="H732">
        <v>10000</v>
      </c>
      <c r="I732" s="30" t="s">
        <v>37</v>
      </c>
      <c r="J732" s="30" t="s">
        <v>76</v>
      </c>
      <c r="K732">
        <v>6</v>
      </c>
      <c r="L732" s="29">
        <v>46038</v>
      </c>
      <c r="M732" s="29">
        <v>46013</v>
      </c>
      <c r="N732" s="30" t="str">
        <f>VLOOKUP(Query1[[#This Row],[company_name]],'Org Mapping'!$B:$I,8,FALSE)</f>
        <v>Jawad Ulla Khan</v>
      </c>
      <c r="O732" s="30" t="str">
        <f>TEXT(Query1[[#This Row],[last_work_day]],"mmm'yy")</f>
        <v>Jan'26</v>
      </c>
    </row>
    <row r="733" spans="1:15" x14ac:dyDescent="0.35">
      <c r="A733" s="30" t="s">
        <v>2437</v>
      </c>
      <c r="B733" s="30" t="s">
        <v>1628</v>
      </c>
      <c r="C733" s="30" t="s">
        <v>2438</v>
      </c>
      <c r="D733">
        <v>2</v>
      </c>
      <c r="E733" s="30" t="s">
        <v>2439</v>
      </c>
      <c r="F733" s="29">
        <v>45915</v>
      </c>
      <c r="G733">
        <v>116666</v>
      </c>
      <c r="H733">
        <v>33333</v>
      </c>
      <c r="I733" s="30" t="s">
        <v>21</v>
      </c>
      <c r="J733" s="30" t="s">
        <v>524</v>
      </c>
      <c r="K733">
        <v>6</v>
      </c>
      <c r="L733" s="29">
        <v>46108</v>
      </c>
      <c r="M733" s="29">
        <v>46073</v>
      </c>
      <c r="N733" s="30" t="str">
        <f>VLOOKUP(Query1[[#This Row],[company_name]],'Org Mapping'!$B:$I,8,FALSE)</f>
        <v>Sadhna Shukla</v>
      </c>
      <c r="O733" s="30" t="str">
        <f>TEXT(Query1[[#This Row],[last_work_day]],"mmm'yy")</f>
        <v>Mar'26</v>
      </c>
    </row>
    <row r="734" spans="1:15" x14ac:dyDescent="0.35">
      <c r="A734" s="30" t="s">
        <v>555</v>
      </c>
      <c r="B734" s="30" t="s">
        <v>65</v>
      </c>
      <c r="C734" s="30" t="s">
        <v>685</v>
      </c>
      <c r="D734">
        <v>2</v>
      </c>
      <c r="E734" s="30" t="s">
        <v>686</v>
      </c>
      <c r="F734" s="29">
        <v>45917</v>
      </c>
      <c r="G734">
        <v>29500</v>
      </c>
      <c r="H734">
        <v>4500</v>
      </c>
      <c r="I734" s="30" t="s">
        <v>37</v>
      </c>
      <c r="J734" s="30" t="s">
        <v>76</v>
      </c>
      <c r="K734">
        <v>6</v>
      </c>
      <c r="L734" s="29">
        <v>46066</v>
      </c>
      <c r="M734" s="29">
        <v>46056</v>
      </c>
      <c r="N734" s="30" t="str">
        <f>VLOOKUP(Query1[[#This Row],[company_name]],'Org Mapping'!$B:$I,8,FALSE)</f>
        <v>Jawad Ulla Khan</v>
      </c>
      <c r="O734" s="30" t="str">
        <f>TEXT(Query1[[#This Row],[last_work_day]],"mmm'yy")</f>
        <v>Feb'26</v>
      </c>
    </row>
    <row r="735" spans="1:15" x14ac:dyDescent="0.35">
      <c r="A735" s="30" t="s">
        <v>2440</v>
      </c>
      <c r="B735" s="30" t="s">
        <v>1628</v>
      </c>
      <c r="C735" s="30" t="s">
        <v>2441</v>
      </c>
      <c r="D735">
        <v>2</v>
      </c>
      <c r="E735" s="30" t="s">
        <v>2442</v>
      </c>
      <c r="F735" s="29">
        <v>45915</v>
      </c>
      <c r="G735">
        <v>162500</v>
      </c>
      <c r="H735">
        <v>62500</v>
      </c>
      <c r="I735" s="30" t="s">
        <v>21</v>
      </c>
      <c r="J735" s="30" t="s">
        <v>524</v>
      </c>
      <c r="K735">
        <v>6</v>
      </c>
      <c r="L735" s="29">
        <v>46094</v>
      </c>
      <c r="M735" s="29">
        <v>46052</v>
      </c>
      <c r="N735" s="30" t="str">
        <f>VLOOKUP(Query1[[#This Row],[company_name]],'Org Mapping'!$B:$I,8,FALSE)</f>
        <v>Sadhna Shukla</v>
      </c>
      <c r="O735" s="30" t="str">
        <f>TEXT(Query1[[#This Row],[last_work_day]],"mmm'yy")</f>
        <v>Mar'26</v>
      </c>
    </row>
    <row r="736" spans="1:15" x14ac:dyDescent="0.35">
      <c r="A736" s="30" t="s">
        <v>360</v>
      </c>
      <c r="B736" s="30" t="s">
        <v>65</v>
      </c>
      <c r="C736" s="30" t="s">
        <v>687</v>
      </c>
      <c r="D736">
        <v>2</v>
      </c>
      <c r="E736" s="30" t="s">
        <v>688</v>
      </c>
      <c r="F736" s="29">
        <v>45916</v>
      </c>
      <c r="G736">
        <v>23718</v>
      </c>
      <c r="H736">
        <v>3618</v>
      </c>
      <c r="I736" s="30" t="s">
        <v>26</v>
      </c>
      <c r="J736" s="30" t="s">
        <v>76</v>
      </c>
      <c r="K736">
        <v>6</v>
      </c>
      <c r="L736" s="29">
        <v>46128</v>
      </c>
      <c r="M736" s="29">
        <v>46083</v>
      </c>
      <c r="N736" s="30" t="str">
        <f>VLOOKUP(Query1[[#This Row],[company_name]],'Org Mapping'!$B:$I,8,FALSE)</f>
        <v>Jawad Ulla Khan</v>
      </c>
      <c r="O736" s="30" t="str">
        <f>TEXT(Query1[[#This Row],[last_work_day]],"mmm'yy")</f>
        <v>Apr'26</v>
      </c>
    </row>
    <row r="737" spans="1:15" x14ac:dyDescent="0.35">
      <c r="A737" s="30" t="s">
        <v>667</v>
      </c>
      <c r="B737" s="30" t="s">
        <v>65</v>
      </c>
      <c r="C737" s="30" t="s">
        <v>689</v>
      </c>
      <c r="D737">
        <v>2</v>
      </c>
      <c r="E737" s="30" t="s">
        <v>690</v>
      </c>
      <c r="F737" s="29">
        <v>45923</v>
      </c>
      <c r="G737">
        <v>60000</v>
      </c>
      <c r="H737">
        <v>12000</v>
      </c>
      <c r="I737" s="30" t="s">
        <v>26</v>
      </c>
      <c r="J737" s="30" t="s">
        <v>76</v>
      </c>
      <c r="K737">
        <v>6</v>
      </c>
      <c r="L737" s="29">
        <v>46112</v>
      </c>
      <c r="M737" s="29">
        <v>45995</v>
      </c>
      <c r="N737" s="30" t="str">
        <f>VLOOKUP(Query1[[#This Row],[company_name]],'Org Mapping'!$B:$I,8,FALSE)</f>
        <v>Jawad Ulla Khan</v>
      </c>
      <c r="O737" s="30" t="str">
        <f>TEXT(Query1[[#This Row],[last_work_day]],"mmm'yy")</f>
        <v>Mar'26</v>
      </c>
    </row>
    <row r="738" spans="1:15" x14ac:dyDescent="0.35">
      <c r="A738" s="30" t="s">
        <v>667</v>
      </c>
      <c r="B738" s="30" t="s">
        <v>65</v>
      </c>
      <c r="C738" s="30" t="s">
        <v>691</v>
      </c>
      <c r="D738">
        <v>2</v>
      </c>
      <c r="E738" s="30" t="s">
        <v>692</v>
      </c>
      <c r="F738" s="29">
        <v>45918</v>
      </c>
      <c r="G738">
        <v>31250</v>
      </c>
      <c r="H738">
        <v>6250</v>
      </c>
      <c r="I738" s="30" t="s">
        <v>37</v>
      </c>
      <c r="J738" s="30" t="s">
        <v>90</v>
      </c>
      <c r="K738">
        <v>6</v>
      </c>
      <c r="L738" s="29">
        <v>46127</v>
      </c>
      <c r="M738" s="29">
        <v>45993</v>
      </c>
      <c r="N738" s="30" t="str">
        <f>VLOOKUP(Query1[[#This Row],[company_name]],'Org Mapping'!$B:$I,8,FALSE)</f>
        <v>Jawad Ulla Khan</v>
      </c>
      <c r="O738" s="30" t="str">
        <f>TEXT(Query1[[#This Row],[last_work_day]],"mmm'yy")</f>
        <v>Apr'26</v>
      </c>
    </row>
    <row r="739" spans="1:15" x14ac:dyDescent="0.35">
      <c r="A739" s="30" t="s">
        <v>667</v>
      </c>
      <c r="B739" s="30" t="s">
        <v>65</v>
      </c>
      <c r="C739" s="30" t="s">
        <v>693</v>
      </c>
      <c r="D739">
        <v>2</v>
      </c>
      <c r="E739" s="30" t="s">
        <v>694</v>
      </c>
      <c r="F739" s="29">
        <v>45917</v>
      </c>
      <c r="G739">
        <v>31250</v>
      </c>
      <c r="H739">
        <v>6250</v>
      </c>
      <c r="I739" s="30" t="s">
        <v>37</v>
      </c>
      <c r="J739" s="30" t="s">
        <v>90</v>
      </c>
      <c r="K739">
        <v>6</v>
      </c>
      <c r="L739" s="29">
        <v>46059</v>
      </c>
      <c r="M739" s="29">
        <v>46056</v>
      </c>
      <c r="N739" s="30" t="str">
        <f>VLOOKUP(Query1[[#This Row],[company_name]],'Org Mapping'!$B:$I,8,FALSE)</f>
        <v>Jawad Ulla Khan</v>
      </c>
      <c r="O739" s="30" t="str">
        <f>TEXT(Query1[[#This Row],[last_work_day]],"mmm'yy")</f>
        <v>Feb'26</v>
      </c>
    </row>
    <row r="740" spans="1:15" x14ac:dyDescent="0.35">
      <c r="A740" s="30" t="s">
        <v>550</v>
      </c>
      <c r="B740" s="30" t="s">
        <v>65</v>
      </c>
      <c r="C740" s="30" t="s">
        <v>695</v>
      </c>
      <c r="D740">
        <v>2</v>
      </c>
      <c r="E740" s="30" t="s">
        <v>696</v>
      </c>
      <c r="F740" s="29">
        <v>45930</v>
      </c>
      <c r="G740">
        <v>50000</v>
      </c>
      <c r="H740">
        <v>10000</v>
      </c>
      <c r="I740" s="30" t="s">
        <v>523</v>
      </c>
      <c r="J740" s="30" t="s">
        <v>90</v>
      </c>
      <c r="K740">
        <v>6</v>
      </c>
      <c r="L740" s="29">
        <v>46159</v>
      </c>
      <c r="M740" s="29">
        <v>45993</v>
      </c>
      <c r="N740" s="30" t="str">
        <f>VLOOKUP(Query1[[#This Row],[company_name]],'Org Mapping'!$B:$I,8,FALSE)</f>
        <v>Jawad Ulla Khan</v>
      </c>
      <c r="O740" s="30" t="str">
        <f>TEXT(Query1[[#This Row],[last_work_day]],"mmm'yy")</f>
        <v>May'26</v>
      </c>
    </row>
    <row r="741" spans="1:15" x14ac:dyDescent="0.35">
      <c r="A741" s="30" t="s">
        <v>668</v>
      </c>
      <c r="B741" s="30" t="s">
        <v>65</v>
      </c>
      <c r="C741" s="30" t="s">
        <v>697</v>
      </c>
      <c r="D741">
        <v>2</v>
      </c>
      <c r="E741" s="30" t="s">
        <v>698</v>
      </c>
      <c r="F741" s="29">
        <v>45922</v>
      </c>
      <c r="G741">
        <v>50000</v>
      </c>
      <c r="H741">
        <v>10000</v>
      </c>
      <c r="I741" s="30" t="s">
        <v>37</v>
      </c>
      <c r="J741" s="30" t="s">
        <v>90</v>
      </c>
      <c r="K741">
        <v>6</v>
      </c>
      <c r="L741" s="29">
        <v>46034</v>
      </c>
      <c r="M741" s="29">
        <v>45995</v>
      </c>
      <c r="N741" s="30" t="str">
        <f>VLOOKUP(Query1[[#This Row],[company_name]],'Org Mapping'!$B:$I,8,FALSE)</f>
        <v>Jawad Ulla Khan</v>
      </c>
      <c r="O741" s="30" t="str">
        <f>TEXT(Query1[[#This Row],[last_work_day]],"mmm'yy")</f>
        <v>Jan'26</v>
      </c>
    </row>
    <row r="742" spans="1:15" x14ac:dyDescent="0.35">
      <c r="A742" s="30" t="s">
        <v>98</v>
      </c>
      <c r="B742" s="30" t="s">
        <v>65</v>
      </c>
      <c r="C742" s="30" t="s">
        <v>699</v>
      </c>
      <c r="D742">
        <v>2</v>
      </c>
      <c r="E742" s="30" t="s">
        <v>700</v>
      </c>
      <c r="F742" s="29">
        <v>45924</v>
      </c>
      <c r="G742">
        <v>31250</v>
      </c>
      <c r="H742">
        <v>6250</v>
      </c>
      <c r="I742" s="30" t="s">
        <v>37</v>
      </c>
      <c r="J742" s="30" t="s">
        <v>90</v>
      </c>
      <c r="K742">
        <v>6</v>
      </c>
      <c r="L742" s="29">
        <v>46024</v>
      </c>
      <c r="M742" s="29">
        <v>45995</v>
      </c>
      <c r="N742" s="30" t="str">
        <f>VLOOKUP(Query1[[#This Row],[company_name]],'Org Mapping'!$B:$I,8,FALSE)</f>
        <v>Jawad Ulla Khan</v>
      </c>
      <c r="O742" s="30" t="str">
        <f>TEXT(Query1[[#This Row],[last_work_day]],"mmm'yy")</f>
        <v>Jan'26</v>
      </c>
    </row>
    <row r="743" spans="1:15" x14ac:dyDescent="0.35">
      <c r="A743" s="30" t="s">
        <v>553</v>
      </c>
      <c r="B743" s="30" t="s">
        <v>65</v>
      </c>
      <c r="C743" s="30" t="s">
        <v>2443</v>
      </c>
      <c r="D743">
        <v>2</v>
      </c>
      <c r="E743" s="30" t="s">
        <v>2444</v>
      </c>
      <c r="F743" s="29">
        <v>45924</v>
      </c>
      <c r="G743">
        <v>37090</v>
      </c>
      <c r="H743">
        <v>12090</v>
      </c>
      <c r="I743" s="30" t="s">
        <v>26</v>
      </c>
      <c r="J743" s="30" t="s">
        <v>537</v>
      </c>
      <c r="K743">
        <v>6</v>
      </c>
      <c r="L743" s="29">
        <v>46086</v>
      </c>
      <c r="M743" s="29">
        <v>46105</v>
      </c>
      <c r="N743" s="30" t="str">
        <f>VLOOKUP(Query1[[#This Row],[company_name]],'Org Mapping'!$B:$I,8,FALSE)</f>
        <v>UHG/Lenovo</v>
      </c>
      <c r="O743" s="30" t="str">
        <f>TEXT(Query1[[#This Row],[last_work_day]],"mmm'yy")</f>
        <v>Mar'26</v>
      </c>
    </row>
    <row r="744" spans="1:15" x14ac:dyDescent="0.35">
      <c r="A744" s="30" t="s">
        <v>667</v>
      </c>
      <c r="B744" s="30" t="s">
        <v>65</v>
      </c>
      <c r="C744" s="30" t="s">
        <v>701</v>
      </c>
      <c r="D744">
        <v>2</v>
      </c>
      <c r="E744" s="30" t="s">
        <v>702</v>
      </c>
      <c r="F744" s="29">
        <v>45924</v>
      </c>
      <c r="G744">
        <v>43750</v>
      </c>
      <c r="H744">
        <v>8750</v>
      </c>
      <c r="I744" s="30" t="s">
        <v>26</v>
      </c>
      <c r="J744" s="30" t="s">
        <v>90</v>
      </c>
      <c r="K744">
        <v>6</v>
      </c>
      <c r="L744" s="29">
        <v>46042</v>
      </c>
      <c r="M744" s="29">
        <v>46035</v>
      </c>
      <c r="N744" s="30" t="str">
        <f>VLOOKUP(Query1[[#This Row],[company_name]],'Org Mapping'!$B:$I,8,FALSE)</f>
        <v>Jawad Ulla Khan</v>
      </c>
      <c r="O744" s="30" t="str">
        <f>TEXT(Query1[[#This Row],[last_work_day]],"mmm'yy")</f>
        <v>Jan'26</v>
      </c>
    </row>
    <row r="745" spans="1:15" x14ac:dyDescent="0.35">
      <c r="A745" s="30" t="s">
        <v>553</v>
      </c>
      <c r="B745" s="30" t="s">
        <v>65</v>
      </c>
      <c r="C745" s="30" t="s">
        <v>703</v>
      </c>
      <c r="D745">
        <v>2</v>
      </c>
      <c r="E745" s="30" t="s">
        <v>704</v>
      </c>
      <c r="F745" s="29">
        <v>45926</v>
      </c>
      <c r="G745">
        <v>23718</v>
      </c>
      <c r="H745">
        <v>3618</v>
      </c>
      <c r="I745" s="30" t="s">
        <v>26</v>
      </c>
      <c r="J745" s="30" t="s">
        <v>76</v>
      </c>
      <c r="K745">
        <v>6</v>
      </c>
      <c r="L745" s="29">
        <v>46080</v>
      </c>
      <c r="M745" s="29">
        <v>46069</v>
      </c>
      <c r="N745" s="30" t="str">
        <f>VLOOKUP(Query1[[#This Row],[company_name]],'Org Mapping'!$B:$I,8,FALSE)</f>
        <v>Jawad Ulla Khan</v>
      </c>
      <c r="O745" s="30" t="str">
        <f>TEXT(Query1[[#This Row],[last_work_day]],"mmm'yy")</f>
        <v>Feb'26</v>
      </c>
    </row>
    <row r="746" spans="1:15" x14ac:dyDescent="0.35">
      <c r="A746" s="30" t="s">
        <v>1497</v>
      </c>
      <c r="B746" s="30" t="s">
        <v>39</v>
      </c>
      <c r="C746" s="30" t="s">
        <v>2445</v>
      </c>
      <c r="D746">
        <v>2</v>
      </c>
      <c r="E746" s="30" t="s">
        <v>2446</v>
      </c>
      <c r="F746" s="29">
        <v>45929</v>
      </c>
      <c r="G746">
        <v>284000</v>
      </c>
      <c r="H746">
        <v>100667</v>
      </c>
      <c r="I746" s="30" t="s">
        <v>91</v>
      </c>
      <c r="J746" s="30" t="s">
        <v>207</v>
      </c>
      <c r="K746">
        <v>6</v>
      </c>
      <c r="L746" s="29">
        <v>46081</v>
      </c>
      <c r="M746" s="29">
        <v>46059</v>
      </c>
      <c r="N746" s="30" t="str">
        <f>VLOOKUP(Query1[[#This Row],[company_name]],'Org Mapping'!$B:$I,8,FALSE)</f>
        <v>Mehr Hashim</v>
      </c>
      <c r="O746" s="30" t="str">
        <f>TEXT(Query1[[#This Row],[last_work_day]],"mmm'yy")</f>
        <v>Feb'26</v>
      </c>
    </row>
    <row r="747" spans="1:15" x14ac:dyDescent="0.35">
      <c r="A747" s="30" t="s">
        <v>1464</v>
      </c>
      <c r="B747" s="30" t="s">
        <v>39</v>
      </c>
      <c r="C747" s="30" t="s">
        <v>2447</v>
      </c>
      <c r="D747">
        <v>2</v>
      </c>
      <c r="E747" s="30" t="s">
        <v>2448</v>
      </c>
      <c r="F747" s="29">
        <v>45946</v>
      </c>
      <c r="G747">
        <v>123900</v>
      </c>
      <c r="H747">
        <v>36400</v>
      </c>
      <c r="I747" s="30" t="s">
        <v>26</v>
      </c>
      <c r="J747" s="30" t="s">
        <v>40</v>
      </c>
      <c r="K747">
        <v>6</v>
      </c>
      <c r="L747" s="29">
        <v>46134</v>
      </c>
      <c r="M747" s="29">
        <v>46105</v>
      </c>
      <c r="N747" s="30" t="str">
        <f>VLOOKUP(Query1[[#This Row],[company_name]],'Org Mapping'!$B:$I,8,FALSE)</f>
        <v>Mehr Hashim</v>
      </c>
      <c r="O747" s="30" t="str">
        <f>TEXT(Query1[[#This Row],[last_work_day]],"mmm'yy")</f>
        <v>Apr'26</v>
      </c>
    </row>
    <row r="748" spans="1:15" x14ac:dyDescent="0.35">
      <c r="A748" s="30" t="s">
        <v>2449</v>
      </c>
      <c r="B748" s="30" t="s">
        <v>2450</v>
      </c>
      <c r="C748" s="30" t="s">
        <v>2451</v>
      </c>
      <c r="D748">
        <v>2</v>
      </c>
      <c r="E748" s="30" t="s">
        <v>2452</v>
      </c>
      <c r="F748" s="29">
        <v>45936</v>
      </c>
      <c r="G748">
        <v>398750</v>
      </c>
      <c r="H748">
        <v>36250</v>
      </c>
      <c r="I748" s="30" t="s">
        <v>26</v>
      </c>
      <c r="J748" s="30" t="s">
        <v>705</v>
      </c>
      <c r="K748">
        <v>6</v>
      </c>
      <c r="L748" s="29">
        <v>46160</v>
      </c>
      <c r="M748" s="29">
        <v>46171</v>
      </c>
      <c r="N748" s="30" t="str">
        <f>VLOOKUP(Query1[[#This Row],[company_name]],'Org Mapping'!$B:$I,8,FALSE)</f>
        <v>(Sonia/Dikshitha)</v>
      </c>
      <c r="O748" s="30" t="str">
        <f>TEXT(Query1[[#This Row],[last_work_day]],"mmm'yy")</f>
        <v>May'26</v>
      </c>
    </row>
    <row r="749" spans="1:15" x14ac:dyDescent="0.35">
      <c r="A749" s="30" t="s">
        <v>65</v>
      </c>
      <c r="B749" s="30" t="s">
        <v>65</v>
      </c>
      <c r="C749" s="30" t="s">
        <v>2453</v>
      </c>
      <c r="D749">
        <v>2</v>
      </c>
      <c r="E749" s="30" t="s">
        <v>2454</v>
      </c>
      <c r="F749" s="29">
        <v>45931</v>
      </c>
      <c r="G749">
        <v>105000</v>
      </c>
      <c r="H749">
        <v>5000</v>
      </c>
      <c r="I749" s="30" t="s">
        <v>91</v>
      </c>
      <c r="J749" s="30" t="s">
        <v>66</v>
      </c>
      <c r="K749">
        <v>6</v>
      </c>
      <c r="L749" s="29">
        <v>46066</v>
      </c>
      <c r="M749" s="29">
        <v>46097</v>
      </c>
      <c r="N749" s="30" t="str">
        <f>VLOOKUP(Query1[[#This Row],[company_name]],'Org Mapping'!$B:$I,8,FALSE)</f>
        <v>Jawad Ulla Khan</v>
      </c>
      <c r="O749" s="30" t="str">
        <f>TEXT(Query1[[#This Row],[last_work_day]],"mmm'yy")</f>
        <v>Feb'26</v>
      </c>
    </row>
    <row r="750" spans="1:15" x14ac:dyDescent="0.35">
      <c r="A750" s="30" t="s">
        <v>2135</v>
      </c>
      <c r="B750" s="30" t="s">
        <v>2169</v>
      </c>
      <c r="C750" s="30" t="s">
        <v>2455</v>
      </c>
      <c r="D750">
        <v>2</v>
      </c>
      <c r="E750" s="30" t="s">
        <v>2456</v>
      </c>
      <c r="F750" s="29">
        <v>45931</v>
      </c>
      <c r="G750">
        <v>174300</v>
      </c>
      <c r="H750">
        <v>32634</v>
      </c>
      <c r="I750" s="30" t="s">
        <v>21</v>
      </c>
      <c r="J750" s="30" t="s">
        <v>560</v>
      </c>
      <c r="K750">
        <v>6</v>
      </c>
      <c r="L750" s="29">
        <v>46136</v>
      </c>
      <c r="M750" s="29">
        <v>46133</v>
      </c>
      <c r="N750" s="30" t="str">
        <f>VLOOKUP(Query1[[#This Row],[company_name]],'Org Mapping'!$B:$I,8,FALSE)</f>
        <v>Prathap Sagar</v>
      </c>
      <c r="O750" s="30" t="str">
        <f>TEXT(Query1[[#This Row],[last_work_day]],"mmm'yy")</f>
        <v>Apr'26</v>
      </c>
    </row>
    <row r="751" spans="1:15" x14ac:dyDescent="0.35">
      <c r="A751" s="30" t="s">
        <v>2457</v>
      </c>
      <c r="B751" s="30" t="s">
        <v>2450</v>
      </c>
      <c r="C751" s="30" t="s">
        <v>2458</v>
      </c>
      <c r="D751">
        <v>1</v>
      </c>
      <c r="E751" s="30" t="s">
        <v>2459</v>
      </c>
      <c r="F751" s="29">
        <v>45931</v>
      </c>
      <c r="G751">
        <v>68834</v>
      </c>
      <c r="H751">
        <v>10501</v>
      </c>
      <c r="I751" s="30" t="s">
        <v>26</v>
      </c>
      <c r="J751" s="30" t="s">
        <v>113</v>
      </c>
      <c r="K751">
        <v>6</v>
      </c>
      <c r="L751" s="29">
        <v>46031</v>
      </c>
      <c r="M751" s="29">
        <v>46002</v>
      </c>
      <c r="N751" s="30" t="str">
        <f>VLOOKUP(Query1[[#This Row],[company_name]],'Org Mapping'!$B:$I,8,FALSE)</f>
        <v>(Sonia/Dikshitha)</v>
      </c>
      <c r="O751" s="30" t="str">
        <f>TEXT(Query1[[#This Row],[last_work_day]],"mmm'yy")</f>
        <v>Jan'26</v>
      </c>
    </row>
    <row r="752" spans="1:15" x14ac:dyDescent="0.35">
      <c r="A752" s="30" t="s">
        <v>1357</v>
      </c>
      <c r="B752" s="30" t="s">
        <v>117</v>
      </c>
      <c r="C752" s="30" t="s">
        <v>2460</v>
      </c>
      <c r="D752">
        <v>2</v>
      </c>
      <c r="E752" s="30" t="s">
        <v>2461</v>
      </c>
      <c r="F752" s="29">
        <v>45931</v>
      </c>
      <c r="G752">
        <v>139999</v>
      </c>
      <c r="H752">
        <v>6666</v>
      </c>
      <c r="I752" s="30" t="s">
        <v>26</v>
      </c>
      <c r="J752" s="30" t="s">
        <v>561</v>
      </c>
      <c r="K752">
        <v>6</v>
      </c>
      <c r="L752" s="29">
        <v>46167</v>
      </c>
      <c r="M752" s="29">
        <v>46146</v>
      </c>
      <c r="N752" s="30" t="str">
        <f>VLOOKUP(Query1[[#This Row],[company_name]],'Org Mapping'!$B:$I,8,FALSE)</f>
        <v>TBA</v>
      </c>
      <c r="O752" s="30" t="str">
        <f>TEXT(Query1[[#This Row],[last_work_day]],"mmm'yy")</f>
        <v>May'26</v>
      </c>
    </row>
    <row r="753" spans="1:15" x14ac:dyDescent="0.35">
      <c r="A753" s="30" t="s">
        <v>390</v>
      </c>
      <c r="B753" s="30" t="s">
        <v>65</v>
      </c>
      <c r="C753" s="30" t="s">
        <v>706</v>
      </c>
      <c r="D753">
        <v>2</v>
      </c>
      <c r="E753" s="30" t="s">
        <v>707</v>
      </c>
      <c r="F753" s="29">
        <v>45931</v>
      </c>
      <c r="G753">
        <v>23718</v>
      </c>
      <c r="H753">
        <v>3618</v>
      </c>
      <c r="I753" s="30" t="s">
        <v>26</v>
      </c>
      <c r="J753" s="30" t="s">
        <v>76</v>
      </c>
      <c r="K753">
        <v>6</v>
      </c>
      <c r="L753" s="29">
        <v>46073</v>
      </c>
      <c r="M753" s="29">
        <v>46035</v>
      </c>
      <c r="N753" s="30" t="str">
        <f>VLOOKUP(Query1[[#This Row],[company_name]],'Org Mapping'!$B:$I,8,FALSE)</f>
        <v>Jawad Ulla Khan</v>
      </c>
      <c r="O753" s="30" t="str">
        <f>TEXT(Query1[[#This Row],[last_work_day]],"mmm'yy")</f>
        <v>Feb'26</v>
      </c>
    </row>
    <row r="754" spans="1:15" x14ac:dyDescent="0.35">
      <c r="A754" s="30" t="s">
        <v>481</v>
      </c>
      <c r="B754" s="30" t="s">
        <v>65</v>
      </c>
      <c r="C754" s="30" t="s">
        <v>708</v>
      </c>
      <c r="D754">
        <v>2</v>
      </c>
      <c r="E754" s="30" t="s">
        <v>709</v>
      </c>
      <c r="F754" s="29">
        <v>45933</v>
      </c>
      <c r="G754">
        <v>48000</v>
      </c>
      <c r="H754">
        <v>8000</v>
      </c>
      <c r="I754" s="30" t="s">
        <v>26</v>
      </c>
      <c r="J754" s="30" t="s">
        <v>90</v>
      </c>
      <c r="K754">
        <v>6</v>
      </c>
      <c r="L754" s="29">
        <v>46031</v>
      </c>
      <c r="M754" s="29">
        <v>46006</v>
      </c>
      <c r="N754" s="30" t="str">
        <f>VLOOKUP(Query1[[#This Row],[company_name]],'Org Mapping'!$B:$I,8,FALSE)</f>
        <v>Jawad Ulla Khan</v>
      </c>
      <c r="O754" s="30" t="str">
        <f>TEXT(Query1[[#This Row],[last_work_day]],"mmm'yy")</f>
        <v>Jan'26</v>
      </c>
    </row>
    <row r="755" spans="1:15" x14ac:dyDescent="0.35">
      <c r="A755" s="30" t="s">
        <v>89</v>
      </c>
      <c r="B755" s="30" t="s">
        <v>65</v>
      </c>
      <c r="C755" s="30" t="s">
        <v>2462</v>
      </c>
      <c r="D755">
        <v>2</v>
      </c>
      <c r="E755" s="30" t="s">
        <v>2463</v>
      </c>
      <c r="F755" s="29">
        <v>45929</v>
      </c>
      <c r="G755">
        <v>221666.66</v>
      </c>
      <c r="H755">
        <v>5000.66</v>
      </c>
      <c r="I755" s="30" t="s">
        <v>16</v>
      </c>
      <c r="J755" s="30" t="s">
        <v>66</v>
      </c>
      <c r="K755">
        <v>6</v>
      </c>
      <c r="L755" s="29">
        <v>46038</v>
      </c>
      <c r="M755" s="29">
        <v>46049</v>
      </c>
      <c r="N755" s="30" t="str">
        <f>VLOOKUP(Query1[[#This Row],[company_name]],'Org Mapping'!$B:$I,8,FALSE)</f>
        <v>Jawad Ulla Khan</v>
      </c>
      <c r="O755" s="30" t="str">
        <f>TEXT(Query1[[#This Row],[last_work_day]],"mmm'yy")</f>
        <v>Jan'26</v>
      </c>
    </row>
    <row r="756" spans="1:15" x14ac:dyDescent="0.35">
      <c r="A756" s="30" t="s">
        <v>98</v>
      </c>
      <c r="B756" s="30" t="s">
        <v>65</v>
      </c>
      <c r="C756" s="30" t="s">
        <v>710</v>
      </c>
      <c r="D756">
        <v>2</v>
      </c>
      <c r="E756" s="30" t="s">
        <v>711</v>
      </c>
      <c r="F756" s="29">
        <v>45933</v>
      </c>
      <c r="G756">
        <v>48000</v>
      </c>
      <c r="H756">
        <v>8000</v>
      </c>
      <c r="I756" s="30" t="s">
        <v>26</v>
      </c>
      <c r="J756" s="30" t="s">
        <v>90</v>
      </c>
      <c r="K756">
        <v>6</v>
      </c>
      <c r="L756" s="29">
        <v>46031</v>
      </c>
      <c r="M756" s="29">
        <v>46006</v>
      </c>
      <c r="N756" s="30" t="str">
        <f>VLOOKUP(Query1[[#This Row],[company_name]],'Org Mapping'!$B:$I,8,FALSE)</f>
        <v>Jawad Ulla Khan</v>
      </c>
      <c r="O756" s="30" t="str">
        <f>TEXT(Query1[[#This Row],[last_work_day]],"mmm'yy")</f>
        <v>Jan'26</v>
      </c>
    </row>
    <row r="757" spans="1:15" x14ac:dyDescent="0.35">
      <c r="A757" s="30" t="s">
        <v>667</v>
      </c>
      <c r="B757" s="30" t="s">
        <v>65</v>
      </c>
      <c r="C757" s="30" t="s">
        <v>712</v>
      </c>
      <c r="D757">
        <v>2</v>
      </c>
      <c r="E757" s="30" t="s">
        <v>713</v>
      </c>
      <c r="F757" s="29">
        <v>45933</v>
      </c>
      <c r="G757">
        <v>31250</v>
      </c>
      <c r="H757">
        <v>6250</v>
      </c>
      <c r="I757" s="30" t="s">
        <v>92</v>
      </c>
      <c r="J757" s="30" t="s">
        <v>90</v>
      </c>
      <c r="K757">
        <v>6</v>
      </c>
      <c r="L757" s="29">
        <v>46059</v>
      </c>
      <c r="M757" s="29">
        <v>45995</v>
      </c>
      <c r="N757" s="30" t="str">
        <f>VLOOKUP(Query1[[#This Row],[company_name]],'Org Mapping'!$B:$I,8,FALSE)</f>
        <v>Jawad Ulla Khan</v>
      </c>
      <c r="O757" s="30" t="str">
        <f>TEXT(Query1[[#This Row],[last_work_day]],"mmm'yy")</f>
        <v>Feb'26</v>
      </c>
    </row>
    <row r="758" spans="1:15" x14ac:dyDescent="0.35">
      <c r="A758" s="30" t="s">
        <v>550</v>
      </c>
      <c r="B758" s="30" t="s">
        <v>65</v>
      </c>
      <c r="C758" s="30" t="s">
        <v>2464</v>
      </c>
      <c r="D758">
        <v>1</v>
      </c>
      <c r="E758" s="30" t="s">
        <v>2465</v>
      </c>
      <c r="F758" s="29">
        <v>45943</v>
      </c>
      <c r="G758">
        <v>24097.5</v>
      </c>
      <c r="H758">
        <v>4097.5</v>
      </c>
      <c r="I758" s="30" t="s">
        <v>21</v>
      </c>
      <c r="J758" s="30" t="s">
        <v>544</v>
      </c>
      <c r="K758">
        <v>6</v>
      </c>
      <c r="L758" s="29">
        <v>46122</v>
      </c>
      <c r="M758" s="29">
        <v>46118</v>
      </c>
      <c r="N758" s="30" t="str">
        <f>VLOOKUP(Query1[[#This Row],[company_name]],'Org Mapping'!$B:$I,8,FALSE)</f>
        <v>UHG/Lenovo</v>
      </c>
      <c r="O758" s="30" t="str">
        <f>TEXT(Query1[[#This Row],[last_work_day]],"mmm'yy")</f>
        <v>Apr'26</v>
      </c>
    </row>
    <row r="759" spans="1:15" x14ac:dyDescent="0.35">
      <c r="A759" s="30" t="s">
        <v>550</v>
      </c>
      <c r="B759" s="30" t="s">
        <v>65</v>
      </c>
      <c r="C759" s="30" t="s">
        <v>2466</v>
      </c>
      <c r="D759">
        <v>1</v>
      </c>
      <c r="E759" s="30" t="s">
        <v>2467</v>
      </c>
      <c r="F759" s="29">
        <v>45943</v>
      </c>
      <c r="G759">
        <v>24097.5</v>
      </c>
      <c r="H759">
        <v>4097.5</v>
      </c>
      <c r="I759" s="30" t="s">
        <v>21</v>
      </c>
      <c r="J759" s="30" t="s">
        <v>544</v>
      </c>
      <c r="K759">
        <v>6</v>
      </c>
      <c r="L759" s="29">
        <v>46122</v>
      </c>
      <c r="M759" s="29">
        <v>46118</v>
      </c>
      <c r="N759" s="30" t="str">
        <f>VLOOKUP(Query1[[#This Row],[company_name]],'Org Mapping'!$B:$I,8,FALSE)</f>
        <v>UHG/Lenovo</v>
      </c>
      <c r="O759" s="30" t="str">
        <f>TEXT(Query1[[#This Row],[last_work_day]],"mmm'yy")</f>
        <v>Apr'26</v>
      </c>
    </row>
    <row r="760" spans="1:15" x14ac:dyDescent="0.35">
      <c r="A760" s="30" t="s">
        <v>614</v>
      </c>
      <c r="B760" s="30" t="s">
        <v>65</v>
      </c>
      <c r="C760" s="30" t="s">
        <v>2468</v>
      </c>
      <c r="D760">
        <v>1</v>
      </c>
      <c r="E760" s="30" t="s">
        <v>2469</v>
      </c>
      <c r="F760" s="29">
        <v>45943</v>
      </c>
      <c r="G760">
        <v>24097.5</v>
      </c>
      <c r="H760">
        <v>4097.5</v>
      </c>
      <c r="I760" s="30" t="s">
        <v>21</v>
      </c>
      <c r="J760" s="30" t="s">
        <v>544</v>
      </c>
      <c r="K760">
        <v>6</v>
      </c>
      <c r="L760" s="29">
        <v>46122</v>
      </c>
      <c r="M760" s="29">
        <v>46118</v>
      </c>
      <c r="N760" s="30" t="str">
        <f>VLOOKUP(Query1[[#This Row],[company_name]],'Org Mapping'!$B:$I,8,FALSE)</f>
        <v>UHG/Lenovo</v>
      </c>
      <c r="O760" s="30" t="str">
        <f>TEXT(Query1[[#This Row],[last_work_day]],"mmm'yy")</f>
        <v>Apr'26</v>
      </c>
    </row>
    <row r="761" spans="1:15" x14ac:dyDescent="0.35">
      <c r="A761" s="30" t="s">
        <v>557</v>
      </c>
      <c r="B761" s="30" t="s">
        <v>65</v>
      </c>
      <c r="C761" s="30" t="s">
        <v>2470</v>
      </c>
      <c r="D761">
        <v>1</v>
      </c>
      <c r="E761" s="30" t="s">
        <v>2471</v>
      </c>
      <c r="F761" s="29">
        <v>45943</v>
      </c>
      <c r="G761">
        <v>24097.5</v>
      </c>
      <c r="H761">
        <v>4097.5</v>
      </c>
      <c r="I761" s="30" t="s">
        <v>21</v>
      </c>
      <c r="J761" s="30" t="s">
        <v>544</v>
      </c>
      <c r="K761">
        <v>6</v>
      </c>
      <c r="L761" s="29">
        <v>46122</v>
      </c>
      <c r="M761" s="29">
        <v>46118</v>
      </c>
      <c r="N761" s="30" t="str">
        <f>VLOOKUP(Query1[[#This Row],[company_name]],'Org Mapping'!$B:$I,8,FALSE)</f>
        <v>UHG/Lenovo</v>
      </c>
      <c r="O761" s="30" t="str">
        <f>TEXT(Query1[[#This Row],[last_work_day]],"mmm'yy")</f>
        <v>Apr'26</v>
      </c>
    </row>
    <row r="762" spans="1:15" x14ac:dyDescent="0.35">
      <c r="A762" s="30" t="s">
        <v>1572</v>
      </c>
      <c r="B762" s="30" t="s">
        <v>39</v>
      </c>
      <c r="C762" s="30" t="s">
        <v>2472</v>
      </c>
      <c r="D762">
        <v>2</v>
      </c>
      <c r="E762" s="30" t="s">
        <v>2473</v>
      </c>
      <c r="F762" s="29">
        <v>45946</v>
      </c>
      <c r="G762">
        <v>128083.33</v>
      </c>
      <c r="H762">
        <v>7250.33</v>
      </c>
      <c r="I762" s="30" t="s">
        <v>26</v>
      </c>
      <c r="J762" s="30" t="s">
        <v>31</v>
      </c>
      <c r="K762">
        <v>6</v>
      </c>
      <c r="L762" s="29">
        <v>46119</v>
      </c>
      <c r="M762" s="29">
        <v>46086</v>
      </c>
      <c r="N762" s="30" t="str">
        <f>VLOOKUP(Query1[[#This Row],[company_name]],'Org Mapping'!$B:$I,8,FALSE)</f>
        <v>Mehr Hashim</v>
      </c>
      <c r="O762" s="30" t="str">
        <f>TEXT(Query1[[#This Row],[last_work_day]],"mmm'yy")</f>
        <v>Apr'26</v>
      </c>
    </row>
    <row r="763" spans="1:15" x14ac:dyDescent="0.35">
      <c r="A763" s="30" t="s">
        <v>390</v>
      </c>
      <c r="B763" s="30" t="s">
        <v>65</v>
      </c>
      <c r="C763" s="30" t="s">
        <v>716</v>
      </c>
      <c r="D763">
        <v>2</v>
      </c>
      <c r="E763" s="30" t="s">
        <v>717</v>
      </c>
      <c r="F763" s="29">
        <v>45940</v>
      </c>
      <c r="G763">
        <v>41300</v>
      </c>
      <c r="H763">
        <v>6300</v>
      </c>
      <c r="I763" s="30" t="s">
        <v>37</v>
      </c>
      <c r="J763" s="30" t="s">
        <v>76</v>
      </c>
      <c r="K763">
        <v>6</v>
      </c>
      <c r="L763" s="29">
        <v>46087</v>
      </c>
      <c r="M763" s="29">
        <v>46087</v>
      </c>
      <c r="N763" s="30" t="str">
        <f>VLOOKUP(Query1[[#This Row],[company_name]],'Org Mapping'!$B:$I,8,FALSE)</f>
        <v>Jawad Ulla Khan</v>
      </c>
      <c r="O763" s="30" t="str">
        <f>TEXT(Query1[[#This Row],[last_work_day]],"mmm'yy")</f>
        <v>Mar'26</v>
      </c>
    </row>
    <row r="764" spans="1:15" x14ac:dyDescent="0.35">
      <c r="A764" s="30" t="s">
        <v>2474</v>
      </c>
      <c r="B764" s="30" t="s">
        <v>126</v>
      </c>
      <c r="C764" s="30" t="s">
        <v>2475</v>
      </c>
      <c r="D764">
        <v>2</v>
      </c>
      <c r="E764" s="30" t="s">
        <v>2476</v>
      </c>
      <c r="F764" s="29">
        <v>45938</v>
      </c>
      <c r="G764">
        <v>192600</v>
      </c>
      <c r="H764">
        <v>34267</v>
      </c>
      <c r="I764" s="30" t="s">
        <v>37</v>
      </c>
      <c r="J764" s="30" t="s">
        <v>361</v>
      </c>
      <c r="K764">
        <v>6</v>
      </c>
      <c r="L764" s="29">
        <v>46050</v>
      </c>
      <c r="M764" s="29">
        <v>46022</v>
      </c>
      <c r="N764" s="30" t="str">
        <f>VLOOKUP(Query1[[#This Row],[company_name]],'Org Mapping'!$B:$I,8,FALSE)</f>
        <v>Prathap Sagar</v>
      </c>
      <c r="O764" s="30" t="str">
        <f>TEXT(Query1[[#This Row],[last_work_day]],"mmm'yy")</f>
        <v>Jan'26</v>
      </c>
    </row>
    <row r="765" spans="1:15" x14ac:dyDescent="0.35">
      <c r="A765" s="30" t="s">
        <v>1622</v>
      </c>
      <c r="B765" s="30" t="s">
        <v>714</v>
      </c>
      <c r="C765" s="30" t="s">
        <v>2477</v>
      </c>
      <c r="D765">
        <v>2</v>
      </c>
      <c r="E765" s="30" t="s">
        <v>2478</v>
      </c>
      <c r="F765" s="29">
        <v>45930</v>
      </c>
      <c r="G765">
        <v>193200</v>
      </c>
      <c r="H765">
        <v>84867</v>
      </c>
      <c r="I765" s="30" t="s">
        <v>16</v>
      </c>
      <c r="J765" s="30" t="s">
        <v>718</v>
      </c>
      <c r="K765">
        <v>6</v>
      </c>
      <c r="L765" s="29">
        <v>46043</v>
      </c>
      <c r="M765" s="29">
        <v>46028</v>
      </c>
      <c r="N765" s="30" t="str">
        <f>VLOOKUP(Query1[[#This Row],[company_name]],'Org Mapping'!$B:$I,8,FALSE)</f>
        <v>Prathap Sagar</v>
      </c>
      <c r="O765" s="30" t="str">
        <f>TEXT(Query1[[#This Row],[last_work_day]],"mmm'yy")</f>
        <v>Jan'26</v>
      </c>
    </row>
    <row r="766" spans="1:15" x14ac:dyDescent="0.35">
      <c r="A766" s="30" t="s">
        <v>551</v>
      </c>
      <c r="B766" s="30" t="s">
        <v>65</v>
      </c>
      <c r="C766" s="30" t="s">
        <v>2479</v>
      </c>
      <c r="D766">
        <v>1</v>
      </c>
      <c r="E766" s="30" t="s">
        <v>2480</v>
      </c>
      <c r="F766" s="29">
        <v>45943</v>
      </c>
      <c r="G766">
        <v>24097.5</v>
      </c>
      <c r="H766">
        <v>4097.5</v>
      </c>
      <c r="I766" s="30" t="s">
        <v>16</v>
      </c>
      <c r="J766" s="30" t="s">
        <v>544</v>
      </c>
      <c r="K766">
        <v>6</v>
      </c>
      <c r="L766" s="29">
        <v>46112</v>
      </c>
      <c r="M766" s="29">
        <v>46118</v>
      </c>
      <c r="N766" s="30" t="str">
        <f>VLOOKUP(Query1[[#This Row],[company_name]],'Org Mapping'!$B:$I,8,FALSE)</f>
        <v>UHG/Lenovo</v>
      </c>
      <c r="O766" s="30" t="str">
        <f>TEXT(Query1[[#This Row],[last_work_day]],"mmm'yy")</f>
        <v>Mar'26</v>
      </c>
    </row>
    <row r="767" spans="1:15" x14ac:dyDescent="0.35">
      <c r="A767" s="30" t="s">
        <v>551</v>
      </c>
      <c r="B767" s="30" t="s">
        <v>65</v>
      </c>
      <c r="C767" s="30" t="s">
        <v>2481</v>
      </c>
      <c r="D767">
        <v>1</v>
      </c>
      <c r="E767" s="30" t="s">
        <v>2482</v>
      </c>
      <c r="F767" s="29">
        <v>45943</v>
      </c>
      <c r="G767">
        <v>24097.5</v>
      </c>
      <c r="H767">
        <v>4097.5</v>
      </c>
      <c r="I767" s="30" t="s">
        <v>16</v>
      </c>
      <c r="J767" s="30" t="s">
        <v>544</v>
      </c>
      <c r="K767">
        <v>6</v>
      </c>
      <c r="L767" s="29">
        <v>46112</v>
      </c>
      <c r="M767" s="29">
        <v>46118</v>
      </c>
      <c r="N767" s="30" t="str">
        <f>VLOOKUP(Query1[[#This Row],[company_name]],'Org Mapping'!$B:$I,8,FALSE)</f>
        <v>UHG/Lenovo</v>
      </c>
      <c r="O767" s="30" t="str">
        <f>TEXT(Query1[[#This Row],[last_work_day]],"mmm'yy")</f>
        <v>Mar'26</v>
      </c>
    </row>
    <row r="768" spans="1:15" x14ac:dyDescent="0.35">
      <c r="A768" s="30" t="s">
        <v>551</v>
      </c>
      <c r="B768" s="30" t="s">
        <v>65</v>
      </c>
      <c r="C768" s="30" t="s">
        <v>2483</v>
      </c>
      <c r="D768">
        <v>1</v>
      </c>
      <c r="E768" s="30" t="s">
        <v>2484</v>
      </c>
      <c r="F768" s="29">
        <v>45943</v>
      </c>
      <c r="G768">
        <v>24097.5</v>
      </c>
      <c r="H768">
        <v>4097.5</v>
      </c>
      <c r="I768" s="30" t="s">
        <v>21</v>
      </c>
      <c r="J768" s="30" t="s">
        <v>544</v>
      </c>
      <c r="K768">
        <v>6</v>
      </c>
      <c r="L768" s="29">
        <v>46122</v>
      </c>
      <c r="M768" s="29">
        <v>46118</v>
      </c>
      <c r="N768" s="30" t="str">
        <f>VLOOKUP(Query1[[#This Row],[company_name]],'Org Mapping'!$B:$I,8,FALSE)</f>
        <v>UHG/Lenovo</v>
      </c>
      <c r="O768" s="30" t="str">
        <f>TEXT(Query1[[#This Row],[last_work_day]],"mmm'yy")</f>
        <v>Apr'26</v>
      </c>
    </row>
    <row r="769" spans="1:15" x14ac:dyDescent="0.35">
      <c r="A769" s="30" t="s">
        <v>551</v>
      </c>
      <c r="B769" s="30" t="s">
        <v>65</v>
      </c>
      <c r="C769" s="30" t="s">
        <v>2485</v>
      </c>
      <c r="D769">
        <v>1</v>
      </c>
      <c r="E769" s="30" t="s">
        <v>2486</v>
      </c>
      <c r="F769" s="29">
        <v>45964</v>
      </c>
      <c r="G769">
        <v>24097.5</v>
      </c>
      <c r="H769">
        <v>4097.5</v>
      </c>
      <c r="I769" s="30" t="s">
        <v>16</v>
      </c>
      <c r="J769" s="30" t="s">
        <v>544</v>
      </c>
      <c r="K769">
        <v>6</v>
      </c>
      <c r="L769" s="29">
        <v>46112</v>
      </c>
      <c r="M769" s="29">
        <v>46118</v>
      </c>
      <c r="N769" s="30" t="str">
        <f>VLOOKUP(Query1[[#This Row],[company_name]],'Org Mapping'!$B:$I,8,FALSE)</f>
        <v>UHG/Lenovo</v>
      </c>
      <c r="O769" s="30" t="str">
        <f>TEXT(Query1[[#This Row],[last_work_day]],"mmm'yy")</f>
        <v>Mar'26</v>
      </c>
    </row>
    <row r="770" spans="1:15" x14ac:dyDescent="0.35">
      <c r="A770" s="30" t="s">
        <v>551</v>
      </c>
      <c r="B770" s="30" t="s">
        <v>65</v>
      </c>
      <c r="C770" s="30" t="s">
        <v>2487</v>
      </c>
      <c r="D770">
        <v>1</v>
      </c>
      <c r="E770" s="30" t="s">
        <v>2488</v>
      </c>
      <c r="F770" s="29">
        <v>45964</v>
      </c>
      <c r="G770">
        <v>24097.5</v>
      </c>
      <c r="H770">
        <v>4097.5</v>
      </c>
      <c r="I770" s="30" t="s">
        <v>37</v>
      </c>
      <c r="J770" s="30" t="s">
        <v>544</v>
      </c>
      <c r="K770">
        <v>6</v>
      </c>
      <c r="L770" s="29">
        <v>46087</v>
      </c>
      <c r="M770" s="29">
        <v>46087</v>
      </c>
      <c r="N770" s="30" t="str">
        <f>VLOOKUP(Query1[[#This Row],[company_name]],'Org Mapping'!$B:$I,8,FALSE)</f>
        <v>UHG/Lenovo</v>
      </c>
      <c r="O770" s="30" t="str">
        <f>TEXT(Query1[[#This Row],[last_work_day]],"mmm'yy")</f>
        <v>Mar'26</v>
      </c>
    </row>
    <row r="771" spans="1:15" x14ac:dyDescent="0.35">
      <c r="A771" s="30" t="s">
        <v>551</v>
      </c>
      <c r="B771" s="30" t="s">
        <v>65</v>
      </c>
      <c r="C771" s="30" t="s">
        <v>2489</v>
      </c>
      <c r="D771">
        <v>1</v>
      </c>
      <c r="E771" s="30" t="s">
        <v>2490</v>
      </c>
      <c r="F771" s="29">
        <v>45943</v>
      </c>
      <c r="G771">
        <v>24097.5</v>
      </c>
      <c r="H771">
        <v>4097.5</v>
      </c>
      <c r="I771" s="30" t="s">
        <v>37</v>
      </c>
      <c r="J771" s="30" t="s">
        <v>544</v>
      </c>
      <c r="K771">
        <v>6</v>
      </c>
      <c r="L771" s="29">
        <v>46087</v>
      </c>
      <c r="M771" s="29">
        <v>46087</v>
      </c>
      <c r="N771" s="30" t="str">
        <f>VLOOKUP(Query1[[#This Row],[company_name]],'Org Mapping'!$B:$I,8,FALSE)</f>
        <v>UHG/Lenovo</v>
      </c>
      <c r="O771" s="30" t="str">
        <f>TEXT(Query1[[#This Row],[last_work_day]],"mmm'yy")</f>
        <v>Mar'26</v>
      </c>
    </row>
    <row r="772" spans="1:15" x14ac:dyDescent="0.35">
      <c r="A772" s="30" t="s">
        <v>551</v>
      </c>
      <c r="B772" s="30" t="s">
        <v>65</v>
      </c>
      <c r="C772" s="30" t="s">
        <v>2491</v>
      </c>
      <c r="D772">
        <v>1</v>
      </c>
      <c r="E772" s="30" t="s">
        <v>2492</v>
      </c>
      <c r="F772" s="29">
        <v>45943</v>
      </c>
      <c r="G772">
        <v>24097.5</v>
      </c>
      <c r="H772">
        <v>4097.5</v>
      </c>
      <c r="I772" s="30" t="s">
        <v>21</v>
      </c>
      <c r="J772" s="30" t="s">
        <v>544</v>
      </c>
      <c r="K772">
        <v>6</v>
      </c>
      <c r="L772" s="29">
        <v>46122</v>
      </c>
      <c r="M772" s="29">
        <v>46118</v>
      </c>
      <c r="N772" s="30" t="str">
        <f>VLOOKUP(Query1[[#This Row],[company_name]],'Org Mapping'!$B:$I,8,FALSE)</f>
        <v>UHG/Lenovo</v>
      </c>
      <c r="O772" s="30" t="str">
        <f>TEXT(Query1[[#This Row],[last_work_day]],"mmm'yy")</f>
        <v>Apr'26</v>
      </c>
    </row>
    <row r="773" spans="1:15" x14ac:dyDescent="0.35">
      <c r="A773" s="30" t="s">
        <v>104</v>
      </c>
      <c r="B773" s="30" t="s">
        <v>1628</v>
      </c>
      <c r="C773" s="30" t="s">
        <v>2493</v>
      </c>
      <c r="D773">
        <v>2</v>
      </c>
      <c r="E773" s="30" t="s">
        <v>2494</v>
      </c>
      <c r="F773" s="29">
        <v>45961</v>
      </c>
      <c r="G773">
        <v>325600</v>
      </c>
      <c r="H773">
        <v>75600</v>
      </c>
      <c r="I773" s="30" t="s">
        <v>21</v>
      </c>
      <c r="J773" s="30" t="s">
        <v>248</v>
      </c>
      <c r="K773">
        <v>6</v>
      </c>
      <c r="L773" s="29">
        <v>46172</v>
      </c>
      <c r="M773" s="29">
        <v>46125</v>
      </c>
      <c r="N773" s="30" t="str">
        <f>VLOOKUP(Query1[[#This Row],[company_name]],'Org Mapping'!$B:$I,8,FALSE)</f>
        <v>Sadhna Shukla</v>
      </c>
      <c r="O773" s="30" t="str">
        <f>TEXT(Query1[[#This Row],[last_work_day]],"mmm'yy")</f>
        <v>May'26</v>
      </c>
    </row>
    <row r="774" spans="1:15" x14ac:dyDescent="0.35">
      <c r="A774" s="30" t="s">
        <v>551</v>
      </c>
      <c r="B774" s="30" t="s">
        <v>65</v>
      </c>
      <c r="C774" s="30" t="s">
        <v>2495</v>
      </c>
      <c r="D774">
        <v>1</v>
      </c>
      <c r="E774" s="30" t="s">
        <v>2496</v>
      </c>
      <c r="F774" s="29">
        <v>45943</v>
      </c>
      <c r="G774">
        <v>24097.5</v>
      </c>
      <c r="H774">
        <v>4097.5</v>
      </c>
      <c r="I774" s="30" t="s">
        <v>21</v>
      </c>
      <c r="J774" s="30" t="s">
        <v>544</v>
      </c>
      <c r="K774">
        <v>6</v>
      </c>
      <c r="L774" s="29">
        <v>46122</v>
      </c>
      <c r="M774" s="29">
        <v>46118</v>
      </c>
      <c r="N774" s="30" t="str">
        <f>VLOOKUP(Query1[[#This Row],[company_name]],'Org Mapping'!$B:$I,8,FALSE)</f>
        <v>UHG/Lenovo</v>
      </c>
      <c r="O774" s="30" t="str">
        <f>TEXT(Query1[[#This Row],[last_work_day]],"mmm'yy")</f>
        <v>Apr'26</v>
      </c>
    </row>
    <row r="775" spans="1:15" x14ac:dyDescent="0.35">
      <c r="A775" s="30" t="s">
        <v>2497</v>
      </c>
      <c r="B775" s="30" t="s">
        <v>39</v>
      </c>
      <c r="C775" s="30" t="s">
        <v>2498</v>
      </c>
      <c r="D775">
        <v>2</v>
      </c>
      <c r="E775" s="30" t="s">
        <v>2499</v>
      </c>
      <c r="F775" s="29">
        <v>45943</v>
      </c>
      <c r="G775">
        <v>123900</v>
      </c>
      <c r="H775">
        <v>30567</v>
      </c>
      <c r="I775" s="30" t="s">
        <v>16</v>
      </c>
      <c r="J775" s="30" t="s">
        <v>31</v>
      </c>
      <c r="K775">
        <v>6</v>
      </c>
      <c r="L775" s="29">
        <v>46044</v>
      </c>
      <c r="M775" s="29">
        <v>46041</v>
      </c>
      <c r="N775" s="30" t="str">
        <f>VLOOKUP(Query1[[#This Row],[company_name]],'Org Mapping'!$B:$I,8,FALSE)</f>
        <v>Mehr Hashim</v>
      </c>
      <c r="O775" s="30" t="str">
        <f>TEXT(Query1[[#This Row],[last_work_day]],"mmm'yy")</f>
        <v>Jan'26</v>
      </c>
    </row>
    <row r="776" spans="1:15" x14ac:dyDescent="0.35">
      <c r="A776" s="30" t="s">
        <v>555</v>
      </c>
      <c r="B776" s="30" t="s">
        <v>65</v>
      </c>
      <c r="C776" s="30" t="s">
        <v>719</v>
      </c>
      <c r="D776">
        <v>2</v>
      </c>
      <c r="E776" s="30" t="s">
        <v>720</v>
      </c>
      <c r="F776" s="29">
        <v>45940</v>
      </c>
      <c r="G776">
        <v>23718</v>
      </c>
      <c r="H776">
        <v>3618</v>
      </c>
      <c r="I776" s="30" t="s">
        <v>92</v>
      </c>
      <c r="J776" s="30" t="s">
        <v>76</v>
      </c>
      <c r="K776">
        <v>6</v>
      </c>
      <c r="L776" s="29">
        <v>46041</v>
      </c>
      <c r="M776" s="29">
        <v>46036</v>
      </c>
      <c r="N776" s="30" t="str">
        <f>VLOOKUP(Query1[[#This Row],[company_name]],'Org Mapping'!$B:$I,8,FALSE)</f>
        <v>Jawad Ulla Khan</v>
      </c>
      <c r="O776" s="30" t="str">
        <f>TEXT(Query1[[#This Row],[last_work_day]],"mmm'yy")</f>
        <v>Jan'26</v>
      </c>
    </row>
    <row r="777" spans="1:15" x14ac:dyDescent="0.35">
      <c r="A777" s="30" t="s">
        <v>667</v>
      </c>
      <c r="B777" s="30" t="s">
        <v>65</v>
      </c>
      <c r="C777" s="30" t="s">
        <v>721</v>
      </c>
      <c r="D777">
        <v>2</v>
      </c>
      <c r="E777" s="30" t="s">
        <v>722</v>
      </c>
      <c r="F777" s="29">
        <v>45947</v>
      </c>
      <c r="G777">
        <v>31250</v>
      </c>
      <c r="H777">
        <v>6250</v>
      </c>
      <c r="I777" s="30" t="s">
        <v>92</v>
      </c>
      <c r="J777" s="30" t="s">
        <v>90</v>
      </c>
      <c r="K777">
        <v>6</v>
      </c>
      <c r="L777" s="29">
        <v>46063</v>
      </c>
      <c r="M777" s="29">
        <v>45995</v>
      </c>
      <c r="N777" s="30" t="str">
        <f>VLOOKUP(Query1[[#This Row],[company_name]],'Org Mapping'!$B:$I,8,FALSE)</f>
        <v>Jawad Ulla Khan</v>
      </c>
      <c r="O777" s="30" t="str">
        <f>TEXT(Query1[[#This Row],[last_work_day]],"mmm'yy")</f>
        <v>Feb'26</v>
      </c>
    </row>
    <row r="778" spans="1:15" x14ac:dyDescent="0.35">
      <c r="A778" s="30" t="s">
        <v>430</v>
      </c>
      <c r="B778" s="30" t="s">
        <v>65</v>
      </c>
      <c r="C778" s="30" t="s">
        <v>723</v>
      </c>
      <c r="D778">
        <v>2</v>
      </c>
      <c r="E778" s="30" t="s">
        <v>724</v>
      </c>
      <c r="F778" s="29">
        <v>45939</v>
      </c>
      <c r="G778">
        <v>48000</v>
      </c>
      <c r="H778">
        <v>8000</v>
      </c>
      <c r="I778" s="30" t="s">
        <v>26</v>
      </c>
      <c r="J778" s="30" t="s">
        <v>90</v>
      </c>
      <c r="K778">
        <v>6</v>
      </c>
      <c r="L778" s="29">
        <v>46094</v>
      </c>
      <c r="M778" s="29">
        <v>46070</v>
      </c>
      <c r="N778" s="30" t="str">
        <f>VLOOKUP(Query1[[#This Row],[company_name]],'Org Mapping'!$B:$I,8,FALSE)</f>
        <v>Jawad Ulla Khan</v>
      </c>
      <c r="O778" s="30" t="str">
        <f>TEXT(Query1[[#This Row],[last_work_day]],"mmm'yy")</f>
        <v>Mar'26</v>
      </c>
    </row>
    <row r="779" spans="1:15" x14ac:dyDescent="0.35">
      <c r="A779" s="30" t="s">
        <v>550</v>
      </c>
      <c r="B779" s="30" t="s">
        <v>65</v>
      </c>
      <c r="C779" s="30" t="s">
        <v>2500</v>
      </c>
      <c r="D779">
        <v>1</v>
      </c>
      <c r="E779" s="30" t="s">
        <v>2501</v>
      </c>
      <c r="F779" s="29">
        <v>45943</v>
      </c>
      <c r="G779">
        <v>24097.5</v>
      </c>
      <c r="H779">
        <v>4097.5</v>
      </c>
      <c r="I779" s="30" t="s">
        <v>21</v>
      </c>
      <c r="J779" s="30" t="s">
        <v>544</v>
      </c>
      <c r="K779">
        <v>6</v>
      </c>
      <c r="L779" s="29">
        <v>46122</v>
      </c>
      <c r="M779" s="29">
        <v>46118</v>
      </c>
      <c r="N779" s="30" t="str">
        <f>VLOOKUP(Query1[[#This Row],[company_name]],'Org Mapping'!$B:$I,8,FALSE)</f>
        <v>UHG/Lenovo</v>
      </c>
      <c r="O779" s="30" t="str">
        <f>TEXT(Query1[[#This Row],[last_work_day]],"mmm'yy")</f>
        <v>Apr'26</v>
      </c>
    </row>
    <row r="780" spans="1:15" x14ac:dyDescent="0.35">
      <c r="A780" s="30" t="s">
        <v>151</v>
      </c>
      <c r="B780" s="30" t="s">
        <v>65</v>
      </c>
      <c r="C780" s="30" t="s">
        <v>2502</v>
      </c>
      <c r="D780">
        <v>1</v>
      </c>
      <c r="E780" s="30" t="s">
        <v>2503</v>
      </c>
      <c r="F780" s="29">
        <v>45964</v>
      </c>
      <c r="G780">
        <v>24097.5</v>
      </c>
      <c r="H780">
        <v>4097.5</v>
      </c>
      <c r="I780" s="30" t="s">
        <v>92</v>
      </c>
      <c r="J780" s="30" t="s">
        <v>544</v>
      </c>
      <c r="K780">
        <v>6</v>
      </c>
      <c r="L780" s="29">
        <v>46055</v>
      </c>
      <c r="M780" s="29">
        <v>46055</v>
      </c>
      <c r="N780" s="30" t="str">
        <f>VLOOKUP(Query1[[#This Row],[company_name]],'Org Mapping'!$B:$I,8,FALSE)</f>
        <v>UHG/Lenovo</v>
      </c>
      <c r="O780" s="30" t="str">
        <f>TEXT(Query1[[#This Row],[last_work_day]],"mmm'yy")</f>
        <v>Feb'26</v>
      </c>
    </row>
    <row r="781" spans="1:15" x14ac:dyDescent="0.35">
      <c r="A781" s="30" t="s">
        <v>614</v>
      </c>
      <c r="B781" s="30" t="s">
        <v>65</v>
      </c>
      <c r="C781" s="30" t="s">
        <v>2504</v>
      </c>
      <c r="D781">
        <v>1</v>
      </c>
      <c r="E781" s="30" t="s">
        <v>2505</v>
      </c>
      <c r="F781" s="29">
        <v>45943</v>
      </c>
      <c r="G781">
        <v>24097.5</v>
      </c>
      <c r="H781">
        <v>4097.5</v>
      </c>
      <c r="I781" s="30" t="s">
        <v>92</v>
      </c>
      <c r="J781" s="30" t="s">
        <v>544</v>
      </c>
      <c r="K781">
        <v>6</v>
      </c>
      <c r="L781" s="29">
        <v>46105</v>
      </c>
      <c r="M781" s="29">
        <v>46106</v>
      </c>
      <c r="N781" s="30" t="str">
        <f>VLOOKUP(Query1[[#This Row],[company_name]],'Org Mapping'!$B:$I,8,FALSE)</f>
        <v>UHG/Lenovo</v>
      </c>
      <c r="O781" s="30" t="str">
        <f>TEXT(Query1[[#This Row],[last_work_day]],"mmm'yy")</f>
        <v>Mar'26</v>
      </c>
    </row>
    <row r="782" spans="1:15" x14ac:dyDescent="0.35">
      <c r="A782" s="30" t="s">
        <v>555</v>
      </c>
      <c r="B782" s="30" t="s">
        <v>65</v>
      </c>
      <c r="C782" s="30" t="s">
        <v>2506</v>
      </c>
      <c r="D782">
        <v>1</v>
      </c>
      <c r="E782" s="30" t="s">
        <v>2507</v>
      </c>
      <c r="F782" s="29">
        <v>45943</v>
      </c>
      <c r="G782">
        <v>24097.5</v>
      </c>
      <c r="H782">
        <v>4097.5</v>
      </c>
      <c r="I782" s="30" t="s">
        <v>37</v>
      </c>
      <c r="J782" s="30" t="s">
        <v>544</v>
      </c>
      <c r="K782">
        <v>6</v>
      </c>
      <c r="L782" s="29">
        <v>46087</v>
      </c>
      <c r="M782" s="29">
        <v>46087</v>
      </c>
      <c r="N782" s="30" t="str">
        <f>VLOOKUP(Query1[[#This Row],[company_name]],'Org Mapping'!$B:$I,8,FALSE)</f>
        <v>UHG/Lenovo</v>
      </c>
      <c r="O782" s="30" t="str">
        <f>TEXT(Query1[[#This Row],[last_work_day]],"mmm'yy")</f>
        <v>Mar'26</v>
      </c>
    </row>
    <row r="783" spans="1:15" x14ac:dyDescent="0.35">
      <c r="A783" s="30" t="s">
        <v>550</v>
      </c>
      <c r="B783" s="30" t="s">
        <v>65</v>
      </c>
      <c r="C783" s="30" t="s">
        <v>2508</v>
      </c>
      <c r="D783">
        <v>1</v>
      </c>
      <c r="E783" s="30" t="s">
        <v>2509</v>
      </c>
      <c r="F783" s="29">
        <v>45943</v>
      </c>
      <c r="G783">
        <v>24097.5</v>
      </c>
      <c r="H783">
        <v>4097.5</v>
      </c>
      <c r="I783" s="30" t="s">
        <v>21</v>
      </c>
      <c r="J783" s="30" t="s">
        <v>544</v>
      </c>
      <c r="K783">
        <v>6</v>
      </c>
      <c r="L783" s="29">
        <v>46122</v>
      </c>
      <c r="M783" s="29">
        <v>46118</v>
      </c>
      <c r="N783" s="30" t="str">
        <f>VLOOKUP(Query1[[#This Row],[company_name]],'Org Mapping'!$B:$I,8,FALSE)</f>
        <v>UHG/Lenovo</v>
      </c>
      <c r="O783" s="30" t="str">
        <f>TEXT(Query1[[#This Row],[last_work_day]],"mmm'yy")</f>
        <v>Apr'26</v>
      </c>
    </row>
    <row r="784" spans="1:15" x14ac:dyDescent="0.35">
      <c r="A784" s="30" t="s">
        <v>2510</v>
      </c>
      <c r="B784" s="30" t="s">
        <v>126</v>
      </c>
      <c r="C784" s="30" t="s">
        <v>2511</v>
      </c>
      <c r="D784">
        <v>2</v>
      </c>
      <c r="E784" s="30" t="s">
        <v>2512</v>
      </c>
      <c r="F784" s="29">
        <v>45945</v>
      </c>
      <c r="G784">
        <v>30000</v>
      </c>
      <c r="H784">
        <v>5000</v>
      </c>
      <c r="I784" s="30" t="s">
        <v>26</v>
      </c>
      <c r="J784" s="30" t="s">
        <v>73</v>
      </c>
      <c r="K784">
        <v>6</v>
      </c>
      <c r="L784" s="29">
        <v>46099</v>
      </c>
      <c r="M784" s="29">
        <v>46093</v>
      </c>
      <c r="N784" s="30" t="str">
        <f>VLOOKUP(Query1[[#This Row],[company_name]],'Org Mapping'!$B:$I,8,FALSE)</f>
        <v>Prathap Sagar</v>
      </c>
      <c r="O784" s="30" t="str">
        <f>TEXT(Query1[[#This Row],[last_work_day]],"mmm'yy")</f>
        <v>Mar'26</v>
      </c>
    </row>
    <row r="785" spans="1:15" x14ac:dyDescent="0.35">
      <c r="A785" s="30" t="s">
        <v>390</v>
      </c>
      <c r="B785" s="30" t="s">
        <v>65</v>
      </c>
      <c r="C785" s="30" t="s">
        <v>2513</v>
      </c>
      <c r="D785">
        <v>1</v>
      </c>
      <c r="E785" s="30" t="s">
        <v>2514</v>
      </c>
      <c r="F785" s="29">
        <v>45943</v>
      </c>
      <c r="G785">
        <v>24097.5</v>
      </c>
      <c r="H785">
        <v>4097.5</v>
      </c>
      <c r="I785" s="30" t="s">
        <v>21</v>
      </c>
      <c r="J785" s="30" t="s">
        <v>544</v>
      </c>
      <c r="K785">
        <v>6</v>
      </c>
      <c r="L785" s="29">
        <v>46122</v>
      </c>
      <c r="M785" s="29">
        <v>46118</v>
      </c>
      <c r="N785" s="30" t="str">
        <f>VLOOKUP(Query1[[#This Row],[company_name]],'Org Mapping'!$B:$I,8,FALSE)</f>
        <v>UHG/Lenovo</v>
      </c>
      <c r="O785" s="30" t="str">
        <f>TEXT(Query1[[#This Row],[last_work_day]],"mmm'yy")</f>
        <v>Apr'26</v>
      </c>
    </row>
    <row r="786" spans="1:15" x14ac:dyDescent="0.35">
      <c r="A786" s="30" t="s">
        <v>390</v>
      </c>
      <c r="B786" s="30" t="s">
        <v>65</v>
      </c>
      <c r="C786" s="30" t="s">
        <v>2515</v>
      </c>
      <c r="D786">
        <v>1</v>
      </c>
      <c r="E786" s="30" t="s">
        <v>2516</v>
      </c>
      <c r="F786" s="29">
        <v>45943</v>
      </c>
      <c r="G786">
        <v>24097.5</v>
      </c>
      <c r="H786">
        <v>4097.5</v>
      </c>
      <c r="I786" s="30" t="s">
        <v>92</v>
      </c>
      <c r="J786" s="30" t="s">
        <v>544</v>
      </c>
      <c r="K786">
        <v>6</v>
      </c>
      <c r="L786" s="29">
        <v>46055</v>
      </c>
      <c r="M786" s="29">
        <v>46057</v>
      </c>
      <c r="N786" s="30" t="str">
        <f>VLOOKUP(Query1[[#This Row],[company_name]],'Org Mapping'!$B:$I,8,FALSE)</f>
        <v>UHG/Lenovo</v>
      </c>
      <c r="O786" s="30" t="str">
        <f>TEXT(Query1[[#This Row],[last_work_day]],"mmm'yy")</f>
        <v>Feb'26</v>
      </c>
    </row>
    <row r="787" spans="1:15" x14ac:dyDescent="0.35">
      <c r="A787" s="30" t="s">
        <v>390</v>
      </c>
      <c r="B787" s="30" t="s">
        <v>65</v>
      </c>
      <c r="C787" s="30" t="s">
        <v>2517</v>
      </c>
      <c r="D787">
        <v>1</v>
      </c>
      <c r="E787" s="30" t="s">
        <v>2518</v>
      </c>
      <c r="F787" s="29">
        <v>45943</v>
      </c>
      <c r="G787">
        <v>24097.5</v>
      </c>
      <c r="H787">
        <v>4097.5</v>
      </c>
      <c r="I787" s="30" t="s">
        <v>21</v>
      </c>
      <c r="J787" s="30" t="s">
        <v>544</v>
      </c>
      <c r="K787">
        <v>6</v>
      </c>
      <c r="L787" s="29">
        <v>46122</v>
      </c>
      <c r="M787" s="29">
        <v>46118</v>
      </c>
      <c r="N787" s="30" t="str">
        <f>VLOOKUP(Query1[[#This Row],[company_name]],'Org Mapping'!$B:$I,8,FALSE)</f>
        <v>UHG/Lenovo</v>
      </c>
      <c r="O787" s="30" t="str">
        <f>TEXT(Query1[[#This Row],[last_work_day]],"mmm'yy")</f>
        <v>Apr'26</v>
      </c>
    </row>
    <row r="788" spans="1:15" x14ac:dyDescent="0.35">
      <c r="A788" s="30" t="s">
        <v>390</v>
      </c>
      <c r="B788" s="30" t="s">
        <v>65</v>
      </c>
      <c r="C788" s="30" t="s">
        <v>2519</v>
      </c>
      <c r="D788">
        <v>1</v>
      </c>
      <c r="E788" s="30" t="s">
        <v>2520</v>
      </c>
      <c r="F788" s="29">
        <v>45943</v>
      </c>
      <c r="G788">
        <v>24097.5</v>
      </c>
      <c r="H788">
        <v>4097.5</v>
      </c>
      <c r="I788" s="30" t="s">
        <v>21</v>
      </c>
      <c r="J788" s="30" t="s">
        <v>544</v>
      </c>
      <c r="K788">
        <v>6</v>
      </c>
      <c r="L788" s="29">
        <v>46122</v>
      </c>
      <c r="M788" s="29">
        <v>46118</v>
      </c>
      <c r="N788" s="30" t="str">
        <f>VLOOKUP(Query1[[#This Row],[company_name]],'Org Mapping'!$B:$I,8,FALSE)</f>
        <v>UHG/Lenovo</v>
      </c>
      <c r="O788" s="30" t="str">
        <f>TEXT(Query1[[#This Row],[last_work_day]],"mmm'yy")</f>
        <v>Apr'26</v>
      </c>
    </row>
    <row r="789" spans="1:15" x14ac:dyDescent="0.35">
      <c r="A789" s="30" t="s">
        <v>360</v>
      </c>
      <c r="B789" s="30" t="s">
        <v>65</v>
      </c>
      <c r="C789" s="30" t="s">
        <v>2521</v>
      </c>
      <c r="D789">
        <v>1</v>
      </c>
      <c r="E789" s="30" t="s">
        <v>2522</v>
      </c>
      <c r="F789" s="29">
        <v>45943</v>
      </c>
      <c r="G789">
        <v>24097.5</v>
      </c>
      <c r="H789">
        <v>4097.5</v>
      </c>
      <c r="I789" s="30" t="s">
        <v>21</v>
      </c>
      <c r="J789" s="30" t="s">
        <v>544</v>
      </c>
      <c r="K789">
        <v>6</v>
      </c>
      <c r="L789" s="29">
        <v>46122</v>
      </c>
      <c r="M789" s="29">
        <v>46118</v>
      </c>
      <c r="N789" s="30" t="str">
        <f>VLOOKUP(Query1[[#This Row],[company_name]],'Org Mapping'!$B:$I,8,FALSE)</f>
        <v>UHG/Lenovo</v>
      </c>
      <c r="O789" s="30" t="str">
        <f>TEXT(Query1[[#This Row],[last_work_day]],"mmm'yy")</f>
        <v>Apr'26</v>
      </c>
    </row>
    <row r="790" spans="1:15" x14ac:dyDescent="0.35">
      <c r="A790" s="30" t="s">
        <v>430</v>
      </c>
      <c r="B790" s="30" t="s">
        <v>65</v>
      </c>
      <c r="C790" s="30" t="s">
        <v>725</v>
      </c>
      <c r="D790">
        <v>2</v>
      </c>
      <c r="E790" s="30" t="s">
        <v>726</v>
      </c>
      <c r="F790" s="29">
        <v>45944</v>
      </c>
      <c r="G790">
        <v>70000</v>
      </c>
      <c r="H790">
        <v>14000</v>
      </c>
      <c r="I790" s="30" t="s">
        <v>37</v>
      </c>
      <c r="J790" s="30" t="s">
        <v>90</v>
      </c>
      <c r="K790">
        <v>6</v>
      </c>
      <c r="L790" s="29">
        <v>46024</v>
      </c>
      <c r="M790" s="29">
        <v>45995</v>
      </c>
      <c r="N790" s="30" t="str">
        <f>VLOOKUP(Query1[[#This Row],[company_name]],'Org Mapping'!$B:$I,8,FALSE)</f>
        <v>Jawad Ulla Khan</v>
      </c>
      <c r="O790" s="30" t="str">
        <f>TEXT(Query1[[#This Row],[last_work_day]],"mmm'yy")</f>
        <v>Jan'26</v>
      </c>
    </row>
    <row r="791" spans="1:15" x14ac:dyDescent="0.35">
      <c r="A791" s="30" t="s">
        <v>151</v>
      </c>
      <c r="B791" s="30" t="s">
        <v>65</v>
      </c>
      <c r="C791" s="30" t="s">
        <v>727</v>
      </c>
      <c r="D791">
        <v>2</v>
      </c>
      <c r="E791" s="30" t="s">
        <v>728</v>
      </c>
      <c r="F791" s="29">
        <v>45944</v>
      </c>
      <c r="G791">
        <v>31250</v>
      </c>
      <c r="H791">
        <v>6250</v>
      </c>
      <c r="I791" s="30" t="s">
        <v>37</v>
      </c>
      <c r="J791" s="30" t="s">
        <v>90</v>
      </c>
      <c r="K791">
        <v>6</v>
      </c>
      <c r="L791" s="29">
        <v>46134</v>
      </c>
      <c r="M791" s="29">
        <v>45995</v>
      </c>
      <c r="N791" s="30" t="str">
        <f>VLOOKUP(Query1[[#This Row],[company_name]],'Org Mapping'!$B:$I,8,FALSE)</f>
        <v>Jawad Ulla Khan</v>
      </c>
      <c r="O791" s="30" t="str">
        <f>TEXT(Query1[[#This Row],[last_work_day]],"mmm'yy")</f>
        <v>Apr'26</v>
      </c>
    </row>
    <row r="792" spans="1:15" x14ac:dyDescent="0.35">
      <c r="A792" s="30" t="s">
        <v>550</v>
      </c>
      <c r="B792" s="30" t="s">
        <v>65</v>
      </c>
      <c r="C792" s="30" t="s">
        <v>729</v>
      </c>
      <c r="D792">
        <v>2</v>
      </c>
      <c r="E792" s="30" t="s">
        <v>730</v>
      </c>
      <c r="F792" s="29">
        <v>45953</v>
      </c>
      <c r="G792">
        <v>44250</v>
      </c>
      <c r="H792">
        <v>6750</v>
      </c>
      <c r="I792" s="30" t="s">
        <v>26</v>
      </c>
      <c r="J792" s="30" t="s">
        <v>76</v>
      </c>
      <c r="K792">
        <v>6</v>
      </c>
      <c r="L792" s="29">
        <v>46064</v>
      </c>
      <c r="M792" s="29">
        <v>46041</v>
      </c>
      <c r="N792" s="30" t="str">
        <f>VLOOKUP(Query1[[#This Row],[company_name]],'Org Mapping'!$B:$I,8,FALSE)</f>
        <v>Jawad Ulla Khan</v>
      </c>
      <c r="O792" s="30" t="str">
        <f>TEXT(Query1[[#This Row],[last_work_day]],"mmm'yy")</f>
        <v>Feb'26</v>
      </c>
    </row>
    <row r="793" spans="1:15" x14ac:dyDescent="0.35">
      <c r="A793" s="30" t="s">
        <v>667</v>
      </c>
      <c r="B793" s="30" t="s">
        <v>65</v>
      </c>
      <c r="C793" s="30" t="s">
        <v>731</v>
      </c>
      <c r="D793">
        <v>2</v>
      </c>
      <c r="E793" s="30" t="s">
        <v>732</v>
      </c>
      <c r="F793" s="29">
        <v>45944</v>
      </c>
      <c r="G793">
        <v>50000</v>
      </c>
      <c r="H793">
        <v>10000</v>
      </c>
      <c r="I793" s="30" t="s">
        <v>37</v>
      </c>
      <c r="J793" s="30" t="s">
        <v>90</v>
      </c>
      <c r="K793">
        <v>6</v>
      </c>
      <c r="L793" s="29">
        <v>46042</v>
      </c>
      <c r="M793" s="29">
        <v>45995</v>
      </c>
      <c r="N793" s="30" t="str">
        <f>VLOOKUP(Query1[[#This Row],[company_name]],'Org Mapping'!$B:$I,8,FALSE)</f>
        <v>Jawad Ulla Khan</v>
      </c>
      <c r="O793" s="30" t="str">
        <f>TEXT(Query1[[#This Row],[last_work_day]],"mmm'yy")</f>
        <v>Jan'26</v>
      </c>
    </row>
    <row r="794" spans="1:15" x14ac:dyDescent="0.35">
      <c r="A794" s="30" t="s">
        <v>550</v>
      </c>
      <c r="B794" s="30" t="s">
        <v>65</v>
      </c>
      <c r="C794" s="30" t="s">
        <v>2523</v>
      </c>
      <c r="D794">
        <v>1</v>
      </c>
      <c r="E794" s="30" t="s">
        <v>2524</v>
      </c>
      <c r="F794" s="29">
        <v>45946</v>
      </c>
      <c r="G794">
        <v>50000</v>
      </c>
      <c r="H794">
        <v>12500</v>
      </c>
      <c r="I794" s="30" t="s">
        <v>26</v>
      </c>
      <c r="J794" s="30" t="s">
        <v>41</v>
      </c>
      <c r="K794">
        <v>6</v>
      </c>
      <c r="L794" s="29">
        <v>46099</v>
      </c>
      <c r="M794" s="29">
        <v>46094</v>
      </c>
      <c r="N794" s="30" t="str">
        <f>VLOOKUP(Query1[[#This Row],[company_name]],'Org Mapping'!$B:$I,8,FALSE)</f>
        <v>(Sonia/Dikshitha)</v>
      </c>
      <c r="O794" s="30" t="str">
        <f>TEXT(Query1[[#This Row],[last_work_day]],"mmm'yy")</f>
        <v>Mar'26</v>
      </c>
    </row>
    <row r="795" spans="1:15" x14ac:dyDescent="0.35">
      <c r="A795" s="30" t="s">
        <v>309</v>
      </c>
      <c r="B795" s="30" t="s">
        <v>43</v>
      </c>
      <c r="C795" s="30" t="s">
        <v>2525</v>
      </c>
      <c r="D795">
        <v>1</v>
      </c>
      <c r="E795" s="30" t="s">
        <v>2526</v>
      </c>
      <c r="F795" s="29">
        <v>45946</v>
      </c>
      <c r="G795">
        <v>66667</v>
      </c>
      <c r="H795">
        <v>24167</v>
      </c>
      <c r="I795" s="30" t="s">
        <v>26</v>
      </c>
      <c r="J795" s="30" t="s">
        <v>41</v>
      </c>
      <c r="K795">
        <v>6</v>
      </c>
      <c r="L795" s="29">
        <v>46077</v>
      </c>
      <c r="M795" s="29">
        <v>46079</v>
      </c>
      <c r="N795" s="30" t="str">
        <f>VLOOKUP(Query1[[#This Row],[company_name]],'Org Mapping'!$B:$I,8,FALSE)</f>
        <v>(Sonia/Dikshitha)</v>
      </c>
      <c r="O795" s="30" t="str">
        <f>TEXT(Query1[[#This Row],[last_work_day]],"mmm'yy")</f>
        <v>Feb'26</v>
      </c>
    </row>
    <row r="796" spans="1:15" x14ac:dyDescent="0.35">
      <c r="A796" s="30" t="s">
        <v>553</v>
      </c>
      <c r="B796" s="30" t="s">
        <v>65</v>
      </c>
      <c r="C796" s="30" t="s">
        <v>733</v>
      </c>
      <c r="D796">
        <v>2</v>
      </c>
      <c r="E796" s="30" t="s">
        <v>734</v>
      </c>
      <c r="F796" s="29">
        <v>45947</v>
      </c>
      <c r="G796">
        <v>23718</v>
      </c>
      <c r="H796">
        <v>3618</v>
      </c>
      <c r="I796" s="30" t="s">
        <v>26</v>
      </c>
      <c r="J796" s="30" t="s">
        <v>76</v>
      </c>
      <c r="K796">
        <v>6</v>
      </c>
      <c r="L796" s="29">
        <v>46146</v>
      </c>
      <c r="M796" s="29">
        <v>46115</v>
      </c>
      <c r="N796" s="30" t="str">
        <f>VLOOKUP(Query1[[#This Row],[company_name]],'Org Mapping'!$B:$I,8,FALSE)</f>
        <v>Jawad Ulla Khan</v>
      </c>
      <c r="O796" s="30" t="str">
        <f>TEXT(Query1[[#This Row],[last_work_day]],"mmm'yy")</f>
        <v>May'26</v>
      </c>
    </row>
    <row r="797" spans="1:15" x14ac:dyDescent="0.35">
      <c r="A797" s="30" t="s">
        <v>555</v>
      </c>
      <c r="B797" s="30" t="s">
        <v>65</v>
      </c>
      <c r="C797" s="30" t="s">
        <v>735</v>
      </c>
      <c r="D797">
        <v>2</v>
      </c>
      <c r="E797" s="30" t="s">
        <v>736</v>
      </c>
      <c r="F797" s="29">
        <v>45947</v>
      </c>
      <c r="G797">
        <v>23718</v>
      </c>
      <c r="H797">
        <v>3618</v>
      </c>
      <c r="I797" s="30" t="s">
        <v>26</v>
      </c>
      <c r="J797" s="30" t="s">
        <v>76</v>
      </c>
      <c r="K797">
        <v>6</v>
      </c>
      <c r="L797" s="29">
        <v>46087</v>
      </c>
      <c r="M797" s="29">
        <v>46050</v>
      </c>
      <c r="N797" s="30" t="str">
        <f>VLOOKUP(Query1[[#This Row],[company_name]],'Org Mapping'!$B:$I,8,FALSE)</f>
        <v>Jawad Ulla Khan</v>
      </c>
      <c r="O797" s="30" t="str">
        <f>TEXT(Query1[[#This Row],[last_work_day]],"mmm'yy")</f>
        <v>Mar'26</v>
      </c>
    </row>
    <row r="798" spans="1:15" x14ac:dyDescent="0.35">
      <c r="A798" s="30" t="s">
        <v>360</v>
      </c>
      <c r="B798" s="30" t="s">
        <v>65</v>
      </c>
      <c r="C798" s="30" t="s">
        <v>737</v>
      </c>
      <c r="D798">
        <v>2</v>
      </c>
      <c r="E798" s="30" t="s">
        <v>738</v>
      </c>
      <c r="F798" s="29">
        <v>45945</v>
      </c>
      <c r="G798">
        <v>70000</v>
      </c>
      <c r="H798">
        <v>14000</v>
      </c>
      <c r="I798" s="30" t="s">
        <v>37</v>
      </c>
      <c r="J798" s="30" t="s">
        <v>90</v>
      </c>
      <c r="K798">
        <v>6</v>
      </c>
      <c r="L798" s="29">
        <v>46157</v>
      </c>
      <c r="M798" s="29">
        <v>45995</v>
      </c>
      <c r="N798" s="30" t="str">
        <f>VLOOKUP(Query1[[#This Row],[company_name]],'Org Mapping'!$B:$I,8,FALSE)</f>
        <v>Jawad Ulla Khan</v>
      </c>
      <c r="O798" s="30" t="str">
        <f>TEXT(Query1[[#This Row],[last_work_day]],"mmm'yy")</f>
        <v>May'26</v>
      </c>
    </row>
    <row r="799" spans="1:15" x14ac:dyDescent="0.35">
      <c r="A799" s="30" t="s">
        <v>667</v>
      </c>
      <c r="B799" s="30" t="s">
        <v>65</v>
      </c>
      <c r="C799" s="30" t="s">
        <v>739</v>
      </c>
      <c r="D799">
        <v>2</v>
      </c>
      <c r="E799" s="30" t="s">
        <v>740</v>
      </c>
      <c r="F799" s="29">
        <v>45957</v>
      </c>
      <c r="G799">
        <v>31250</v>
      </c>
      <c r="H799">
        <v>6250</v>
      </c>
      <c r="I799" s="30" t="s">
        <v>37</v>
      </c>
      <c r="J799" s="30" t="s">
        <v>90</v>
      </c>
      <c r="K799">
        <v>6</v>
      </c>
      <c r="L799" s="29">
        <v>46122</v>
      </c>
      <c r="M799" s="29">
        <v>45995</v>
      </c>
      <c r="N799" s="30" t="str">
        <f>VLOOKUP(Query1[[#This Row],[company_name]],'Org Mapping'!$B:$I,8,FALSE)</f>
        <v>Jawad Ulla Khan</v>
      </c>
      <c r="O799" s="30" t="str">
        <f>TEXT(Query1[[#This Row],[last_work_day]],"mmm'yy")</f>
        <v>Apr'26</v>
      </c>
    </row>
    <row r="800" spans="1:15" x14ac:dyDescent="0.35">
      <c r="A800" s="30" t="s">
        <v>667</v>
      </c>
      <c r="B800" s="30" t="s">
        <v>65</v>
      </c>
      <c r="C800" s="30" t="s">
        <v>741</v>
      </c>
      <c r="D800">
        <v>2</v>
      </c>
      <c r="E800" s="30" t="s">
        <v>742</v>
      </c>
      <c r="F800" s="29">
        <v>45945</v>
      </c>
      <c r="G800">
        <v>31250</v>
      </c>
      <c r="H800">
        <v>6250</v>
      </c>
      <c r="I800" s="30" t="s">
        <v>37</v>
      </c>
      <c r="J800" s="30" t="s">
        <v>90</v>
      </c>
      <c r="K800">
        <v>6</v>
      </c>
      <c r="L800" s="29">
        <v>46024</v>
      </c>
      <c r="M800" s="29">
        <v>45995</v>
      </c>
      <c r="N800" s="30" t="str">
        <f>VLOOKUP(Query1[[#This Row],[company_name]],'Org Mapping'!$B:$I,8,FALSE)</f>
        <v>Jawad Ulla Khan</v>
      </c>
      <c r="O800" s="30" t="str">
        <f>TEXT(Query1[[#This Row],[last_work_day]],"mmm'yy")</f>
        <v>Jan'26</v>
      </c>
    </row>
    <row r="801" spans="1:15" x14ac:dyDescent="0.35">
      <c r="A801" s="30" t="s">
        <v>550</v>
      </c>
      <c r="B801" s="30" t="s">
        <v>65</v>
      </c>
      <c r="C801" s="30" t="s">
        <v>2527</v>
      </c>
      <c r="D801">
        <v>1</v>
      </c>
      <c r="E801" s="30" t="s">
        <v>2528</v>
      </c>
      <c r="F801" s="29">
        <v>45957</v>
      </c>
      <c r="G801">
        <v>25882.5</v>
      </c>
      <c r="H801">
        <v>5882.5</v>
      </c>
      <c r="I801" s="30" t="s">
        <v>37</v>
      </c>
      <c r="J801" s="30" t="s">
        <v>544</v>
      </c>
      <c r="K801">
        <v>6</v>
      </c>
      <c r="L801" s="29">
        <v>46096</v>
      </c>
      <c r="M801" s="29">
        <v>46070</v>
      </c>
      <c r="N801" s="30" t="str">
        <f>VLOOKUP(Query1[[#This Row],[company_name]],'Org Mapping'!$B:$I,8,FALSE)</f>
        <v>UHG/Lenovo</v>
      </c>
      <c r="O801" s="30" t="str">
        <f>TEXT(Query1[[#This Row],[last_work_day]],"mmm'yy")</f>
        <v>Mar'26</v>
      </c>
    </row>
    <row r="802" spans="1:15" x14ac:dyDescent="0.35">
      <c r="A802" s="30" t="s">
        <v>550</v>
      </c>
      <c r="B802" s="30" t="s">
        <v>65</v>
      </c>
      <c r="C802" s="30" t="s">
        <v>2529</v>
      </c>
      <c r="D802">
        <v>1</v>
      </c>
      <c r="E802" s="30" t="s">
        <v>2530</v>
      </c>
      <c r="F802" s="29">
        <v>45957</v>
      </c>
      <c r="G802">
        <v>25882.5</v>
      </c>
      <c r="H802">
        <v>5882.5</v>
      </c>
      <c r="I802" s="30" t="s">
        <v>37</v>
      </c>
      <c r="J802" s="30" t="s">
        <v>544</v>
      </c>
      <c r="K802">
        <v>6</v>
      </c>
      <c r="L802" s="29">
        <v>46096</v>
      </c>
      <c r="M802" s="29">
        <v>46070</v>
      </c>
      <c r="N802" s="30" t="str">
        <f>VLOOKUP(Query1[[#This Row],[company_name]],'Org Mapping'!$B:$I,8,FALSE)</f>
        <v>UHG/Lenovo</v>
      </c>
      <c r="O802" s="30" t="str">
        <f>TEXT(Query1[[#This Row],[last_work_day]],"mmm'yy")</f>
        <v>Mar'26</v>
      </c>
    </row>
    <row r="803" spans="1:15" x14ac:dyDescent="0.35">
      <c r="A803" s="30" t="s">
        <v>550</v>
      </c>
      <c r="B803" s="30" t="s">
        <v>65</v>
      </c>
      <c r="C803" s="30" t="s">
        <v>2531</v>
      </c>
      <c r="D803">
        <v>1</v>
      </c>
      <c r="E803" s="30" t="s">
        <v>2532</v>
      </c>
      <c r="F803" s="29">
        <v>45957</v>
      </c>
      <c r="G803">
        <v>25882.5</v>
      </c>
      <c r="H803">
        <v>5882.5</v>
      </c>
      <c r="I803" s="30" t="s">
        <v>37</v>
      </c>
      <c r="J803" s="30" t="s">
        <v>544</v>
      </c>
      <c r="K803">
        <v>6</v>
      </c>
      <c r="L803" s="29">
        <v>46166</v>
      </c>
      <c r="M803" s="29">
        <v>46118</v>
      </c>
      <c r="N803" s="30" t="str">
        <f>VLOOKUP(Query1[[#This Row],[company_name]],'Org Mapping'!$B:$I,8,FALSE)</f>
        <v>UHG/Lenovo</v>
      </c>
      <c r="O803" s="30" t="str">
        <f>TEXT(Query1[[#This Row],[last_work_day]],"mmm'yy")</f>
        <v>May'26</v>
      </c>
    </row>
    <row r="804" spans="1:15" x14ac:dyDescent="0.35">
      <c r="A804" s="30" t="s">
        <v>360</v>
      </c>
      <c r="B804" s="30" t="s">
        <v>65</v>
      </c>
      <c r="C804" s="30" t="s">
        <v>743</v>
      </c>
      <c r="D804">
        <v>2</v>
      </c>
      <c r="E804" s="30" t="s">
        <v>744</v>
      </c>
      <c r="F804" s="29">
        <v>45947</v>
      </c>
      <c r="G804">
        <v>70000</v>
      </c>
      <c r="H804">
        <v>14000</v>
      </c>
      <c r="I804" s="30" t="s">
        <v>37</v>
      </c>
      <c r="J804" s="30" t="s">
        <v>76</v>
      </c>
      <c r="K804">
        <v>6</v>
      </c>
      <c r="L804" s="29">
        <v>46024</v>
      </c>
      <c r="M804" s="29">
        <v>45995</v>
      </c>
      <c r="N804" s="30" t="str">
        <f>VLOOKUP(Query1[[#This Row],[company_name]],'Org Mapping'!$B:$I,8,FALSE)</f>
        <v>Jawad Ulla Khan</v>
      </c>
      <c r="O804" s="30" t="str">
        <f>TEXT(Query1[[#This Row],[last_work_day]],"mmm'yy")</f>
        <v>Jan'26</v>
      </c>
    </row>
    <row r="805" spans="1:15" x14ac:dyDescent="0.35">
      <c r="A805" s="30" t="s">
        <v>390</v>
      </c>
      <c r="B805" s="30" t="s">
        <v>65</v>
      </c>
      <c r="C805" s="30" t="s">
        <v>2533</v>
      </c>
      <c r="D805">
        <v>1</v>
      </c>
      <c r="E805" s="30" t="s">
        <v>2534</v>
      </c>
      <c r="F805" s="29">
        <v>45957</v>
      </c>
      <c r="G805">
        <v>25882.5</v>
      </c>
      <c r="H805">
        <v>5882.5</v>
      </c>
      <c r="I805" s="30" t="s">
        <v>37</v>
      </c>
      <c r="J805" s="30" t="s">
        <v>544</v>
      </c>
      <c r="K805">
        <v>6</v>
      </c>
      <c r="L805" s="29">
        <v>46096</v>
      </c>
      <c r="M805" s="29">
        <v>46070</v>
      </c>
      <c r="N805" s="30" t="str">
        <f>VLOOKUP(Query1[[#This Row],[company_name]],'Org Mapping'!$B:$I,8,FALSE)</f>
        <v>UHG/Lenovo</v>
      </c>
      <c r="O805" s="30" t="str">
        <f>TEXT(Query1[[#This Row],[last_work_day]],"mmm'yy")</f>
        <v>Mar'26</v>
      </c>
    </row>
    <row r="806" spans="1:15" x14ac:dyDescent="0.35">
      <c r="A806" s="30" t="s">
        <v>551</v>
      </c>
      <c r="B806" s="30" t="s">
        <v>65</v>
      </c>
      <c r="C806" s="30" t="s">
        <v>2535</v>
      </c>
      <c r="D806">
        <v>1</v>
      </c>
      <c r="E806" s="30" t="s">
        <v>2536</v>
      </c>
      <c r="F806" s="29">
        <v>45957</v>
      </c>
      <c r="G806">
        <v>25882.5</v>
      </c>
      <c r="H806">
        <v>5882.5</v>
      </c>
      <c r="I806" s="30" t="s">
        <v>37</v>
      </c>
      <c r="J806" s="30" t="s">
        <v>544</v>
      </c>
      <c r="K806">
        <v>6</v>
      </c>
      <c r="L806" s="29">
        <v>46096</v>
      </c>
      <c r="M806" s="29">
        <v>46070</v>
      </c>
      <c r="N806" s="30" t="str">
        <f>VLOOKUP(Query1[[#This Row],[company_name]],'Org Mapping'!$B:$I,8,FALSE)</f>
        <v>UHG/Lenovo</v>
      </c>
      <c r="O806" s="30" t="str">
        <f>TEXT(Query1[[#This Row],[last_work_day]],"mmm'yy")</f>
        <v>Mar'26</v>
      </c>
    </row>
    <row r="807" spans="1:15" x14ac:dyDescent="0.35">
      <c r="A807" s="30" t="s">
        <v>390</v>
      </c>
      <c r="B807" s="30" t="s">
        <v>65</v>
      </c>
      <c r="C807" s="30" t="s">
        <v>2537</v>
      </c>
      <c r="D807">
        <v>1</v>
      </c>
      <c r="E807" s="30" t="s">
        <v>2538</v>
      </c>
      <c r="F807" s="29">
        <v>45957</v>
      </c>
      <c r="G807">
        <v>25882.5</v>
      </c>
      <c r="H807">
        <v>5882.5</v>
      </c>
      <c r="I807" s="30" t="s">
        <v>37</v>
      </c>
      <c r="J807" s="30" t="s">
        <v>544</v>
      </c>
      <c r="K807">
        <v>6</v>
      </c>
      <c r="L807" s="29">
        <v>46096</v>
      </c>
      <c r="M807" s="29">
        <v>46070</v>
      </c>
      <c r="N807" s="30" t="str">
        <f>VLOOKUP(Query1[[#This Row],[company_name]],'Org Mapping'!$B:$I,8,FALSE)</f>
        <v>UHG/Lenovo</v>
      </c>
      <c r="O807" s="30" t="str">
        <f>TEXT(Query1[[#This Row],[last_work_day]],"mmm'yy")</f>
        <v>Mar'26</v>
      </c>
    </row>
    <row r="808" spans="1:15" x14ac:dyDescent="0.35">
      <c r="A808" s="30" t="s">
        <v>98</v>
      </c>
      <c r="B808" s="30" t="s">
        <v>65</v>
      </c>
      <c r="C808" s="30" t="s">
        <v>745</v>
      </c>
      <c r="D808">
        <v>2</v>
      </c>
      <c r="E808" s="30" t="s">
        <v>746</v>
      </c>
      <c r="F808" s="29">
        <v>45947</v>
      </c>
      <c r="G808">
        <v>70000</v>
      </c>
      <c r="H808">
        <v>14000</v>
      </c>
      <c r="I808" s="30" t="s">
        <v>545</v>
      </c>
      <c r="J808" s="30" t="s">
        <v>90</v>
      </c>
      <c r="K808">
        <v>6</v>
      </c>
      <c r="L808" s="29">
        <v>46101</v>
      </c>
      <c r="M808" s="29">
        <v>45995</v>
      </c>
      <c r="N808" s="30" t="str">
        <f>VLOOKUP(Query1[[#This Row],[company_name]],'Org Mapping'!$B:$I,8,FALSE)</f>
        <v>Jawad Ulla Khan</v>
      </c>
      <c r="O808" s="30" t="str">
        <f>TEXT(Query1[[#This Row],[last_work_day]],"mmm'yy")</f>
        <v>Mar'26</v>
      </c>
    </row>
    <row r="809" spans="1:15" x14ac:dyDescent="0.35">
      <c r="A809" s="30" t="s">
        <v>2539</v>
      </c>
      <c r="B809" s="30" t="s">
        <v>39</v>
      </c>
      <c r="C809" s="30" t="s">
        <v>2540</v>
      </c>
      <c r="D809">
        <v>2</v>
      </c>
      <c r="E809" s="30" t="s">
        <v>2541</v>
      </c>
      <c r="F809" s="29">
        <v>45953</v>
      </c>
      <c r="G809">
        <v>130000</v>
      </c>
      <c r="H809">
        <v>30000</v>
      </c>
      <c r="I809" s="30" t="s">
        <v>26</v>
      </c>
      <c r="J809" s="30" t="s">
        <v>116</v>
      </c>
      <c r="K809">
        <v>6</v>
      </c>
      <c r="L809" s="29">
        <v>46171</v>
      </c>
      <c r="M809" s="29">
        <v>46113</v>
      </c>
      <c r="N809" s="30" t="str">
        <f>VLOOKUP(Query1[[#This Row],[company_name]],'Org Mapping'!$B:$I,8,FALSE)</f>
        <v>Mehr Hashim</v>
      </c>
      <c r="O809" s="30" t="str">
        <f>TEXT(Query1[[#This Row],[last_work_day]],"mmm'yy")</f>
        <v>May'26</v>
      </c>
    </row>
    <row r="810" spans="1:15" x14ac:dyDescent="0.35">
      <c r="A810" s="30" t="s">
        <v>667</v>
      </c>
      <c r="B810" s="30" t="s">
        <v>65</v>
      </c>
      <c r="C810" s="30" t="s">
        <v>747</v>
      </c>
      <c r="D810">
        <v>2</v>
      </c>
      <c r="E810" s="30" t="s">
        <v>748</v>
      </c>
      <c r="F810" s="29">
        <v>45947</v>
      </c>
      <c r="G810">
        <v>31250</v>
      </c>
      <c r="H810">
        <v>6250</v>
      </c>
      <c r="I810" s="30" t="s">
        <v>26</v>
      </c>
      <c r="J810" s="30" t="s">
        <v>90</v>
      </c>
      <c r="K810">
        <v>6</v>
      </c>
      <c r="L810" s="29">
        <v>46052</v>
      </c>
      <c r="M810" s="29">
        <v>45995</v>
      </c>
      <c r="N810" s="30" t="str">
        <f>VLOOKUP(Query1[[#This Row],[company_name]],'Org Mapping'!$B:$I,8,FALSE)</f>
        <v>Jawad Ulla Khan</v>
      </c>
      <c r="O810" s="30" t="str">
        <f>TEXT(Query1[[#This Row],[last_work_day]],"mmm'yy")</f>
        <v>Jan'26</v>
      </c>
    </row>
    <row r="811" spans="1:15" x14ac:dyDescent="0.35">
      <c r="A811" s="30" t="s">
        <v>390</v>
      </c>
      <c r="B811" s="30" t="s">
        <v>65</v>
      </c>
      <c r="C811" s="30" t="s">
        <v>2542</v>
      </c>
      <c r="D811">
        <v>1</v>
      </c>
      <c r="E811" s="30" t="s">
        <v>2543</v>
      </c>
      <c r="F811" s="29">
        <v>45957</v>
      </c>
      <c r="G811">
        <v>25882.5</v>
      </c>
      <c r="H811">
        <v>5882.5</v>
      </c>
      <c r="I811" s="30" t="s">
        <v>37</v>
      </c>
      <c r="J811" s="30" t="s">
        <v>544</v>
      </c>
      <c r="K811">
        <v>6</v>
      </c>
      <c r="L811" s="29">
        <v>46096</v>
      </c>
      <c r="M811" s="29">
        <v>46070</v>
      </c>
      <c r="N811" s="30" t="str">
        <f>VLOOKUP(Query1[[#This Row],[company_name]],'Org Mapping'!$B:$I,8,FALSE)</f>
        <v>UHG/Lenovo</v>
      </c>
      <c r="O811" s="30" t="str">
        <f>TEXT(Query1[[#This Row],[last_work_day]],"mmm'yy")</f>
        <v>Mar'26</v>
      </c>
    </row>
    <row r="812" spans="1:15" x14ac:dyDescent="0.35">
      <c r="A812" s="30" t="s">
        <v>390</v>
      </c>
      <c r="B812" s="30" t="s">
        <v>65</v>
      </c>
      <c r="C812" s="30" t="s">
        <v>2544</v>
      </c>
      <c r="D812">
        <v>1</v>
      </c>
      <c r="E812" s="30" t="s">
        <v>2545</v>
      </c>
      <c r="F812" s="29">
        <v>45957</v>
      </c>
      <c r="G812">
        <v>25882.5</v>
      </c>
      <c r="H812">
        <v>5882.5</v>
      </c>
      <c r="I812" s="30" t="s">
        <v>37</v>
      </c>
      <c r="J812" s="30" t="s">
        <v>544</v>
      </c>
      <c r="K812">
        <v>6</v>
      </c>
      <c r="L812" s="29">
        <v>46096</v>
      </c>
      <c r="M812" s="29">
        <v>46070</v>
      </c>
      <c r="N812" s="30" t="str">
        <f>VLOOKUP(Query1[[#This Row],[company_name]],'Org Mapping'!$B:$I,8,FALSE)</f>
        <v>UHG/Lenovo</v>
      </c>
      <c r="O812" s="30" t="str">
        <f>TEXT(Query1[[#This Row],[last_work_day]],"mmm'yy")</f>
        <v>Mar'26</v>
      </c>
    </row>
    <row r="813" spans="1:15" x14ac:dyDescent="0.35">
      <c r="A813" s="30" t="s">
        <v>390</v>
      </c>
      <c r="B813" s="30" t="s">
        <v>65</v>
      </c>
      <c r="C813" s="30" t="s">
        <v>2546</v>
      </c>
      <c r="D813">
        <v>1</v>
      </c>
      <c r="E813" s="30" t="s">
        <v>2547</v>
      </c>
      <c r="F813" s="29">
        <v>45957</v>
      </c>
      <c r="G813">
        <v>25882.5</v>
      </c>
      <c r="H813">
        <v>5882.5</v>
      </c>
      <c r="I813" s="30" t="s">
        <v>37</v>
      </c>
      <c r="J813" s="30" t="s">
        <v>544</v>
      </c>
      <c r="K813">
        <v>6</v>
      </c>
      <c r="L813" s="29">
        <v>46096</v>
      </c>
      <c r="M813" s="29">
        <v>46070</v>
      </c>
      <c r="N813" s="30" t="str">
        <f>VLOOKUP(Query1[[#This Row],[company_name]],'Org Mapping'!$B:$I,8,FALSE)</f>
        <v>UHG/Lenovo</v>
      </c>
      <c r="O813" s="30" t="str">
        <f>TEXT(Query1[[#This Row],[last_work_day]],"mmm'yy")</f>
        <v>Mar'26</v>
      </c>
    </row>
    <row r="814" spans="1:15" x14ac:dyDescent="0.35">
      <c r="A814" s="30" t="s">
        <v>1572</v>
      </c>
      <c r="B814" s="30" t="s">
        <v>39</v>
      </c>
      <c r="C814" s="30" t="s">
        <v>2548</v>
      </c>
      <c r="D814">
        <v>2</v>
      </c>
      <c r="E814" s="30" t="s">
        <v>2549</v>
      </c>
      <c r="F814" s="29">
        <v>45957</v>
      </c>
      <c r="G814">
        <v>30528</v>
      </c>
      <c r="H814">
        <v>1728</v>
      </c>
      <c r="I814" s="30" t="s">
        <v>16</v>
      </c>
      <c r="J814" s="30" t="s">
        <v>31</v>
      </c>
      <c r="K814">
        <v>6</v>
      </c>
      <c r="L814" s="29">
        <v>46142</v>
      </c>
      <c r="M814" s="29">
        <v>46097</v>
      </c>
      <c r="N814" s="30" t="str">
        <f>VLOOKUP(Query1[[#This Row],[company_name]],'Org Mapping'!$B:$I,8,FALSE)</f>
        <v>Mehr Hashim</v>
      </c>
      <c r="O814" s="30" t="str">
        <f>TEXT(Query1[[#This Row],[last_work_day]],"mmm'yy")</f>
        <v>Apr'26</v>
      </c>
    </row>
    <row r="815" spans="1:15" x14ac:dyDescent="0.35">
      <c r="A815" s="30" t="s">
        <v>1464</v>
      </c>
      <c r="B815" s="30" t="s">
        <v>39</v>
      </c>
      <c r="C815" s="30" t="s">
        <v>2550</v>
      </c>
      <c r="D815">
        <v>2</v>
      </c>
      <c r="E815" s="30" t="s">
        <v>2551</v>
      </c>
      <c r="F815" s="29">
        <v>45957</v>
      </c>
      <c r="G815">
        <v>310800</v>
      </c>
      <c r="H815">
        <v>102467</v>
      </c>
      <c r="I815" s="30" t="s">
        <v>26</v>
      </c>
      <c r="J815" s="30" t="s">
        <v>49</v>
      </c>
      <c r="K815">
        <v>6</v>
      </c>
      <c r="L815" s="29">
        <v>46128</v>
      </c>
      <c r="M815" s="29">
        <v>46115</v>
      </c>
      <c r="N815" s="30" t="str">
        <f>VLOOKUP(Query1[[#This Row],[company_name]],'Org Mapping'!$B:$I,8,FALSE)</f>
        <v>Mehr Hashim</v>
      </c>
      <c r="O815" s="30" t="str">
        <f>TEXT(Query1[[#This Row],[last_work_day]],"mmm'yy")</f>
        <v>Apr'26</v>
      </c>
    </row>
    <row r="816" spans="1:15" x14ac:dyDescent="0.35">
      <c r="A816" s="30" t="s">
        <v>390</v>
      </c>
      <c r="B816" s="30" t="s">
        <v>65</v>
      </c>
      <c r="C816" s="30" t="s">
        <v>2552</v>
      </c>
      <c r="D816">
        <v>1</v>
      </c>
      <c r="E816" s="30" t="s">
        <v>2553</v>
      </c>
      <c r="F816" s="29">
        <v>45964</v>
      </c>
      <c r="G816">
        <v>24097.5</v>
      </c>
      <c r="H816">
        <v>4097.5</v>
      </c>
      <c r="I816" s="30" t="s">
        <v>37</v>
      </c>
      <c r="J816" s="30" t="s">
        <v>544</v>
      </c>
      <c r="K816">
        <v>6</v>
      </c>
      <c r="L816" s="29">
        <v>46087</v>
      </c>
      <c r="M816" s="29">
        <v>46087</v>
      </c>
      <c r="N816" s="30" t="str">
        <f>VLOOKUP(Query1[[#This Row],[company_name]],'Org Mapping'!$B:$I,8,FALSE)</f>
        <v>UHG/Lenovo</v>
      </c>
      <c r="O816" s="30" t="str">
        <f>TEXT(Query1[[#This Row],[last_work_day]],"mmm'yy")</f>
        <v>Mar'26</v>
      </c>
    </row>
    <row r="817" spans="1:15" x14ac:dyDescent="0.35">
      <c r="A817" s="30" t="s">
        <v>2393</v>
      </c>
      <c r="B817" s="30" t="s">
        <v>1628</v>
      </c>
      <c r="C817" s="30" t="s">
        <v>2554</v>
      </c>
      <c r="D817">
        <v>2</v>
      </c>
      <c r="E817" s="30" t="s">
        <v>2555</v>
      </c>
      <c r="F817" s="29">
        <v>45958</v>
      </c>
      <c r="G817">
        <v>218000</v>
      </c>
      <c r="H817">
        <v>68000</v>
      </c>
      <c r="I817" s="30" t="s">
        <v>91</v>
      </c>
      <c r="J817" s="30" t="s">
        <v>139</v>
      </c>
      <c r="K817">
        <v>6</v>
      </c>
      <c r="L817" s="29">
        <v>46066</v>
      </c>
      <c r="M817" s="29">
        <v>46065</v>
      </c>
      <c r="N817" s="30" t="str">
        <f>VLOOKUP(Query1[[#This Row],[company_name]],'Org Mapping'!$B:$I,8,FALSE)</f>
        <v>Sadhna Shukla</v>
      </c>
      <c r="O817" s="30" t="str">
        <f>TEXT(Query1[[#This Row],[last_work_day]],"mmm'yy")</f>
        <v>Feb'26</v>
      </c>
    </row>
    <row r="818" spans="1:15" x14ac:dyDescent="0.35">
      <c r="A818" s="30" t="s">
        <v>390</v>
      </c>
      <c r="B818" s="30" t="s">
        <v>65</v>
      </c>
      <c r="C818" s="30" t="s">
        <v>2556</v>
      </c>
      <c r="D818">
        <v>1</v>
      </c>
      <c r="E818" s="30" t="s">
        <v>2557</v>
      </c>
      <c r="F818" s="29">
        <v>45957</v>
      </c>
      <c r="G818">
        <v>25882.5</v>
      </c>
      <c r="H818">
        <v>5882.5</v>
      </c>
      <c r="I818" s="30" t="s">
        <v>37</v>
      </c>
      <c r="J818" s="30" t="s">
        <v>544</v>
      </c>
      <c r="K818">
        <v>6</v>
      </c>
      <c r="L818" s="29">
        <v>46096</v>
      </c>
      <c r="M818" s="29">
        <v>46070</v>
      </c>
      <c r="N818" s="30" t="str">
        <f>VLOOKUP(Query1[[#This Row],[company_name]],'Org Mapping'!$B:$I,8,FALSE)</f>
        <v>UHG/Lenovo</v>
      </c>
      <c r="O818" s="30" t="str">
        <f>TEXT(Query1[[#This Row],[last_work_day]],"mmm'yy")</f>
        <v>Mar'26</v>
      </c>
    </row>
    <row r="819" spans="1:15" x14ac:dyDescent="0.35">
      <c r="A819" s="30" t="s">
        <v>550</v>
      </c>
      <c r="B819" s="30" t="s">
        <v>65</v>
      </c>
      <c r="C819" s="30" t="s">
        <v>2558</v>
      </c>
      <c r="D819">
        <v>1</v>
      </c>
      <c r="E819" s="30" t="s">
        <v>2559</v>
      </c>
      <c r="F819" s="29">
        <v>45957</v>
      </c>
      <c r="G819">
        <v>25882.5</v>
      </c>
      <c r="H819">
        <v>5882.5</v>
      </c>
      <c r="I819" s="30" t="s">
        <v>37</v>
      </c>
      <c r="J819" s="30" t="s">
        <v>544</v>
      </c>
      <c r="K819">
        <v>6</v>
      </c>
      <c r="L819" s="29">
        <v>46166</v>
      </c>
      <c r="M819" s="29">
        <v>46118</v>
      </c>
      <c r="N819" s="30" t="str">
        <f>VLOOKUP(Query1[[#This Row],[company_name]],'Org Mapping'!$B:$I,8,FALSE)</f>
        <v>UHG/Lenovo</v>
      </c>
      <c r="O819" s="30" t="str">
        <f>TEXT(Query1[[#This Row],[last_work_day]],"mmm'yy")</f>
        <v>May'26</v>
      </c>
    </row>
    <row r="820" spans="1:15" x14ac:dyDescent="0.35">
      <c r="A820" s="30" t="s">
        <v>555</v>
      </c>
      <c r="B820" s="30" t="s">
        <v>65</v>
      </c>
      <c r="C820" s="30" t="s">
        <v>2560</v>
      </c>
      <c r="D820">
        <v>1</v>
      </c>
      <c r="E820" s="30" t="s">
        <v>2561</v>
      </c>
      <c r="F820" s="29">
        <v>45957</v>
      </c>
      <c r="G820">
        <v>25882.5</v>
      </c>
      <c r="H820">
        <v>5882.5</v>
      </c>
      <c r="I820" s="30" t="s">
        <v>37</v>
      </c>
      <c r="J820" s="30" t="s">
        <v>544</v>
      </c>
      <c r="K820">
        <v>6</v>
      </c>
      <c r="L820" s="29">
        <v>46096</v>
      </c>
      <c r="M820" s="29">
        <v>46070</v>
      </c>
      <c r="N820" s="30" t="str">
        <f>VLOOKUP(Query1[[#This Row],[company_name]],'Org Mapping'!$B:$I,8,FALSE)</f>
        <v>UHG/Lenovo</v>
      </c>
      <c r="O820" s="30" t="str">
        <f>TEXT(Query1[[#This Row],[last_work_day]],"mmm'yy")</f>
        <v>Mar'26</v>
      </c>
    </row>
    <row r="821" spans="1:15" x14ac:dyDescent="0.35">
      <c r="A821" s="30" t="s">
        <v>550</v>
      </c>
      <c r="B821" s="30" t="s">
        <v>65</v>
      </c>
      <c r="C821" s="30" t="s">
        <v>2562</v>
      </c>
      <c r="D821">
        <v>1</v>
      </c>
      <c r="E821" s="30" t="s">
        <v>2563</v>
      </c>
      <c r="F821" s="29">
        <v>45957</v>
      </c>
      <c r="G821">
        <v>25882.5</v>
      </c>
      <c r="H821">
        <v>5882.5</v>
      </c>
      <c r="I821" s="30" t="s">
        <v>16</v>
      </c>
      <c r="J821" s="30" t="s">
        <v>544</v>
      </c>
      <c r="K821">
        <v>6</v>
      </c>
      <c r="L821" s="29">
        <v>46136</v>
      </c>
      <c r="M821" s="29">
        <v>46127</v>
      </c>
      <c r="N821" s="30" t="str">
        <f>VLOOKUP(Query1[[#This Row],[company_name]],'Org Mapping'!$B:$I,8,FALSE)</f>
        <v>UHG/Lenovo</v>
      </c>
      <c r="O821" s="30" t="str">
        <f>TEXT(Query1[[#This Row],[last_work_day]],"mmm'yy")</f>
        <v>Apr'26</v>
      </c>
    </row>
    <row r="822" spans="1:15" x14ac:dyDescent="0.35">
      <c r="A822" s="30" t="s">
        <v>550</v>
      </c>
      <c r="B822" s="30" t="s">
        <v>65</v>
      </c>
      <c r="C822" s="30" t="s">
        <v>2564</v>
      </c>
      <c r="D822">
        <v>1</v>
      </c>
      <c r="E822" s="30" t="s">
        <v>2565</v>
      </c>
      <c r="F822" s="29">
        <v>45957</v>
      </c>
      <c r="G822">
        <v>25882.5</v>
      </c>
      <c r="H822">
        <v>5882.5</v>
      </c>
      <c r="I822" s="30" t="s">
        <v>37</v>
      </c>
      <c r="J822" s="30" t="s">
        <v>544</v>
      </c>
      <c r="K822">
        <v>6</v>
      </c>
      <c r="L822" s="29">
        <v>46166</v>
      </c>
      <c r="M822" s="29">
        <v>46118</v>
      </c>
      <c r="N822" s="30" t="str">
        <f>VLOOKUP(Query1[[#This Row],[company_name]],'Org Mapping'!$B:$I,8,FALSE)</f>
        <v>UHG/Lenovo</v>
      </c>
      <c r="O822" s="30" t="str">
        <f>TEXT(Query1[[#This Row],[last_work_day]],"mmm'yy")</f>
        <v>May'26</v>
      </c>
    </row>
    <row r="823" spans="1:15" x14ac:dyDescent="0.35">
      <c r="A823" s="30" t="s">
        <v>555</v>
      </c>
      <c r="B823" s="30" t="s">
        <v>65</v>
      </c>
      <c r="C823" s="30" t="s">
        <v>2566</v>
      </c>
      <c r="D823">
        <v>1</v>
      </c>
      <c r="E823" s="30" t="s">
        <v>2567</v>
      </c>
      <c r="F823" s="29">
        <v>45957</v>
      </c>
      <c r="G823">
        <v>25882.5</v>
      </c>
      <c r="H823">
        <v>5882.5</v>
      </c>
      <c r="I823" s="30" t="s">
        <v>16</v>
      </c>
      <c r="J823" s="30" t="s">
        <v>544</v>
      </c>
      <c r="K823">
        <v>6</v>
      </c>
      <c r="L823" s="29">
        <v>46136</v>
      </c>
      <c r="M823" s="29">
        <v>46127</v>
      </c>
      <c r="N823" s="30" t="str">
        <f>VLOOKUP(Query1[[#This Row],[company_name]],'Org Mapping'!$B:$I,8,FALSE)</f>
        <v>UHG/Lenovo</v>
      </c>
      <c r="O823" s="30" t="str">
        <f>TEXT(Query1[[#This Row],[last_work_day]],"mmm'yy")</f>
        <v>Apr'26</v>
      </c>
    </row>
    <row r="824" spans="1:15" x14ac:dyDescent="0.35">
      <c r="A824" s="30" t="s">
        <v>550</v>
      </c>
      <c r="B824" s="30" t="s">
        <v>65</v>
      </c>
      <c r="C824" s="30" t="s">
        <v>2568</v>
      </c>
      <c r="D824">
        <v>1</v>
      </c>
      <c r="E824" s="30" t="s">
        <v>2569</v>
      </c>
      <c r="F824" s="29">
        <v>45957</v>
      </c>
      <c r="G824">
        <v>25882.5</v>
      </c>
      <c r="H824">
        <v>5882.5</v>
      </c>
      <c r="I824" s="30" t="s">
        <v>37</v>
      </c>
      <c r="J824" s="30" t="s">
        <v>544</v>
      </c>
      <c r="K824">
        <v>6</v>
      </c>
      <c r="L824" s="29">
        <v>46166</v>
      </c>
      <c r="M824" s="29">
        <v>46118</v>
      </c>
      <c r="N824" s="30" t="str">
        <f>VLOOKUP(Query1[[#This Row],[company_name]],'Org Mapping'!$B:$I,8,FALSE)</f>
        <v>UHG/Lenovo</v>
      </c>
      <c r="O824" s="30" t="str">
        <f>TEXT(Query1[[#This Row],[last_work_day]],"mmm'yy")</f>
        <v>May'26</v>
      </c>
    </row>
    <row r="825" spans="1:15" x14ac:dyDescent="0.35">
      <c r="A825" s="30" t="s">
        <v>550</v>
      </c>
      <c r="B825" s="30" t="s">
        <v>65</v>
      </c>
      <c r="C825" s="30" t="s">
        <v>2570</v>
      </c>
      <c r="D825">
        <v>1</v>
      </c>
      <c r="E825" s="30" t="s">
        <v>2571</v>
      </c>
      <c r="F825" s="29">
        <v>45957</v>
      </c>
      <c r="G825">
        <v>25882.5</v>
      </c>
      <c r="H825">
        <v>5882.5</v>
      </c>
      <c r="I825" s="30" t="s">
        <v>37</v>
      </c>
      <c r="J825" s="30" t="s">
        <v>544</v>
      </c>
      <c r="K825">
        <v>6</v>
      </c>
      <c r="L825" s="29">
        <v>46096</v>
      </c>
      <c r="M825" s="29">
        <v>46070</v>
      </c>
      <c r="N825" s="30" t="str">
        <f>VLOOKUP(Query1[[#This Row],[company_name]],'Org Mapping'!$B:$I,8,FALSE)</f>
        <v>UHG/Lenovo</v>
      </c>
      <c r="O825" s="30" t="str">
        <f>TEXT(Query1[[#This Row],[last_work_day]],"mmm'yy")</f>
        <v>Mar'26</v>
      </c>
    </row>
    <row r="826" spans="1:15" x14ac:dyDescent="0.35">
      <c r="A826" s="30" t="s">
        <v>555</v>
      </c>
      <c r="B826" s="30" t="s">
        <v>65</v>
      </c>
      <c r="C826" s="30" t="s">
        <v>2572</v>
      </c>
      <c r="D826">
        <v>1</v>
      </c>
      <c r="E826" s="30" t="s">
        <v>2573</v>
      </c>
      <c r="F826" s="29">
        <v>45957</v>
      </c>
      <c r="G826">
        <v>25882.5</v>
      </c>
      <c r="H826">
        <v>5882.5</v>
      </c>
      <c r="I826" s="30" t="s">
        <v>37</v>
      </c>
      <c r="J826" s="30" t="s">
        <v>544</v>
      </c>
      <c r="K826">
        <v>6</v>
      </c>
      <c r="L826" s="29">
        <v>46096</v>
      </c>
      <c r="M826" s="29">
        <v>46070</v>
      </c>
      <c r="N826" s="30" t="str">
        <f>VLOOKUP(Query1[[#This Row],[company_name]],'Org Mapping'!$B:$I,8,FALSE)</f>
        <v>UHG/Lenovo</v>
      </c>
      <c r="O826" s="30" t="str">
        <f>TEXT(Query1[[#This Row],[last_work_day]],"mmm'yy")</f>
        <v>Mar'26</v>
      </c>
    </row>
    <row r="827" spans="1:15" x14ac:dyDescent="0.35">
      <c r="A827" s="30" t="s">
        <v>555</v>
      </c>
      <c r="B827" s="30" t="s">
        <v>65</v>
      </c>
      <c r="C827" s="30" t="s">
        <v>2574</v>
      </c>
      <c r="D827">
        <v>1</v>
      </c>
      <c r="E827" s="30" t="s">
        <v>2575</v>
      </c>
      <c r="F827" s="29">
        <v>45957</v>
      </c>
      <c r="G827">
        <v>25882.5</v>
      </c>
      <c r="H827">
        <v>5882.5</v>
      </c>
      <c r="I827" s="30" t="s">
        <v>16</v>
      </c>
      <c r="J827" s="30" t="s">
        <v>544</v>
      </c>
      <c r="K827">
        <v>6</v>
      </c>
      <c r="L827" s="29">
        <v>46136</v>
      </c>
      <c r="M827" s="29">
        <v>46127</v>
      </c>
      <c r="N827" s="30" t="str">
        <f>VLOOKUP(Query1[[#This Row],[company_name]],'Org Mapping'!$B:$I,8,FALSE)</f>
        <v>UHG/Lenovo</v>
      </c>
      <c r="O827" s="30" t="str">
        <f>TEXT(Query1[[#This Row],[last_work_day]],"mmm'yy")</f>
        <v>Apr'26</v>
      </c>
    </row>
    <row r="828" spans="1:15" x14ac:dyDescent="0.35">
      <c r="A828" s="30" t="s">
        <v>555</v>
      </c>
      <c r="B828" s="30" t="s">
        <v>65</v>
      </c>
      <c r="C828" s="30" t="s">
        <v>2576</v>
      </c>
      <c r="D828">
        <v>1</v>
      </c>
      <c r="E828" s="30" t="s">
        <v>2577</v>
      </c>
      <c r="F828" s="29">
        <v>45957</v>
      </c>
      <c r="G828">
        <v>25882.5</v>
      </c>
      <c r="H828">
        <v>5882.5</v>
      </c>
      <c r="I828" s="30" t="s">
        <v>16</v>
      </c>
      <c r="J828" s="30" t="s">
        <v>544</v>
      </c>
      <c r="K828">
        <v>6</v>
      </c>
      <c r="L828" s="29">
        <v>46136</v>
      </c>
      <c r="M828" s="29">
        <v>46127</v>
      </c>
      <c r="N828" s="30" t="str">
        <f>VLOOKUP(Query1[[#This Row],[company_name]],'Org Mapping'!$B:$I,8,FALSE)</f>
        <v>UHG/Lenovo</v>
      </c>
      <c r="O828" s="30" t="str">
        <f>TEXT(Query1[[#This Row],[last_work_day]],"mmm'yy")</f>
        <v>Apr'26</v>
      </c>
    </row>
    <row r="829" spans="1:15" x14ac:dyDescent="0.35">
      <c r="A829" s="30" t="s">
        <v>555</v>
      </c>
      <c r="B829" s="30" t="s">
        <v>65</v>
      </c>
      <c r="C829" s="30" t="s">
        <v>2578</v>
      </c>
      <c r="D829">
        <v>1</v>
      </c>
      <c r="E829" s="30" t="s">
        <v>2579</v>
      </c>
      <c r="F829" s="29">
        <v>45957</v>
      </c>
      <c r="G829">
        <v>25882.5</v>
      </c>
      <c r="H829">
        <v>5882.5</v>
      </c>
      <c r="I829" s="30" t="s">
        <v>37</v>
      </c>
      <c r="J829" s="30" t="s">
        <v>544</v>
      </c>
      <c r="K829">
        <v>6</v>
      </c>
      <c r="L829" s="29">
        <v>46096</v>
      </c>
      <c r="M829" s="29">
        <v>46070</v>
      </c>
      <c r="N829" s="30" t="str">
        <f>VLOOKUP(Query1[[#This Row],[company_name]],'Org Mapping'!$B:$I,8,FALSE)</f>
        <v>UHG/Lenovo</v>
      </c>
      <c r="O829" s="30" t="str">
        <f>TEXT(Query1[[#This Row],[last_work_day]],"mmm'yy")</f>
        <v>Mar'26</v>
      </c>
    </row>
    <row r="830" spans="1:15" x14ac:dyDescent="0.35">
      <c r="A830" s="30" t="s">
        <v>551</v>
      </c>
      <c r="B830" s="30" t="s">
        <v>65</v>
      </c>
      <c r="C830" s="30" t="s">
        <v>2580</v>
      </c>
      <c r="D830">
        <v>1</v>
      </c>
      <c r="E830" s="30" t="s">
        <v>2581</v>
      </c>
      <c r="F830" s="29">
        <v>45957</v>
      </c>
      <c r="G830">
        <v>25882.5</v>
      </c>
      <c r="H830">
        <v>5882.5</v>
      </c>
      <c r="I830" s="30" t="s">
        <v>37</v>
      </c>
      <c r="J830" s="30" t="s">
        <v>544</v>
      </c>
      <c r="K830">
        <v>6</v>
      </c>
      <c r="L830" s="29">
        <v>46166</v>
      </c>
      <c r="M830" s="29">
        <v>46118</v>
      </c>
      <c r="N830" s="30" t="str">
        <f>VLOOKUP(Query1[[#This Row],[company_name]],'Org Mapping'!$B:$I,8,FALSE)</f>
        <v>UHG/Lenovo</v>
      </c>
      <c r="O830" s="30" t="str">
        <f>TEXT(Query1[[#This Row],[last_work_day]],"mmm'yy")</f>
        <v>May'26</v>
      </c>
    </row>
    <row r="831" spans="1:15" x14ac:dyDescent="0.35">
      <c r="A831" s="30" t="s">
        <v>555</v>
      </c>
      <c r="B831" s="30" t="s">
        <v>65</v>
      </c>
      <c r="C831" s="30" t="s">
        <v>2582</v>
      </c>
      <c r="D831">
        <v>1</v>
      </c>
      <c r="E831" s="30" t="s">
        <v>2583</v>
      </c>
      <c r="F831" s="29">
        <v>45958</v>
      </c>
      <c r="G831">
        <v>25882.5</v>
      </c>
      <c r="H831">
        <v>5882.5</v>
      </c>
      <c r="I831" s="30" t="s">
        <v>37</v>
      </c>
      <c r="J831" s="30" t="s">
        <v>544</v>
      </c>
      <c r="K831">
        <v>6</v>
      </c>
      <c r="L831" s="29">
        <v>46096</v>
      </c>
      <c r="M831" s="29">
        <v>46070</v>
      </c>
      <c r="N831" s="30" t="str">
        <f>VLOOKUP(Query1[[#This Row],[company_name]],'Org Mapping'!$B:$I,8,FALSE)</f>
        <v>UHG/Lenovo</v>
      </c>
      <c r="O831" s="30" t="str">
        <f>TEXT(Query1[[#This Row],[last_work_day]],"mmm'yy")</f>
        <v>Mar'26</v>
      </c>
    </row>
    <row r="832" spans="1:15" x14ac:dyDescent="0.35">
      <c r="A832" s="30" t="s">
        <v>551</v>
      </c>
      <c r="B832" s="30" t="s">
        <v>65</v>
      </c>
      <c r="C832" s="30" t="s">
        <v>2584</v>
      </c>
      <c r="D832">
        <v>1</v>
      </c>
      <c r="E832" s="30" t="s">
        <v>2585</v>
      </c>
      <c r="F832" s="29">
        <v>45985</v>
      </c>
      <c r="G832">
        <v>25882.5</v>
      </c>
      <c r="H832">
        <v>5882.5</v>
      </c>
      <c r="I832" s="30" t="s">
        <v>37</v>
      </c>
      <c r="J832" s="30" t="s">
        <v>544</v>
      </c>
      <c r="K832">
        <v>6</v>
      </c>
      <c r="L832" s="29">
        <v>46096</v>
      </c>
      <c r="M832" s="29">
        <v>46070</v>
      </c>
      <c r="N832" s="30" t="str">
        <f>VLOOKUP(Query1[[#This Row],[company_name]],'Org Mapping'!$B:$I,8,FALSE)</f>
        <v>UHG/Lenovo</v>
      </c>
      <c r="O832" s="30" t="str">
        <f>TEXT(Query1[[#This Row],[last_work_day]],"mmm'yy")</f>
        <v>Mar'26</v>
      </c>
    </row>
    <row r="833" spans="1:15" x14ac:dyDescent="0.35">
      <c r="A833" s="30" t="s">
        <v>555</v>
      </c>
      <c r="B833" s="30" t="s">
        <v>65</v>
      </c>
      <c r="C833" s="30" t="s">
        <v>2586</v>
      </c>
      <c r="D833">
        <v>1</v>
      </c>
      <c r="E833" s="30" t="s">
        <v>2587</v>
      </c>
      <c r="F833" s="29">
        <v>45957</v>
      </c>
      <c r="G833">
        <v>25882.5</v>
      </c>
      <c r="H833">
        <v>5882.5</v>
      </c>
      <c r="I833" s="30" t="s">
        <v>37</v>
      </c>
      <c r="J833" s="30" t="s">
        <v>544</v>
      </c>
      <c r="K833">
        <v>6</v>
      </c>
      <c r="L833" s="29">
        <v>46166</v>
      </c>
      <c r="M833" s="29">
        <v>46118</v>
      </c>
      <c r="N833" s="30" t="str">
        <f>VLOOKUP(Query1[[#This Row],[company_name]],'Org Mapping'!$B:$I,8,FALSE)</f>
        <v>UHG/Lenovo</v>
      </c>
      <c r="O833" s="30" t="str">
        <f>TEXT(Query1[[#This Row],[last_work_day]],"mmm'yy")</f>
        <v>May'26</v>
      </c>
    </row>
    <row r="834" spans="1:15" x14ac:dyDescent="0.35">
      <c r="A834" s="30" t="s">
        <v>1453</v>
      </c>
      <c r="B834" s="30" t="s">
        <v>39</v>
      </c>
      <c r="C834" s="30" t="s">
        <v>2588</v>
      </c>
      <c r="D834">
        <v>2</v>
      </c>
      <c r="E834" s="30" t="s">
        <v>2589</v>
      </c>
      <c r="F834" s="29">
        <v>45953</v>
      </c>
      <c r="G834">
        <v>35828</v>
      </c>
      <c r="H834">
        <v>2028</v>
      </c>
      <c r="I834" s="30" t="s">
        <v>16</v>
      </c>
      <c r="J834" s="30" t="s">
        <v>31</v>
      </c>
      <c r="K834">
        <v>6</v>
      </c>
      <c r="L834" s="29">
        <v>46142</v>
      </c>
      <c r="M834" s="29">
        <v>46105</v>
      </c>
      <c r="N834" s="30" t="str">
        <f>VLOOKUP(Query1[[#This Row],[company_name]],'Org Mapping'!$B:$I,8,FALSE)</f>
        <v>Mehr Hashim</v>
      </c>
      <c r="O834" s="30" t="str">
        <f>TEXT(Query1[[#This Row],[last_work_day]],"mmm'yy")</f>
        <v>Apr'26</v>
      </c>
    </row>
    <row r="835" spans="1:15" x14ac:dyDescent="0.35">
      <c r="A835" s="30" t="s">
        <v>555</v>
      </c>
      <c r="B835" s="30" t="s">
        <v>65</v>
      </c>
      <c r="C835" s="30" t="s">
        <v>2590</v>
      </c>
      <c r="D835">
        <v>1</v>
      </c>
      <c r="E835" s="30" t="s">
        <v>2591</v>
      </c>
      <c r="F835" s="29">
        <v>45957</v>
      </c>
      <c r="G835">
        <v>25882.5</v>
      </c>
      <c r="H835">
        <v>5882.5</v>
      </c>
      <c r="I835" s="30" t="s">
        <v>37</v>
      </c>
      <c r="J835" s="30" t="s">
        <v>544</v>
      </c>
      <c r="K835">
        <v>6</v>
      </c>
      <c r="L835" s="29">
        <v>46166</v>
      </c>
      <c r="M835" s="29">
        <v>46118</v>
      </c>
      <c r="N835" s="30" t="str">
        <f>VLOOKUP(Query1[[#This Row],[company_name]],'Org Mapping'!$B:$I,8,FALSE)</f>
        <v>UHG/Lenovo</v>
      </c>
      <c r="O835" s="30" t="str">
        <f>TEXT(Query1[[#This Row],[last_work_day]],"mmm'yy")</f>
        <v>May'26</v>
      </c>
    </row>
    <row r="836" spans="1:15" x14ac:dyDescent="0.35">
      <c r="A836" s="30" t="s">
        <v>550</v>
      </c>
      <c r="B836" s="30" t="s">
        <v>65</v>
      </c>
      <c r="C836" s="30" t="s">
        <v>2592</v>
      </c>
      <c r="D836">
        <v>1</v>
      </c>
      <c r="E836" s="30" t="s">
        <v>2593</v>
      </c>
      <c r="F836" s="29">
        <v>45957</v>
      </c>
      <c r="G836">
        <v>25882.5</v>
      </c>
      <c r="H836">
        <v>5882.5</v>
      </c>
      <c r="I836" s="30" t="s">
        <v>16</v>
      </c>
      <c r="J836" s="30" t="s">
        <v>544</v>
      </c>
      <c r="K836">
        <v>6</v>
      </c>
      <c r="L836" s="29">
        <v>46136</v>
      </c>
      <c r="M836" s="29">
        <v>46127</v>
      </c>
      <c r="N836" s="30" t="str">
        <f>VLOOKUP(Query1[[#This Row],[company_name]],'Org Mapping'!$B:$I,8,FALSE)</f>
        <v>UHG/Lenovo</v>
      </c>
      <c r="O836" s="30" t="str">
        <f>TEXT(Query1[[#This Row],[last_work_day]],"mmm'yy")</f>
        <v>Apr'26</v>
      </c>
    </row>
    <row r="837" spans="1:15" x14ac:dyDescent="0.35">
      <c r="A837" s="30" t="s">
        <v>551</v>
      </c>
      <c r="B837" s="30" t="s">
        <v>65</v>
      </c>
      <c r="C837" s="30" t="s">
        <v>2594</v>
      </c>
      <c r="D837">
        <v>1</v>
      </c>
      <c r="E837" s="30" t="s">
        <v>2595</v>
      </c>
      <c r="F837" s="29">
        <v>45957</v>
      </c>
      <c r="G837">
        <v>25882.5</v>
      </c>
      <c r="H837">
        <v>5882.5</v>
      </c>
      <c r="I837" s="30" t="s">
        <v>37</v>
      </c>
      <c r="J837" s="30" t="s">
        <v>544</v>
      </c>
      <c r="K837">
        <v>6</v>
      </c>
      <c r="L837" s="29">
        <v>46096</v>
      </c>
      <c r="M837" s="29">
        <v>46070</v>
      </c>
      <c r="N837" s="30" t="str">
        <f>VLOOKUP(Query1[[#This Row],[company_name]],'Org Mapping'!$B:$I,8,FALSE)</f>
        <v>UHG/Lenovo</v>
      </c>
      <c r="O837" s="30" t="str">
        <f>TEXT(Query1[[#This Row],[last_work_day]],"mmm'yy")</f>
        <v>Mar'26</v>
      </c>
    </row>
    <row r="838" spans="1:15" x14ac:dyDescent="0.35">
      <c r="A838" s="30" t="s">
        <v>551</v>
      </c>
      <c r="B838" s="30" t="s">
        <v>65</v>
      </c>
      <c r="C838" s="30" t="s">
        <v>2596</v>
      </c>
      <c r="D838">
        <v>1</v>
      </c>
      <c r="E838" s="30" t="s">
        <v>2597</v>
      </c>
      <c r="F838" s="29">
        <v>45957</v>
      </c>
      <c r="G838">
        <v>25882.5</v>
      </c>
      <c r="H838">
        <v>5882.5</v>
      </c>
      <c r="I838" s="30" t="s">
        <v>37</v>
      </c>
      <c r="J838" s="30" t="s">
        <v>544</v>
      </c>
      <c r="K838">
        <v>6</v>
      </c>
      <c r="L838" s="29">
        <v>46096</v>
      </c>
      <c r="M838" s="29">
        <v>46070</v>
      </c>
      <c r="N838" s="30" t="str">
        <f>VLOOKUP(Query1[[#This Row],[company_name]],'Org Mapping'!$B:$I,8,FALSE)</f>
        <v>UHG/Lenovo</v>
      </c>
      <c r="O838" s="30" t="str">
        <f>TEXT(Query1[[#This Row],[last_work_day]],"mmm'yy")</f>
        <v>Mar'26</v>
      </c>
    </row>
    <row r="839" spans="1:15" x14ac:dyDescent="0.35">
      <c r="A839" s="30" t="s">
        <v>550</v>
      </c>
      <c r="B839" s="30" t="s">
        <v>65</v>
      </c>
      <c r="C839" s="30" t="s">
        <v>2598</v>
      </c>
      <c r="D839">
        <v>1</v>
      </c>
      <c r="E839" s="30" t="s">
        <v>2599</v>
      </c>
      <c r="F839" s="29">
        <v>45957</v>
      </c>
      <c r="G839">
        <v>25882.5</v>
      </c>
      <c r="H839">
        <v>5882.5</v>
      </c>
      <c r="I839" s="30" t="s">
        <v>37</v>
      </c>
      <c r="J839" s="30" t="s">
        <v>544</v>
      </c>
      <c r="K839">
        <v>6</v>
      </c>
      <c r="L839" s="29">
        <v>46096</v>
      </c>
      <c r="M839" s="29">
        <v>46070</v>
      </c>
      <c r="N839" s="30" t="str">
        <f>VLOOKUP(Query1[[#This Row],[company_name]],'Org Mapping'!$B:$I,8,FALSE)</f>
        <v>UHG/Lenovo</v>
      </c>
      <c r="O839" s="30" t="str">
        <f>TEXT(Query1[[#This Row],[last_work_day]],"mmm'yy")</f>
        <v>Mar'26</v>
      </c>
    </row>
    <row r="840" spans="1:15" x14ac:dyDescent="0.35">
      <c r="A840" s="30" t="s">
        <v>555</v>
      </c>
      <c r="B840" s="30" t="s">
        <v>65</v>
      </c>
      <c r="C840" s="30" t="s">
        <v>2600</v>
      </c>
      <c r="D840">
        <v>1</v>
      </c>
      <c r="E840" s="30" t="s">
        <v>2601</v>
      </c>
      <c r="F840" s="29">
        <v>45957</v>
      </c>
      <c r="G840">
        <v>25882.5</v>
      </c>
      <c r="H840">
        <v>5882.5</v>
      </c>
      <c r="I840" s="30" t="s">
        <v>37</v>
      </c>
      <c r="J840" s="30" t="s">
        <v>544</v>
      </c>
      <c r="K840">
        <v>6</v>
      </c>
      <c r="L840" s="29">
        <v>46096</v>
      </c>
      <c r="M840" s="29">
        <v>46070</v>
      </c>
      <c r="N840" s="30" t="str">
        <f>VLOOKUP(Query1[[#This Row],[company_name]],'Org Mapping'!$B:$I,8,FALSE)</f>
        <v>UHG/Lenovo</v>
      </c>
      <c r="O840" s="30" t="str">
        <f>TEXT(Query1[[#This Row],[last_work_day]],"mmm'yy")</f>
        <v>Mar'26</v>
      </c>
    </row>
    <row r="841" spans="1:15" x14ac:dyDescent="0.35">
      <c r="A841" s="30" t="s">
        <v>555</v>
      </c>
      <c r="B841" s="30" t="s">
        <v>65</v>
      </c>
      <c r="C841" s="30" t="s">
        <v>2602</v>
      </c>
      <c r="D841">
        <v>1</v>
      </c>
      <c r="E841" s="30" t="s">
        <v>2603</v>
      </c>
      <c r="F841" s="29">
        <v>45961</v>
      </c>
      <c r="G841">
        <v>25882.5</v>
      </c>
      <c r="H841">
        <v>5882.5</v>
      </c>
      <c r="I841" s="30" t="s">
        <v>37</v>
      </c>
      <c r="J841" s="30" t="s">
        <v>544</v>
      </c>
      <c r="K841">
        <v>6</v>
      </c>
      <c r="L841" s="29">
        <v>46096</v>
      </c>
      <c r="M841" s="29">
        <v>46070</v>
      </c>
      <c r="N841" s="30" t="str">
        <f>VLOOKUP(Query1[[#This Row],[company_name]],'Org Mapping'!$B:$I,8,FALSE)</f>
        <v>UHG/Lenovo</v>
      </c>
      <c r="O841" s="30" t="str">
        <f>TEXT(Query1[[#This Row],[last_work_day]],"mmm'yy")</f>
        <v>Mar'26</v>
      </c>
    </row>
    <row r="842" spans="1:15" x14ac:dyDescent="0.35">
      <c r="A842" s="30" t="s">
        <v>550</v>
      </c>
      <c r="B842" s="30" t="s">
        <v>65</v>
      </c>
      <c r="C842" s="30" t="s">
        <v>2604</v>
      </c>
      <c r="D842">
        <v>1</v>
      </c>
      <c r="E842" s="30" t="s">
        <v>2605</v>
      </c>
      <c r="F842" s="29">
        <v>45957</v>
      </c>
      <c r="G842">
        <v>25882.5</v>
      </c>
      <c r="H842">
        <v>5882.5</v>
      </c>
      <c r="I842" s="30" t="s">
        <v>16</v>
      </c>
      <c r="J842" s="30" t="s">
        <v>544</v>
      </c>
      <c r="K842">
        <v>6</v>
      </c>
      <c r="L842" s="29">
        <v>46136</v>
      </c>
      <c r="M842" s="29">
        <v>46127</v>
      </c>
      <c r="N842" s="30" t="str">
        <f>VLOOKUP(Query1[[#This Row],[company_name]],'Org Mapping'!$B:$I,8,FALSE)</f>
        <v>UHG/Lenovo</v>
      </c>
      <c r="O842" s="30" t="str">
        <f>TEXT(Query1[[#This Row],[last_work_day]],"mmm'yy")</f>
        <v>Apr'26</v>
      </c>
    </row>
    <row r="843" spans="1:15" x14ac:dyDescent="0.35">
      <c r="A843" s="30" t="s">
        <v>551</v>
      </c>
      <c r="B843" s="30" t="s">
        <v>65</v>
      </c>
      <c r="C843" s="30" t="s">
        <v>2606</v>
      </c>
      <c r="D843">
        <v>1</v>
      </c>
      <c r="E843" s="30" t="s">
        <v>2607</v>
      </c>
      <c r="F843" s="29">
        <v>45957</v>
      </c>
      <c r="G843">
        <v>25882.5</v>
      </c>
      <c r="H843">
        <v>5882.5</v>
      </c>
      <c r="I843" s="30" t="s">
        <v>37</v>
      </c>
      <c r="J843" s="30" t="s">
        <v>544</v>
      </c>
      <c r="K843">
        <v>6</v>
      </c>
      <c r="L843" s="29">
        <v>46166</v>
      </c>
      <c r="M843" s="29">
        <v>46118</v>
      </c>
      <c r="N843" s="30" t="str">
        <f>VLOOKUP(Query1[[#This Row],[company_name]],'Org Mapping'!$B:$I,8,FALSE)</f>
        <v>UHG/Lenovo</v>
      </c>
      <c r="O843" s="30" t="str">
        <f>TEXT(Query1[[#This Row],[last_work_day]],"mmm'yy")</f>
        <v>May'26</v>
      </c>
    </row>
    <row r="844" spans="1:15" x14ac:dyDescent="0.35">
      <c r="A844" s="30" t="s">
        <v>550</v>
      </c>
      <c r="B844" s="30" t="s">
        <v>65</v>
      </c>
      <c r="C844" s="30" t="s">
        <v>2608</v>
      </c>
      <c r="D844">
        <v>1</v>
      </c>
      <c r="E844" s="30" t="s">
        <v>2609</v>
      </c>
      <c r="F844" s="29">
        <v>45957</v>
      </c>
      <c r="G844">
        <v>25882.5</v>
      </c>
      <c r="H844">
        <v>5882.5</v>
      </c>
      <c r="I844" s="30" t="s">
        <v>16</v>
      </c>
      <c r="J844" s="30" t="s">
        <v>544</v>
      </c>
      <c r="K844">
        <v>6</v>
      </c>
      <c r="L844" s="29">
        <v>46136</v>
      </c>
      <c r="M844" s="29">
        <v>46127</v>
      </c>
      <c r="N844" s="30" t="str">
        <f>VLOOKUP(Query1[[#This Row],[company_name]],'Org Mapping'!$B:$I,8,FALSE)</f>
        <v>UHG/Lenovo</v>
      </c>
      <c r="O844" s="30" t="str">
        <f>TEXT(Query1[[#This Row],[last_work_day]],"mmm'yy")</f>
        <v>Apr'26</v>
      </c>
    </row>
    <row r="845" spans="1:15" x14ac:dyDescent="0.35">
      <c r="A845" s="30" t="s">
        <v>551</v>
      </c>
      <c r="B845" s="30" t="s">
        <v>65</v>
      </c>
      <c r="C845" s="30" t="s">
        <v>2610</v>
      </c>
      <c r="D845">
        <v>1</v>
      </c>
      <c r="E845" s="30" t="s">
        <v>2611</v>
      </c>
      <c r="F845" s="29">
        <v>45957</v>
      </c>
      <c r="G845">
        <v>25882.5</v>
      </c>
      <c r="H845">
        <v>5882.5</v>
      </c>
      <c r="I845" s="30" t="s">
        <v>16</v>
      </c>
      <c r="J845" s="30" t="s">
        <v>544</v>
      </c>
      <c r="K845">
        <v>6</v>
      </c>
      <c r="L845" s="29">
        <v>46136</v>
      </c>
      <c r="M845" s="29">
        <v>46127</v>
      </c>
      <c r="N845" s="30" t="str">
        <f>VLOOKUP(Query1[[#This Row],[company_name]],'Org Mapping'!$B:$I,8,FALSE)</f>
        <v>UHG/Lenovo</v>
      </c>
      <c r="O845" s="30" t="str">
        <f>TEXT(Query1[[#This Row],[last_work_day]],"mmm'yy")</f>
        <v>Apr'26</v>
      </c>
    </row>
    <row r="846" spans="1:15" x14ac:dyDescent="0.35">
      <c r="A846" s="30" t="s">
        <v>550</v>
      </c>
      <c r="B846" s="30" t="s">
        <v>65</v>
      </c>
      <c r="C846" s="30" t="s">
        <v>2612</v>
      </c>
      <c r="D846">
        <v>1</v>
      </c>
      <c r="E846" s="30" t="s">
        <v>2613</v>
      </c>
      <c r="F846" s="29">
        <v>45957</v>
      </c>
      <c r="G846">
        <v>25882.5</v>
      </c>
      <c r="H846">
        <v>5882.5</v>
      </c>
      <c r="I846" s="30" t="s">
        <v>37</v>
      </c>
      <c r="J846" s="30" t="s">
        <v>544</v>
      </c>
      <c r="K846">
        <v>6</v>
      </c>
      <c r="L846" s="29">
        <v>46166</v>
      </c>
      <c r="M846" s="29">
        <v>46118</v>
      </c>
      <c r="N846" s="30" t="str">
        <f>VLOOKUP(Query1[[#This Row],[company_name]],'Org Mapping'!$B:$I,8,FALSE)</f>
        <v>UHG/Lenovo</v>
      </c>
      <c r="O846" s="30" t="str">
        <f>TEXT(Query1[[#This Row],[last_work_day]],"mmm'yy")</f>
        <v>May'26</v>
      </c>
    </row>
    <row r="847" spans="1:15" x14ac:dyDescent="0.35">
      <c r="A847" s="30" t="s">
        <v>550</v>
      </c>
      <c r="B847" s="30" t="s">
        <v>65</v>
      </c>
      <c r="C847" s="30" t="s">
        <v>2614</v>
      </c>
      <c r="D847">
        <v>1</v>
      </c>
      <c r="E847" s="30" t="s">
        <v>2615</v>
      </c>
      <c r="F847" s="29">
        <v>45957</v>
      </c>
      <c r="G847">
        <v>25882.5</v>
      </c>
      <c r="H847">
        <v>5882.5</v>
      </c>
      <c r="I847" s="30" t="s">
        <v>37</v>
      </c>
      <c r="J847" s="30" t="s">
        <v>544</v>
      </c>
      <c r="K847">
        <v>6</v>
      </c>
      <c r="L847" s="29">
        <v>46096</v>
      </c>
      <c r="M847" s="29">
        <v>46070</v>
      </c>
      <c r="N847" s="30" t="str">
        <f>VLOOKUP(Query1[[#This Row],[company_name]],'Org Mapping'!$B:$I,8,FALSE)</f>
        <v>UHG/Lenovo</v>
      </c>
      <c r="O847" s="30" t="str">
        <f>TEXT(Query1[[#This Row],[last_work_day]],"mmm'yy")</f>
        <v>Mar'26</v>
      </c>
    </row>
    <row r="848" spans="1:15" x14ac:dyDescent="0.35">
      <c r="A848" s="30" t="s">
        <v>550</v>
      </c>
      <c r="B848" s="30" t="s">
        <v>65</v>
      </c>
      <c r="C848" s="30" t="s">
        <v>2616</v>
      </c>
      <c r="D848">
        <v>1</v>
      </c>
      <c r="E848" s="30" t="s">
        <v>2617</v>
      </c>
      <c r="F848" s="29">
        <v>45957</v>
      </c>
      <c r="G848">
        <v>25882.5</v>
      </c>
      <c r="H848">
        <v>5882.5</v>
      </c>
      <c r="I848" s="30" t="s">
        <v>37</v>
      </c>
      <c r="J848" s="30" t="s">
        <v>544</v>
      </c>
      <c r="K848">
        <v>6</v>
      </c>
      <c r="L848" s="29">
        <v>46096</v>
      </c>
      <c r="M848" s="29">
        <v>46070</v>
      </c>
      <c r="N848" s="30" t="str">
        <f>VLOOKUP(Query1[[#This Row],[company_name]],'Org Mapping'!$B:$I,8,FALSE)</f>
        <v>UHG/Lenovo</v>
      </c>
      <c r="O848" s="30" t="str">
        <f>TEXT(Query1[[#This Row],[last_work_day]],"mmm'yy")</f>
        <v>Mar'26</v>
      </c>
    </row>
    <row r="849" spans="1:15" x14ac:dyDescent="0.35">
      <c r="A849" s="30" t="s">
        <v>749</v>
      </c>
      <c r="B849" s="30" t="s">
        <v>65</v>
      </c>
      <c r="C849" s="30" t="s">
        <v>2618</v>
      </c>
      <c r="D849">
        <v>1</v>
      </c>
      <c r="E849" s="30" t="s">
        <v>2619</v>
      </c>
      <c r="F849" s="29">
        <v>45959</v>
      </c>
      <c r="G849">
        <v>25882.5</v>
      </c>
      <c r="H849">
        <v>5882.5</v>
      </c>
      <c r="I849" s="30" t="s">
        <v>37</v>
      </c>
      <c r="J849" s="30" t="s">
        <v>544</v>
      </c>
      <c r="K849">
        <v>6</v>
      </c>
      <c r="L849" s="29">
        <v>46096</v>
      </c>
      <c r="M849" s="29">
        <v>46070</v>
      </c>
      <c r="N849" s="30" t="str">
        <f>VLOOKUP(Query1[[#This Row],[company_name]],'Org Mapping'!$B:$I,8,FALSE)</f>
        <v>UHG/Lenovo</v>
      </c>
      <c r="O849" s="30" t="str">
        <f>TEXT(Query1[[#This Row],[last_work_day]],"mmm'yy")</f>
        <v>Mar'26</v>
      </c>
    </row>
    <row r="850" spans="1:15" x14ac:dyDescent="0.35">
      <c r="A850" s="30" t="s">
        <v>550</v>
      </c>
      <c r="B850" s="30" t="s">
        <v>65</v>
      </c>
      <c r="C850" s="30" t="s">
        <v>2620</v>
      </c>
      <c r="D850">
        <v>1</v>
      </c>
      <c r="E850" s="30" t="s">
        <v>2621</v>
      </c>
      <c r="F850" s="29">
        <v>45961</v>
      </c>
      <c r="G850">
        <v>25882.5</v>
      </c>
      <c r="H850">
        <v>5882.5</v>
      </c>
      <c r="I850" s="30" t="s">
        <v>37</v>
      </c>
      <c r="J850" s="30" t="s">
        <v>544</v>
      </c>
      <c r="K850">
        <v>6</v>
      </c>
      <c r="L850" s="29">
        <v>46096</v>
      </c>
      <c r="M850" s="29">
        <v>46070</v>
      </c>
      <c r="N850" s="30" t="str">
        <f>VLOOKUP(Query1[[#This Row],[company_name]],'Org Mapping'!$B:$I,8,FALSE)</f>
        <v>UHG/Lenovo</v>
      </c>
      <c r="O850" s="30" t="str">
        <f>TEXT(Query1[[#This Row],[last_work_day]],"mmm'yy")</f>
        <v>Mar'26</v>
      </c>
    </row>
    <row r="851" spans="1:15" x14ac:dyDescent="0.35">
      <c r="A851" s="30" t="s">
        <v>481</v>
      </c>
      <c r="B851" s="30" t="s">
        <v>65</v>
      </c>
      <c r="C851" s="30" t="s">
        <v>750</v>
      </c>
      <c r="D851">
        <v>2</v>
      </c>
      <c r="E851" s="30" t="s">
        <v>751</v>
      </c>
      <c r="F851" s="29">
        <v>45954</v>
      </c>
      <c r="G851">
        <v>48000</v>
      </c>
      <c r="H851">
        <v>8000</v>
      </c>
      <c r="I851" s="30" t="s">
        <v>545</v>
      </c>
      <c r="J851" s="30" t="s">
        <v>90</v>
      </c>
      <c r="K851">
        <v>6</v>
      </c>
      <c r="L851" s="29">
        <v>46045</v>
      </c>
      <c r="M851" s="29">
        <v>46042</v>
      </c>
      <c r="N851" s="30" t="str">
        <f>VLOOKUP(Query1[[#This Row],[company_name]],'Org Mapping'!$B:$I,8,FALSE)</f>
        <v>Jawad Ulla Khan</v>
      </c>
      <c r="O851" s="30" t="str">
        <f>TEXT(Query1[[#This Row],[last_work_day]],"mmm'yy")</f>
        <v>Jan'26</v>
      </c>
    </row>
    <row r="852" spans="1:15" x14ac:dyDescent="0.35">
      <c r="A852" s="30" t="s">
        <v>553</v>
      </c>
      <c r="B852" s="30" t="s">
        <v>65</v>
      </c>
      <c r="C852" s="30" t="s">
        <v>2622</v>
      </c>
      <c r="D852">
        <v>1</v>
      </c>
      <c r="E852" s="30" t="s">
        <v>2623</v>
      </c>
      <c r="F852" s="29">
        <v>45957</v>
      </c>
      <c r="G852">
        <v>25882.5</v>
      </c>
      <c r="H852">
        <v>5882.5</v>
      </c>
      <c r="I852" s="30" t="s">
        <v>37</v>
      </c>
      <c r="J852" s="30" t="s">
        <v>544</v>
      </c>
      <c r="K852">
        <v>6</v>
      </c>
      <c r="L852" s="29">
        <v>46096</v>
      </c>
      <c r="M852" s="29">
        <v>46070</v>
      </c>
      <c r="N852" s="30" t="str">
        <f>VLOOKUP(Query1[[#This Row],[company_name]],'Org Mapping'!$B:$I,8,FALSE)</f>
        <v>UHG/Lenovo</v>
      </c>
      <c r="O852" s="30" t="str">
        <f>TEXT(Query1[[#This Row],[last_work_day]],"mmm'yy")</f>
        <v>Mar'26</v>
      </c>
    </row>
    <row r="853" spans="1:15" x14ac:dyDescent="0.35">
      <c r="A853" s="30" t="s">
        <v>551</v>
      </c>
      <c r="B853" s="30" t="s">
        <v>65</v>
      </c>
      <c r="C853" s="30" t="s">
        <v>2624</v>
      </c>
      <c r="D853">
        <v>1</v>
      </c>
      <c r="E853" s="30" t="s">
        <v>2625</v>
      </c>
      <c r="F853" s="29">
        <v>45957</v>
      </c>
      <c r="G853">
        <v>25882.5</v>
      </c>
      <c r="H853">
        <v>5882.5</v>
      </c>
      <c r="I853" s="30" t="s">
        <v>16</v>
      </c>
      <c r="J853" s="30" t="s">
        <v>544</v>
      </c>
      <c r="K853">
        <v>6</v>
      </c>
      <c r="L853" s="29">
        <v>46136</v>
      </c>
      <c r="M853" s="29">
        <v>46127</v>
      </c>
      <c r="N853" s="30" t="str">
        <f>VLOOKUP(Query1[[#This Row],[company_name]],'Org Mapping'!$B:$I,8,FALSE)</f>
        <v>UHG/Lenovo</v>
      </c>
      <c r="O853" s="30" t="str">
        <f>TEXT(Query1[[#This Row],[last_work_day]],"mmm'yy")</f>
        <v>Apr'26</v>
      </c>
    </row>
    <row r="854" spans="1:15" x14ac:dyDescent="0.35">
      <c r="A854" s="30" t="s">
        <v>749</v>
      </c>
      <c r="B854" s="30" t="s">
        <v>65</v>
      </c>
      <c r="C854" s="30" t="s">
        <v>2626</v>
      </c>
      <c r="D854">
        <v>1</v>
      </c>
      <c r="E854" s="30" t="s">
        <v>2627</v>
      </c>
      <c r="F854" s="29">
        <v>45957</v>
      </c>
      <c r="G854">
        <v>25882.5</v>
      </c>
      <c r="H854">
        <v>5882.5</v>
      </c>
      <c r="I854" s="30" t="s">
        <v>92</v>
      </c>
      <c r="J854" s="30" t="s">
        <v>544</v>
      </c>
      <c r="K854">
        <v>6</v>
      </c>
      <c r="L854" s="29">
        <v>46041</v>
      </c>
      <c r="M854" s="29">
        <v>46042</v>
      </c>
      <c r="N854" s="30" t="str">
        <f>VLOOKUP(Query1[[#This Row],[company_name]],'Org Mapping'!$B:$I,8,FALSE)</f>
        <v>UHG/Lenovo</v>
      </c>
      <c r="O854" s="30" t="str">
        <f>TEXT(Query1[[#This Row],[last_work_day]],"mmm'yy")</f>
        <v>Jan'26</v>
      </c>
    </row>
    <row r="855" spans="1:15" x14ac:dyDescent="0.35">
      <c r="A855" s="30" t="s">
        <v>553</v>
      </c>
      <c r="B855" s="30" t="s">
        <v>65</v>
      </c>
      <c r="C855" s="30" t="s">
        <v>2628</v>
      </c>
      <c r="D855">
        <v>1</v>
      </c>
      <c r="E855" s="30" t="s">
        <v>2629</v>
      </c>
      <c r="F855" s="29">
        <v>45958</v>
      </c>
      <c r="G855">
        <v>25882.5</v>
      </c>
      <c r="H855">
        <v>5882.5</v>
      </c>
      <c r="I855" s="30" t="s">
        <v>37</v>
      </c>
      <c r="J855" s="30" t="s">
        <v>544</v>
      </c>
      <c r="K855">
        <v>6</v>
      </c>
      <c r="L855" s="29">
        <v>46096</v>
      </c>
      <c r="M855" s="29">
        <v>46070</v>
      </c>
      <c r="N855" s="30" t="str">
        <f>VLOOKUP(Query1[[#This Row],[company_name]],'Org Mapping'!$B:$I,8,FALSE)</f>
        <v>UHG/Lenovo</v>
      </c>
      <c r="O855" s="30" t="str">
        <f>TEXT(Query1[[#This Row],[last_work_day]],"mmm'yy")</f>
        <v>Mar'26</v>
      </c>
    </row>
    <row r="856" spans="1:15" x14ac:dyDescent="0.35">
      <c r="A856" s="30" t="s">
        <v>551</v>
      </c>
      <c r="B856" s="30" t="s">
        <v>65</v>
      </c>
      <c r="C856" s="30" t="s">
        <v>2630</v>
      </c>
      <c r="D856">
        <v>1</v>
      </c>
      <c r="E856" s="30" t="s">
        <v>2631</v>
      </c>
      <c r="F856" s="29">
        <v>45985</v>
      </c>
      <c r="G856">
        <v>25882.5</v>
      </c>
      <c r="H856">
        <v>5882.5</v>
      </c>
      <c r="I856" s="30" t="s">
        <v>37</v>
      </c>
      <c r="J856" s="30" t="s">
        <v>544</v>
      </c>
      <c r="K856">
        <v>6</v>
      </c>
      <c r="L856" s="29">
        <v>46096</v>
      </c>
      <c r="M856" s="29">
        <v>46070</v>
      </c>
      <c r="N856" s="30" t="str">
        <f>VLOOKUP(Query1[[#This Row],[company_name]],'Org Mapping'!$B:$I,8,FALSE)</f>
        <v>UHG/Lenovo</v>
      </c>
      <c r="O856" s="30" t="str">
        <f>TEXT(Query1[[#This Row],[last_work_day]],"mmm'yy")</f>
        <v>Mar'26</v>
      </c>
    </row>
    <row r="857" spans="1:15" x14ac:dyDescent="0.35">
      <c r="A857" s="30" t="s">
        <v>550</v>
      </c>
      <c r="B857" s="30" t="s">
        <v>65</v>
      </c>
      <c r="C857" s="30" t="s">
        <v>2632</v>
      </c>
      <c r="D857">
        <v>1</v>
      </c>
      <c r="E857" s="30" t="s">
        <v>2633</v>
      </c>
      <c r="F857" s="29">
        <v>45957</v>
      </c>
      <c r="G857">
        <v>25882.5</v>
      </c>
      <c r="H857">
        <v>5882.5</v>
      </c>
      <c r="I857" s="30" t="s">
        <v>37</v>
      </c>
      <c r="J857" s="30" t="s">
        <v>544</v>
      </c>
      <c r="K857">
        <v>6</v>
      </c>
      <c r="L857" s="29">
        <v>46166</v>
      </c>
      <c r="M857" s="29">
        <v>46118</v>
      </c>
      <c r="N857" s="30" t="str">
        <f>VLOOKUP(Query1[[#This Row],[company_name]],'Org Mapping'!$B:$I,8,FALSE)</f>
        <v>UHG/Lenovo</v>
      </c>
      <c r="O857" s="30" t="str">
        <f>TEXT(Query1[[#This Row],[last_work_day]],"mmm'yy")</f>
        <v>May'26</v>
      </c>
    </row>
    <row r="858" spans="1:15" x14ac:dyDescent="0.35">
      <c r="A858" s="30" t="s">
        <v>551</v>
      </c>
      <c r="B858" s="30" t="s">
        <v>65</v>
      </c>
      <c r="C858" s="30" t="s">
        <v>2634</v>
      </c>
      <c r="D858">
        <v>1</v>
      </c>
      <c r="E858" s="30" t="s">
        <v>2635</v>
      </c>
      <c r="F858" s="29">
        <v>45957</v>
      </c>
      <c r="G858">
        <v>25882.5</v>
      </c>
      <c r="H858">
        <v>5882.5</v>
      </c>
      <c r="I858" s="30" t="s">
        <v>37</v>
      </c>
      <c r="J858" s="30" t="s">
        <v>544</v>
      </c>
      <c r="K858">
        <v>6</v>
      </c>
      <c r="L858" s="29">
        <v>46166</v>
      </c>
      <c r="M858" s="29">
        <v>46118</v>
      </c>
      <c r="N858" s="30" t="str">
        <f>VLOOKUP(Query1[[#This Row],[company_name]],'Org Mapping'!$B:$I,8,FALSE)</f>
        <v>UHG/Lenovo</v>
      </c>
      <c r="O858" s="30" t="str">
        <f>TEXT(Query1[[#This Row],[last_work_day]],"mmm'yy")</f>
        <v>May'26</v>
      </c>
    </row>
    <row r="859" spans="1:15" x14ac:dyDescent="0.35">
      <c r="A859" s="30" t="s">
        <v>550</v>
      </c>
      <c r="B859" s="30" t="s">
        <v>65</v>
      </c>
      <c r="C859" s="30" t="s">
        <v>2636</v>
      </c>
      <c r="D859">
        <v>1</v>
      </c>
      <c r="E859" s="30" t="s">
        <v>2637</v>
      </c>
      <c r="F859" s="29">
        <v>45957</v>
      </c>
      <c r="G859">
        <v>25882.5</v>
      </c>
      <c r="H859">
        <v>5882.5</v>
      </c>
      <c r="I859" s="30" t="s">
        <v>37</v>
      </c>
      <c r="J859" s="30" t="s">
        <v>544</v>
      </c>
      <c r="K859">
        <v>6</v>
      </c>
      <c r="L859" s="29">
        <v>46166</v>
      </c>
      <c r="M859" s="29">
        <v>46118</v>
      </c>
      <c r="N859" s="30" t="str">
        <f>VLOOKUP(Query1[[#This Row],[company_name]],'Org Mapping'!$B:$I,8,FALSE)</f>
        <v>UHG/Lenovo</v>
      </c>
      <c r="O859" s="30" t="str">
        <f>TEXT(Query1[[#This Row],[last_work_day]],"mmm'yy")</f>
        <v>May'26</v>
      </c>
    </row>
    <row r="860" spans="1:15" x14ac:dyDescent="0.35">
      <c r="A860" s="30" t="s">
        <v>550</v>
      </c>
      <c r="B860" s="30" t="s">
        <v>65</v>
      </c>
      <c r="C860" s="30" t="s">
        <v>2638</v>
      </c>
      <c r="D860">
        <v>1</v>
      </c>
      <c r="E860" s="30" t="s">
        <v>2639</v>
      </c>
      <c r="F860" s="29">
        <v>45957</v>
      </c>
      <c r="G860">
        <v>25882.5</v>
      </c>
      <c r="H860">
        <v>5882.5</v>
      </c>
      <c r="I860" s="30" t="s">
        <v>16</v>
      </c>
      <c r="J860" s="30" t="s">
        <v>544</v>
      </c>
      <c r="K860">
        <v>6</v>
      </c>
      <c r="L860" s="29">
        <v>46136</v>
      </c>
      <c r="M860" s="29">
        <v>46104</v>
      </c>
      <c r="N860" s="30" t="str">
        <f>VLOOKUP(Query1[[#This Row],[company_name]],'Org Mapping'!$B:$I,8,FALSE)</f>
        <v>UHG/Lenovo</v>
      </c>
      <c r="O860" s="30" t="str">
        <f>TEXT(Query1[[#This Row],[last_work_day]],"mmm'yy")</f>
        <v>Apr'26</v>
      </c>
    </row>
    <row r="861" spans="1:15" x14ac:dyDescent="0.35">
      <c r="A861" s="30" t="s">
        <v>550</v>
      </c>
      <c r="B861" s="30" t="s">
        <v>65</v>
      </c>
      <c r="C861" s="30" t="s">
        <v>2640</v>
      </c>
      <c r="D861">
        <v>1</v>
      </c>
      <c r="E861" s="30" t="s">
        <v>2641</v>
      </c>
      <c r="F861" s="29">
        <v>45957</v>
      </c>
      <c r="G861">
        <v>25882.5</v>
      </c>
      <c r="H861">
        <v>5882.5</v>
      </c>
      <c r="I861" s="30" t="s">
        <v>37</v>
      </c>
      <c r="J861" s="30" t="s">
        <v>544</v>
      </c>
      <c r="K861">
        <v>6</v>
      </c>
      <c r="L861" s="29">
        <v>46096</v>
      </c>
      <c r="M861" s="29">
        <v>46070</v>
      </c>
      <c r="N861" s="30" t="str">
        <f>VLOOKUP(Query1[[#This Row],[company_name]],'Org Mapping'!$B:$I,8,FALSE)</f>
        <v>UHG/Lenovo</v>
      </c>
      <c r="O861" s="30" t="str">
        <f>TEXT(Query1[[#This Row],[last_work_day]],"mmm'yy")</f>
        <v>Mar'26</v>
      </c>
    </row>
    <row r="862" spans="1:15" x14ac:dyDescent="0.35">
      <c r="A862" s="30" t="s">
        <v>551</v>
      </c>
      <c r="B862" s="30" t="s">
        <v>65</v>
      </c>
      <c r="C862" s="30" t="s">
        <v>2642</v>
      </c>
      <c r="D862">
        <v>1</v>
      </c>
      <c r="E862" s="30" t="s">
        <v>2643</v>
      </c>
      <c r="F862" s="29">
        <v>45957</v>
      </c>
      <c r="G862">
        <v>25882.5</v>
      </c>
      <c r="H862">
        <v>5882.5</v>
      </c>
      <c r="I862" s="30" t="s">
        <v>92</v>
      </c>
      <c r="J862" s="30" t="s">
        <v>544</v>
      </c>
      <c r="K862">
        <v>6</v>
      </c>
      <c r="L862" s="29">
        <v>46024</v>
      </c>
      <c r="M862" s="29">
        <v>46024</v>
      </c>
      <c r="N862" s="30" t="str">
        <f>VLOOKUP(Query1[[#This Row],[company_name]],'Org Mapping'!$B:$I,8,FALSE)</f>
        <v>UHG/Lenovo</v>
      </c>
      <c r="O862" s="30" t="str">
        <f>TEXT(Query1[[#This Row],[last_work_day]],"mmm'yy")</f>
        <v>Jan'26</v>
      </c>
    </row>
    <row r="863" spans="1:15" x14ac:dyDescent="0.35">
      <c r="A863" s="30" t="s">
        <v>550</v>
      </c>
      <c r="B863" s="30" t="s">
        <v>65</v>
      </c>
      <c r="C863" s="30" t="s">
        <v>2644</v>
      </c>
      <c r="D863">
        <v>1</v>
      </c>
      <c r="E863" s="30" t="s">
        <v>2645</v>
      </c>
      <c r="F863" s="29">
        <v>45957</v>
      </c>
      <c r="G863">
        <v>25882.5</v>
      </c>
      <c r="H863">
        <v>5882.5</v>
      </c>
      <c r="I863" s="30" t="s">
        <v>37</v>
      </c>
      <c r="J863" s="30" t="s">
        <v>544</v>
      </c>
      <c r="K863">
        <v>6</v>
      </c>
      <c r="L863" s="29">
        <v>46166</v>
      </c>
      <c r="M863" s="29">
        <v>46118</v>
      </c>
      <c r="N863" s="30" t="str">
        <f>VLOOKUP(Query1[[#This Row],[company_name]],'Org Mapping'!$B:$I,8,FALSE)</f>
        <v>UHG/Lenovo</v>
      </c>
      <c r="O863" s="30" t="str">
        <f>TEXT(Query1[[#This Row],[last_work_day]],"mmm'yy")</f>
        <v>May'26</v>
      </c>
    </row>
    <row r="864" spans="1:15" hidden="1" x14ac:dyDescent="0.35">
      <c r="A864" s="30" t="s">
        <v>550</v>
      </c>
      <c r="B864" s="30" t="s">
        <v>65</v>
      </c>
      <c r="C864" s="30" t="s">
        <v>2646</v>
      </c>
      <c r="D864">
        <v>1</v>
      </c>
      <c r="E864" s="30" t="s">
        <v>2647</v>
      </c>
      <c r="F864" s="29">
        <v>45957</v>
      </c>
      <c r="G864">
        <v>25882.5</v>
      </c>
      <c r="H864">
        <v>5882.5</v>
      </c>
      <c r="I864" s="30" t="s">
        <v>16</v>
      </c>
      <c r="J864" s="30" t="s">
        <v>544</v>
      </c>
      <c r="K864">
        <v>6</v>
      </c>
      <c r="L864" s="29">
        <v>46136</v>
      </c>
      <c r="M864" s="29">
        <v>46127</v>
      </c>
      <c r="N864" s="30" t="str">
        <f>VLOOKUP(Query1[[#This Row],[company_name]],'Org Mapping'!$B:$I,8,FALSE)</f>
        <v>UHG/Lenovo</v>
      </c>
      <c r="O864" s="30" t="str">
        <f>TEXT(Query1[[#This Row],[last_work_day]],"mmm'yy")</f>
        <v>Apr'26</v>
      </c>
    </row>
    <row r="865" spans="1:15" hidden="1" x14ac:dyDescent="0.35">
      <c r="A865" s="30" t="s">
        <v>550</v>
      </c>
      <c r="B865" s="30" t="s">
        <v>65</v>
      </c>
      <c r="C865" s="30" t="s">
        <v>2648</v>
      </c>
      <c r="D865">
        <v>1</v>
      </c>
      <c r="E865" s="30" t="s">
        <v>2649</v>
      </c>
      <c r="F865" s="29">
        <v>45958</v>
      </c>
      <c r="G865">
        <v>25882.5</v>
      </c>
      <c r="H865">
        <v>5882.5</v>
      </c>
      <c r="I865" s="30" t="s">
        <v>37</v>
      </c>
      <c r="J865" s="30" t="s">
        <v>544</v>
      </c>
      <c r="K865">
        <v>6</v>
      </c>
      <c r="L865" s="29">
        <v>46096</v>
      </c>
      <c r="M865" s="29">
        <v>46070</v>
      </c>
      <c r="N865" s="30" t="str">
        <f>VLOOKUP(Query1[[#This Row],[company_name]],'Org Mapping'!$B:$I,8,FALSE)</f>
        <v>UHG/Lenovo</v>
      </c>
      <c r="O865" s="30" t="str">
        <f>TEXT(Query1[[#This Row],[last_work_day]],"mmm'yy")</f>
        <v>Mar'26</v>
      </c>
    </row>
    <row r="866" spans="1:15" hidden="1" x14ac:dyDescent="0.35">
      <c r="A866" s="30" t="s">
        <v>749</v>
      </c>
      <c r="B866" s="30" t="s">
        <v>65</v>
      </c>
      <c r="C866" s="30" t="s">
        <v>2650</v>
      </c>
      <c r="D866">
        <v>1</v>
      </c>
      <c r="E866" s="30" t="s">
        <v>2651</v>
      </c>
      <c r="F866" s="29">
        <v>45958</v>
      </c>
      <c r="G866">
        <v>25882.5</v>
      </c>
      <c r="H866">
        <v>5882.5</v>
      </c>
      <c r="I866" s="30" t="s">
        <v>37</v>
      </c>
      <c r="J866" s="30" t="s">
        <v>544</v>
      </c>
      <c r="K866">
        <v>6</v>
      </c>
      <c r="L866" s="29">
        <v>46096</v>
      </c>
      <c r="M866" s="29">
        <v>46070</v>
      </c>
      <c r="N866" s="30" t="str">
        <f>VLOOKUP(Query1[[#This Row],[company_name]],'Org Mapping'!$B:$I,8,FALSE)</f>
        <v>UHG/Lenovo</v>
      </c>
      <c r="O866" s="30" t="str">
        <f>TEXT(Query1[[#This Row],[last_work_day]],"mmm'yy")</f>
        <v>Mar'26</v>
      </c>
    </row>
    <row r="867" spans="1:15" hidden="1" x14ac:dyDescent="0.35">
      <c r="A867" s="30" t="s">
        <v>2652</v>
      </c>
      <c r="B867" s="30" t="s">
        <v>65</v>
      </c>
      <c r="C867" s="30" t="s">
        <v>2653</v>
      </c>
      <c r="D867">
        <v>1</v>
      </c>
      <c r="E867" s="30" t="s">
        <v>2654</v>
      </c>
      <c r="F867" s="29">
        <v>45957</v>
      </c>
      <c r="G867">
        <v>25882.5</v>
      </c>
      <c r="H867">
        <v>5882.5</v>
      </c>
      <c r="I867" s="30" t="s">
        <v>37</v>
      </c>
      <c r="J867" s="30" t="s">
        <v>544</v>
      </c>
      <c r="K867">
        <v>6</v>
      </c>
      <c r="L867" s="29">
        <v>46096</v>
      </c>
      <c r="M867" s="29">
        <v>46070</v>
      </c>
      <c r="N867" s="30" t="str">
        <f>VLOOKUP(Query1[[#This Row],[company_name]],'Org Mapping'!$B:$I,8,FALSE)</f>
        <v>UHG/Lenovo</v>
      </c>
      <c r="O867" s="30" t="str">
        <f>TEXT(Query1[[#This Row],[last_work_day]],"mmm'yy")</f>
        <v>Mar'26</v>
      </c>
    </row>
    <row r="868" spans="1:15" hidden="1" x14ac:dyDescent="0.35">
      <c r="A868" s="30" t="s">
        <v>749</v>
      </c>
      <c r="B868" s="30" t="s">
        <v>65</v>
      </c>
      <c r="C868" s="30" t="s">
        <v>2655</v>
      </c>
      <c r="D868">
        <v>1</v>
      </c>
      <c r="E868" s="30" t="s">
        <v>2656</v>
      </c>
      <c r="F868" s="29">
        <v>45957</v>
      </c>
      <c r="G868">
        <v>25882.5</v>
      </c>
      <c r="H868">
        <v>5882.5</v>
      </c>
      <c r="I868" s="30" t="s">
        <v>16</v>
      </c>
      <c r="J868" s="30" t="s">
        <v>544</v>
      </c>
      <c r="K868">
        <v>6</v>
      </c>
      <c r="L868" s="29">
        <v>46136</v>
      </c>
      <c r="M868" s="29">
        <v>46127</v>
      </c>
      <c r="N868" s="30" t="str">
        <f>VLOOKUP(Query1[[#This Row],[company_name]],'Org Mapping'!$B:$I,8,FALSE)</f>
        <v>UHG/Lenovo</v>
      </c>
      <c r="O868" s="30" t="str">
        <f>TEXT(Query1[[#This Row],[last_work_day]],"mmm'yy")</f>
        <v>Apr'26</v>
      </c>
    </row>
    <row r="869" spans="1:15" hidden="1" x14ac:dyDescent="0.35">
      <c r="A869" s="30" t="s">
        <v>551</v>
      </c>
      <c r="B869" s="30" t="s">
        <v>65</v>
      </c>
      <c r="C869" s="30" t="s">
        <v>2657</v>
      </c>
      <c r="D869">
        <v>1</v>
      </c>
      <c r="E869" s="30" t="s">
        <v>2658</v>
      </c>
      <c r="F869" s="29">
        <v>45957</v>
      </c>
      <c r="G869">
        <v>25882.5</v>
      </c>
      <c r="H869">
        <v>5882.5</v>
      </c>
      <c r="I869" s="30" t="s">
        <v>37</v>
      </c>
      <c r="J869" s="30" t="s">
        <v>544</v>
      </c>
      <c r="K869">
        <v>6</v>
      </c>
      <c r="L869" s="29">
        <v>46096</v>
      </c>
      <c r="M869" s="29">
        <v>46070</v>
      </c>
      <c r="N869" s="30" t="str">
        <f>VLOOKUP(Query1[[#This Row],[company_name]],'Org Mapping'!$B:$I,8,FALSE)</f>
        <v>UHG/Lenovo</v>
      </c>
      <c r="O869" s="30" t="str">
        <f>TEXT(Query1[[#This Row],[last_work_day]],"mmm'yy")</f>
        <v>Mar'26</v>
      </c>
    </row>
    <row r="870" spans="1:15" hidden="1" x14ac:dyDescent="0.35">
      <c r="A870" s="30" t="s">
        <v>551</v>
      </c>
      <c r="B870" s="30" t="s">
        <v>65</v>
      </c>
      <c r="C870" s="30" t="s">
        <v>2659</v>
      </c>
      <c r="D870">
        <v>1</v>
      </c>
      <c r="E870" s="30" t="s">
        <v>2660</v>
      </c>
      <c r="F870" s="29">
        <v>45957</v>
      </c>
      <c r="G870">
        <v>25882.5</v>
      </c>
      <c r="H870">
        <v>5882.5</v>
      </c>
      <c r="I870" s="30" t="s">
        <v>37</v>
      </c>
      <c r="J870" s="30" t="s">
        <v>544</v>
      </c>
      <c r="K870">
        <v>6</v>
      </c>
      <c r="L870" s="29">
        <v>46166</v>
      </c>
      <c r="M870" s="29">
        <v>46118</v>
      </c>
      <c r="N870" s="30" t="str">
        <f>VLOOKUP(Query1[[#This Row],[company_name]],'Org Mapping'!$B:$I,8,FALSE)</f>
        <v>UHG/Lenovo</v>
      </c>
      <c r="O870" s="30" t="str">
        <f>TEXT(Query1[[#This Row],[last_work_day]],"mmm'yy")</f>
        <v>May'26</v>
      </c>
    </row>
    <row r="871" spans="1:15" hidden="1" x14ac:dyDescent="0.35">
      <c r="A871" s="30" t="s">
        <v>668</v>
      </c>
      <c r="B871" s="30" t="s">
        <v>65</v>
      </c>
      <c r="C871" s="30" t="s">
        <v>2661</v>
      </c>
      <c r="D871">
        <v>1</v>
      </c>
      <c r="E871" s="30" t="s">
        <v>2662</v>
      </c>
      <c r="F871" s="29">
        <v>45957</v>
      </c>
      <c r="G871">
        <v>25882.5</v>
      </c>
      <c r="H871">
        <v>5882.5</v>
      </c>
      <c r="I871" s="30" t="s">
        <v>37</v>
      </c>
      <c r="J871" s="30" t="s">
        <v>544</v>
      </c>
      <c r="K871">
        <v>6</v>
      </c>
      <c r="L871" s="29">
        <v>46096</v>
      </c>
      <c r="M871" s="29">
        <v>46070</v>
      </c>
      <c r="N871" s="30" t="str">
        <f>VLOOKUP(Query1[[#This Row],[company_name]],'Org Mapping'!$B:$I,8,FALSE)</f>
        <v>UHG/Lenovo</v>
      </c>
      <c r="O871" s="30" t="str">
        <f>TEXT(Query1[[#This Row],[last_work_day]],"mmm'yy")</f>
        <v>Mar'26</v>
      </c>
    </row>
    <row r="872" spans="1:15" hidden="1" x14ac:dyDescent="0.35">
      <c r="A872" s="30" t="s">
        <v>749</v>
      </c>
      <c r="B872" s="30" t="s">
        <v>65</v>
      </c>
      <c r="C872" s="30" t="s">
        <v>2663</v>
      </c>
      <c r="D872">
        <v>1</v>
      </c>
      <c r="E872" s="30" t="s">
        <v>2664</v>
      </c>
      <c r="F872" s="29">
        <v>45957</v>
      </c>
      <c r="G872">
        <v>25882.5</v>
      </c>
      <c r="H872">
        <v>5882.5</v>
      </c>
      <c r="I872" s="30" t="s">
        <v>37</v>
      </c>
      <c r="J872" s="30" t="s">
        <v>544</v>
      </c>
      <c r="K872">
        <v>6</v>
      </c>
      <c r="L872" s="29">
        <v>46096</v>
      </c>
      <c r="M872" s="29">
        <v>46070</v>
      </c>
      <c r="N872" s="30" t="str">
        <f>VLOOKUP(Query1[[#This Row],[company_name]],'Org Mapping'!$B:$I,8,FALSE)</f>
        <v>UHG/Lenovo</v>
      </c>
      <c r="O872" s="30" t="str">
        <f>TEXT(Query1[[#This Row],[last_work_day]],"mmm'yy")</f>
        <v>Mar'26</v>
      </c>
    </row>
    <row r="873" spans="1:15" hidden="1" x14ac:dyDescent="0.35">
      <c r="A873" s="30" t="s">
        <v>752</v>
      </c>
      <c r="B873" s="30" t="s">
        <v>65</v>
      </c>
      <c r="C873" s="30" t="s">
        <v>2665</v>
      </c>
      <c r="D873">
        <v>1</v>
      </c>
      <c r="E873" s="30" t="s">
        <v>2666</v>
      </c>
      <c r="F873" s="29">
        <v>45957</v>
      </c>
      <c r="G873">
        <v>25882.5</v>
      </c>
      <c r="H873">
        <v>5882.5</v>
      </c>
      <c r="I873" s="30" t="s">
        <v>16</v>
      </c>
      <c r="J873" s="30" t="s">
        <v>544</v>
      </c>
      <c r="K873">
        <v>6</v>
      </c>
      <c r="L873" s="29">
        <v>46136</v>
      </c>
      <c r="M873" s="29">
        <v>46127</v>
      </c>
      <c r="N873" s="30" t="str">
        <f>VLOOKUP(Query1[[#This Row],[company_name]],'Org Mapping'!$B:$I,8,FALSE)</f>
        <v>UHG/Lenovo</v>
      </c>
      <c r="O873" s="30" t="str">
        <f>TEXT(Query1[[#This Row],[last_work_day]],"mmm'yy")</f>
        <v>Apr'26</v>
      </c>
    </row>
    <row r="874" spans="1:15" hidden="1" x14ac:dyDescent="0.35">
      <c r="A874" s="30" t="s">
        <v>752</v>
      </c>
      <c r="B874" s="30" t="s">
        <v>65</v>
      </c>
      <c r="C874" s="30" t="s">
        <v>2667</v>
      </c>
      <c r="D874">
        <v>1</v>
      </c>
      <c r="E874" s="30" t="s">
        <v>2668</v>
      </c>
      <c r="F874" s="29">
        <v>45957</v>
      </c>
      <c r="G874">
        <v>25882.5</v>
      </c>
      <c r="H874">
        <v>5882.5</v>
      </c>
      <c r="I874" s="30" t="s">
        <v>37</v>
      </c>
      <c r="J874" s="30" t="s">
        <v>544</v>
      </c>
      <c r="K874">
        <v>6</v>
      </c>
      <c r="L874" s="29">
        <v>46096</v>
      </c>
      <c r="M874" s="29">
        <v>46070</v>
      </c>
      <c r="N874" s="30" t="str">
        <f>VLOOKUP(Query1[[#This Row],[company_name]],'Org Mapping'!$B:$I,8,FALSE)</f>
        <v>UHG/Lenovo</v>
      </c>
      <c r="O874" s="30" t="str">
        <f>TEXT(Query1[[#This Row],[last_work_day]],"mmm'yy")</f>
        <v>Mar'26</v>
      </c>
    </row>
    <row r="875" spans="1:15" hidden="1" x14ac:dyDescent="0.35">
      <c r="A875" s="30" t="s">
        <v>551</v>
      </c>
      <c r="B875" s="30" t="s">
        <v>65</v>
      </c>
      <c r="C875" s="30" t="s">
        <v>2669</v>
      </c>
      <c r="D875">
        <v>1</v>
      </c>
      <c r="E875" s="30" t="s">
        <v>2670</v>
      </c>
      <c r="F875" s="29">
        <v>45957</v>
      </c>
      <c r="G875">
        <v>25882.5</v>
      </c>
      <c r="H875">
        <v>5882.5</v>
      </c>
      <c r="I875" s="30" t="s">
        <v>16</v>
      </c>
      <c r="J875" s="30" t="s">
        <v>544</v>
      </c>
      <c r="K875">
        <v>6</v>
      </c>
      <c r="L875" s="29">
        <v>46136</v>
      </c>
      <c r="M875" s="29">
        <v>46127</v>
      </c>
      <c r="N875" s="30" t="str">
        <f>VLOOKUP(Query1[[#This Row],[company_name]],'Org Mapping'!$B:$I,8,FALSE)</f>
        <v>UHG/Lenovo</v>
      </c>
      <c r="O875" s="30" t="str">
        <f>TEXT(Query1[[#This Row],[last_work_day]],"mmm'yy")</f>
        <v>Apr'26</v>
      </c>
    </row>
    <row r="876" spans="1:15" hidden="1" x14ac:dyDescent="0.35">
      <c r="A876" s="30" t="s">
        <v>551</v>
      </c>
      <c r="B876" s="30" t="s">
        <v>65</v>
      </c>
      <c r="C876" s="30" t="s">
        <v>2671</v>
      </c>
      <c r="D876">
        <v>1</v>
      </c>
      <c r="E876" s="30" t="s">
        <v>2672</v>
      </c>
      <c r="F876" s="29">
        <v>45957</v>
      </c>
      <c r="G876">
        <v>25882.5</v>
      </c>
      <c r="H876">
        <v>5882.5</v>
      </c>
      <c r="I876" s="30" t="s">
        <v>16</v>
      </c>
      <c r="J876" s="30" t="s">
        <v>544</v>
      </c>
      <c r="K876">
        <v>6</v>
      </c>
      <c r="L876" s="29">
        <v>46112</v>
      </c>
      <c r="M876" s="29">
        <v>46111</v>
      </c>
      <c r="N876" s="30" t="str">
        <f>VLOOKUP(Query1[[#This Row],[company_name]],'Org Mapping'!$B:$I,8,FALSE)</f>
        <v>UHG/Lenovo</v>
      </c>
      <c r="O876" s="30" t="str">
        <f>TEXT(Query1[[#This Row],[last_work_day]],"mmm'yy")</f>
        <v>Mar'26</v>
      </c>
    </row>
    <row r="877" spans="1:15" hidden="1" x14ac:dyDescent="0.35">
      <c r="A877" s="30" t="s">
        <v>551</v>
      </c>
      <c r="B877" s="30" t="s">
        <v>65</v>
      </c>
      <c r="C877" s="30" t="s">
        <v>2673</v>
      </c>
      <c r="D877">
        <v>1</v>
      </c>
      <c r="E877" s="30" t="s">
        <v>2674</v>
      </c>
      <c r="F877" s="29">
        <v>45957</v>
      </c>
      <c r="G877">
        <v>25882.5</v>
      </c>
      <c r="H877">
        <v>5882.5</v>
      </c>
      <c r="I877" s="30" t="s">
        <v>37</v>
      </c>
      <c r="J877" s="30" t="s">
        <v>544</v>
      </c>
      <c r="K877">
        <v>6</v>
      </c>
      <c r="L877" s="29">
        <v>46166</v>
      </c>
      <c r="M877" s="29">
        <v>46118</v>
      </c>
      <c r="N877" s="30" t="str">
        <f>VLOOKUP(Query1[[#This Row],[company_name]],'Org Mapping'!$B:$I,8,FALSE)</f>
        <v>UHG/Lenovo</v>
      </c>
      <c r="O877" s="30" t="str">
        <f>TEXT(Query1[[#This Row],[last_work_day]],"mmm'yy")</f>
        <v>May'26</v>
      </c>
    </row>
    <row r="878" spans="1:15" hidden="1" x14ac:dyDescent="0.35">
      <c r="A878" s="30" t="s">
        <v>551</v>
      </c>
      <c r="B878" s="30" t="s">
        <v>65</v>
      </c>
      <c r="C878" s="30" t="s">
        <v>2675</v>
      </c>
      <c r="D878">
        <v>1</v>
      </c>
      <c r="E878" s="30" t="s">
        <v>2676</v>
      </c>
      <c r="F878" s="29">
        <v>45957</v>
      </c>
      <c r="G878">
        <v>25882.5</v>
      </c>
      <c r="H878">
        <v>5882.5</v>
      </c>
      <c r="I878" s="30" t="s">
        <v>37</v>
      </c>
      <c r="J878" s="30" t="s">
        <v>544</v>
      </c>
      <c r="K878">
        <v>6</v>
      </c>
      <c r="L878" s="29">
        <v>46166</v>
      </c>
      <c r="M878" s="29">
        <v>46118</v>
      </c>
      <c r="N878" s="30" t="str">
        <f>VLOOKUP(Query1[[#This Row],[company_name]],'Org Mapping'!$B:$I,8,FALSE)</f>
        <v>UHG/Lenovo</v>
      </c>
      <c r="O878" s="30" t="str">
        <f>TEXT(Query1[[#This Row],[last_work_day]],"mmm'yy")</f>
        <v>May'26</v>
      </c>
    </row>
    <row r="879" spans="1:15" hidden="1" x14ac:dyDescent="0.35">
      <c r="A879" s="30" t="s">
        <v>551</v>
      </c>
      <c r="B879" s="30" t="s">
        <v>65</v>
      </c>
      <c r="C879" s="30" t="s">
        <v>2677</v>
      </c>
      <c r="D879">
        <v>1</v>
      </c>
      <c r="E879" s="30" t="s">
        <v>2678</v>
      </c>
      <c r="F879" s="29">
        <v>45957</v>
      </c>
      <c r="G879">
        <v>25882.5</v>
      </c>
      <c r="H879">
        <v>5882.5</v>
      </c>
      <c r="I879" s="30" t="s">
        <v>37</v>
      </c>
      <c r="J879" s="30" t="s">
        <v>544</v>
      </c>
      <c r="K879">
        <v>6</v>
      </c>
      <c r="L879" s="29">
        <v>46096</v>
      </c>
      <c r="M879" s="29">
        <v>46070</v>
      </c>
      <c r="N879" s="30" t="str">
        <f>VLOOKUP(Query1[[#This Row],[company_name]],'Org Mapping'!$B:$I,8,FALSE)</f>
        <v>UHG/Lenovo</v>
      </c>
      <c r="O879" s="30" t="str">
        <f>TEXT(Query1[[#This Row],[last_work_day]],"mmm'yy")</f>
        <v>Mar'26</v>
      </c>
    </row>
    <row r="880" spans="1:15" hidden="1" x14ac:dyDescent="0.35">
      <c r="A880" s="30" t="s">
        <v>360</v>
      </c>
      <c r="B880" s="30" t="s">
        <v>65</v>
      </c>
      <c r="C880" s="30" t="s">
        <v>753</v>
      </c>
      <c r="D880">
        <v>2</v>
      </c>
      <c r="E880" s="30" t="s">
        <v>754</v>
      </c>
      <c r="F880" s="29">
        <v>45954</v>
      </c>
      <c r="G880">
        <v>80000</v>
      </c>
      <c r="H880">
        <v>16000</v>
      </c>
      <c r="I880" s="30" t="s">
        <v>545</v>
      </c>
      <c r="J880" s="30" t="s">
        <v>90</v>
      </c>
      <c r="K880">
        <v>6</v>
      </c>
      <c r="L880" s="29">
        <v>46104</v>
      </c>
      <c r="M880" s="29">
        <v>46104</v>
      </c>
      <c r="N880" s="30" t="str">
        <f>VLOOKUP(Query1[[#This Row],[company_name]],'Org Mapping'!$B:$I,8,FALSE)</f>
        <v>Jawad Ulla Khan</v>
      </c>
      <c r="O880" s="30" t="str">
        <f>TEXT(Query1[[#This Row],[last_work_day]],"mmm'yy")</f>
        <v>Mar'26</v>
      </c>
    </row>
    <row r="881" spans="1:15" hidden="1" x14ac:dyDescent="0.35">
      <c r="A881" s="30" t="s">
        <v>752</v>
      </c>
      <c r="B881" s="30" t="s">
        <v>65</v>
      </c>
      <c r="C881" s="30" t="s">
        <v>2679</v>
      </c>
      <c r="D881">
        <v>1</v>
      </c>
      <c r="E881" s="30" t="s">
        <v>2680</v>
      </c>
      <c r="F881" s="29">
        <v>45957</v>
      </c>
      <c r="G881">
        <v>25882.5</v>
      </c>
      <c r="H881">
        <v>5882.5</v>
      </c>
      <c r="I881" s="30" t="s">
        <v>37</v>
      </c>
      <c r="J881" s="30" t="s">
        <v>544</v>
      </c>
      <c r="K881">
        <v>6</v>
      </c>
      <c r="L881" s="29">
        <v>46096</v>
      </c>
      <c r="M881" s="29">
        <v>46070</v>
      </c>
      <c r="N881" s="30" t="str">
        <f>VLOOKUP(Query1[[#This Row],[company_name]],'Org Mapping'!$B:$I,8,FALSE)</f>
        <v>UHG/Lenovo</v>
      </c>
      <c r="O881" s="30" t="str">
        <f>TEXT(Query1[[#This Row],[last_work_day]],"mmm'yy")</f>
        <v>Mar'26</v>
      </c>
    </row>
    <row r="882" spans="1:15" hidden="1" x14ac:dyDescent="0.35">
      <c r="A882" s="30" t="s">
        <v>360</v>
      </c>
      <c r="B882" s="30" t="s">
        <v>65</v>
      </c>
      <c r="C882" s="30" t="s">
        <v>755</v>
      </c>
      <c r="D882">
        <v>2</v>
      </c>
      <c r="E882" s="30" t="s">
        <v>756</v>
      </c>
      <c r="F882" s="29">
        <v>45960</v>
      </c>
      <c r="G882">
        <v>62500</v>
      </c>
      <c r="H882">
        <v>12500</v>
      </c>
      <c r="I882" s="30" t="s">
        <v>37</v>
      </c>
      <c r="J882" s="30" t="s">
        <v>76</v>
      </c>
      <c r="K882">
        <v>6</v>
      </c>
      <c r="L882" s="29">
        <v>46030</v>
      </c>
      <c r="M882" s="29">
        <v>46034</v>
      </c>
      <c r="N882" s="30" t="str">
        <f>VLOOKUP(Query1[[#This Row],[company_name]],'Org Mapping'!$B:$I,8,FALSE)</f>
        <v>Jawad Ulla Khan</v>
      </c>
      <c r="O882" s="30" t="str">
        <f>TEXT(Query1[[#This Row],[last_work_day]],"mmm'yy")</f>
        <v>Jan'26</v>
      </c>
    </row>
    <row r="883" spans="1:15" hidden="1" x14ac:dyDescent="0.35">
      <c r="A883" s="30" t="s">
        <v>752</v>
      </c>
      <c r="B883" s="30" t="s">
        <v>65</v>
      </c>
      <c r="C883" s="30" t="s">
        <v>2681</v>
      </c>
      <c r="D883">
        <v>1</v>
      </c>
      <c r="E883" s="30" t="s">
        <v>2682</v>
      </c>
      <c r="F883" s="29">
        <v>45957</v>
      </c>
      <c r="G883">
        <v>25882.5</v>
      </c>
      <c r="H883">
        <v>5882.5</v>
      </c>
      <c r="I883" s="30" t="s">
        <v>37</v>
      </c>
      <c r="J883" s="30" t="s">
        <v>544</v>
      </c>
      <c r="K883">
        <v>6</v>
      </c>
      <c r="L883" s="29">
        <v>46166</v>
      </c>
      <c r="M883" s="29">
        <v>46118</v>
      </c>
      <c r="N883" s="30" t="str">
        <f>VLOOKUP(Query1[[#This Row],[company_name]],'Org Mapping'!$B:$I,8,FALSE)</f>
        <v>UHG/Lenovo</v>
      </c>
      <c r="O883" s="30" t="str">
        <f>TEXT(Query1[[#This Row],[last_work_day]],"mmm'yy")</f>
        <v>May'26</v>
      </c>
    </row>
    <row r="884" spans="1:15" hidden="1" x14ac:dyDescent="0.35">
      <c r="A884" s="30" t="s">
        <v>752</v>
      </c>
      <c r="B884" s="30" t="s">
        <v>65</v>
      </c>
      <c r="C884" s="30" t="s">
        <v>2683</v>
      </c>
      <c r="D884">
        <v>1</v>
      </c>
      <c r="E884" s="30" t="s">
        <v>2684</v>
      </c>
      <c r="F884" s="29">
        <v>45986</v>
      </c>
      <c r="G884">
        <v>25882.5</v>
      </c>
      <c r="H884">
        <v>5882.5</v>
      </c>
      <c r="I884" s="30" t="s">
        <v>37</v>
      </c>
      <c r="J884" s="30" t="s">
        <v>544</v>
      </c>
      <c r="K884">
        <v>6</v>
      </c>
      <c r="L884" s="29">
        <v>46096</v>
      </c>
      <c r="M884" s="29">
        <v>46070</v>
      </c>
      <c r="N884" s="30" t="str">
        <f>VLOOKUP(Query1[[#This Row],[company_name]],'Org Mapping'!$B:$I,8,FALSE)</f>
        <v>UHG/Lenovo</v>
      </c>
      <c r="O884" s="30" t="str">
        <f>TEXT(Query1[[#This Row],[last_work_day]],"mmm'yy")</f>
        <v>Mar'26</v>
      </c>
    </row>
    <row r="885" spans="1:15" hidden="1" x14ac:dyDescent="0.35">
      <c r="A885" s="30" t="s">
        <v>752</v>
      </c>
      <c r="B885" s="30" t="s">
        <v>65</v>
      </c>
      <c r="C885" s="30" t="s">
        <v>2685</v>
      </c>
      <c r="D885">
        <v>1</v>
      </c>
      <c r="E885" s="30" t="s">
        <v>2686</v>
      </c>
      <c r="F885" s="29">
        <v>45957</v>
      </c>
      <c r="G885">
        <v>25882.5</v>
      </c>
      <c r="H885">
        <v>5882.5</v>
      </c>
      <c r="I885" s="30" t="s">
        <v>37</v>
      </c>
      <c r="J885" s="30" t="s">
        <v>544</v>
      </c>
      <c r="K885">
        <v>6</v>
      </c>
      <c r="L885" s="29">
        <v>46096</v>
      </c>
      <c r="M885" s="29">
        <v>46070</v>
      </c>
      <c r="N885" s="30" t="str">
        <f>VLOOKUP(Query1[[#This Row],[company_name]],'Org Mapping'!$B:$I,8,FALSE)</f>
        <v>UHG/Lenovo</v>
      </c>
      <c r="O885" s="30" t="str">
        <f>TEXT(Query1[[#This Row],[last_work_day]],"mmm'yy")</f>
        <v>Mar'26</v>
      </c>
    </row>
    <row r="886" spans="1:15" hidden="1" x14ac:dyDescent="0.35">
      <c r="A886" s="30" t="s">
        <v>555</v>
      </c>
      <c r="B886" s="30" t="s">
        <v>65</v>
      </c>
      <c r="C886" s="30" t="s">
        <v>2687</v>
      </c>
      <c r="D886">
        <v>1</v>
      </c>
      <c r="E886" s="30" t="s">
        <v>2688</v>
      </c>
      <c r="F886" s="29">
        <v>45957</v>
      </c>
      <c r="G886">
        <v>25882.5</v>
      </c>
      <c r="H886">
        <v>5882.5</v>
      </c>
      <c r="I886" s="30" t="s">
        <v>37</v>
      </c>
      <c r="J886" s="30" t="s">
        <v>544</v>
      </c>
      <c r="K886">
        <v>6</v>
      </c>
      <c r="L886" s="29">
        <v>46096</v>
      </c>
      <c r="M886" s="29">
        <v>46070</v>
      </c>
      <c r="N886" s="30" t="str">
        <f>VLOOKUP(Query1[[#This Row],[company_name]],'Org Mapping'!$B:$I,8,FALSE)</f>
        <v>UHG/Lenovo</v>
      </c>
      <c r="O886" s="30" t="str">
        <f>TEXT(Query1[[#This Row],[last_work_day]],"mmm'yy")</f>
        <v>Mar'26</v>
      </c>
    </row>
    <row r="887" spans="1:15" hidden="1" x14ac:dyDescent="0.35">
      <c r="A887" s="30" t="s">
        <v>430</v>
      </c>
      <c r="B887" s="30" t="s">
        <v>65</v>
      </c>
      <c r="C887" s="30" t="s">
        <v>757</v>
      </c>
      <c r="D887">
        <v>2</v>
      </c>
      <c r="E887" s="30" t="s">
        <v>758</v>
      </c>
      <c r="F887" s="29">
        <v>45957</v>
      </c>
      <c r="G887">
        <v>48000</v>
      </c>
      <c r="H887">
        <v>8000</v>
      </c>
      <c r="I887" s="30" t="s">
        <v>91</v>
      </c>
      <c r="J887" s="30" t="s">
        <v>90</v>
      </c>
      <c r="K887">
        <v>6</v>
      </c>
      <c r="L887" s="29">
        <v>46107</v>
      </c>
      <c r="M887" s="29">
        <v>46079</v>
      </c>
      <c r="N887" s="30" t="str">
        <f>VLOOKUP(Query1[[#This Row],[company_name]],'Org Mapping'!$B:$I,8,FALSE)</f>
        <v>Jawad Ulla Khan</v>
      </c>
      <c r="O887" s="30" t="str">
        <f>TEXT(Query1[[#This Row],[last_work_day]],"mmm'yy")</f>
        <v>Mar'26</v>
      </c>
    </row>
    <row r="888" spans="1:15" hidden="1" x14ac:dyDescent="0.35">
      <c r="A888" s="30" t="s">
        <v>151</v>
      </c>
      <c r="B888" s="30" t="s">
        <v>65</v>
      </c>
      <c r="C888" s="30" t="s">
        <v>759</v>
      </c>
      <c r="D888">
        <v>2</v>
      </c>
      <c r="E888" s="30" t="s">
        <v>760</v>
      </c>
      <c r="F888" s="29">
        <v>45959</v>
      </c>
      <c r="G888">
        <v>22066</v>
      </c>
      <c r="H888">
        <v>3366</v>
      </c>
      <c r="I888" s="30" t="s">
        <v>37</v>
      </c>
      <c r="J888" s="30" t="s">
        <v>76</v>
      </c>
      <c r="K888">
        <v>6</v>
      </c>
      <c r="L888" s="29">
        <v>46030</v>
      </c>
      <c r="M888" s="29">
        <v>46028</v>
      </c>
      <c r="N888" s="30" t="str">
        <f>VLOOKUP(Query1[[#This Row],[company_name]],'Org Mapping'!$B:$I,8,FALSE)</f>
        <v>Jawad Ulla Khan</v>
      </c>
      <c r="O888" s="30" t="str">
        <f>TEXT(Query1[[#This Row],[last_work_day]],"mmm'yy")</f>
        <v>Jan'26</v>
      </c>
    </row>
    <row r="889" spans="1:15" hidden="1" x14ac:dyDescent="0.35">
      <c r="A889" s="30" t="s">
        <v>2689</v>
      </c>
      <c r="B889" s="30" t="s">
        <v>39</v>
      </c>
      <c r="C889" s="30" t="s">
        <v>2690</v>
      </c>
      <c r="D889">
        <v>4</v>
      </c>
      <c r="E889" s="30" t="s">
        <v>2691</v>
      </c>
      <c r="F889" s="29">
        <v>45971</v>
      </c>
      <c r="G889">
        <v>440000</v>
      </c>
      <c r="H889">
        <v>148334</v>
      </c>
      <c r="I889" s="30" t="s">
        <v>1279</v>
      </c>
      <c r="J889" s="30" t="s">
        <v>495</v>
      </c>
      <c r="K889">
        <v>6</v>
      </c>
      <c r="L889" s="29">
        <v>46029</v>
      </c>
      <c r="M889" s="29">
        <v>46030</v>
      </c>
      <c r="N889" s="30" t="str">
        <f>VLOOKUP(Query1[[#This Row],[company_name]],'Org Mapping'!$B:$I,8,FALSE)</f>
        <v>Mehr Hashim</v>
      </c>
      <c r="O889" s="30" t="str">
        <f>TEXT(Query1[[#This Row],[last_work_day]],"mmm'yy")</f>
        <v>Jan'26</v>
      </c>
    </row>
    <row r="890" spans="1:15" hidden="1" x14ac:dyDescent="0.35">
      <c r="A890" s="30" t="s">
        <v>360</v>
      </c>
      <c r="B890" s="30" t="s">
        <v>65</v>
      </c>
      <c r="C890" s="30" t="s">
        <v>761</v>
      </c>
      <c r="D890">
        <v>2</v>
      </c>
      <c r="E890" s="30" t="s">
        <v>762</v>
      </c>
      <c r="F890" s="29">
        <v>45957</v>
      </c>
      <c r="G890">
        <v>70000</v>
      </c>
      <c r="H890">
        <v>14000</v>
      </c>
      <c r="I890" s="30" t="s">
        <v>37</v>
      </c>
      <c r="J890" s="30" t="s">
        <v>90</v>
      </c>
      <c r="K890">
        <v>6</v>
      </c>
      <c r="L890" s="29">
        <v>46024</v>
      </c>
      <c r="M890" s="29">
        <v>45995</v>
      </c>
      <c r="N890" s="30" t="str">
        <f>VLOOKUP(Query1[[#This Row],[company_name]],'Org Mapping'!$B:$I,8,FALSE)</f>
        <v>Jawad Ulla Khan</v>
      </c>
      <c r="O890" s="30" t="str">
        <f>TEXT(Query1[[#This Row],[last_work_day]],"mmm'yy")</f>
        <v>Jan'26</v>
      </c>
    </row>
    <row r="891" spans="1:15" hidden="1" x14ac:dyDescent="0.35">
      <c r="A891" s="30" t="s">
        <v>2692</v>
      </c>
      <c r="B891" s="30" t="s">
        <v>293</v>
      </c>
      <c r="C891" s="30" t="s">
        <v>2693</v>
      </c>
      <c r="D891">
        <v>2</v>
      </c>
      <c r="E891" s="30" t="s">
        <v>2694</v>
      </c>
      <c r="F891" s="29">
        <v>45957</v>
      </c>
      <c r="G891">
        <v>173628</v>
      </c>
      <c r="H891">
        <v>65295</v>
      </c>
      <c r="I891" s="30" t="s">
        <v>16</v>
      </c>
      <c r="J891" s="30" t="s">
        <v>326</v>
      </c>
      <c r="K891">
        <v>6</v>
      </c>
      <c r="L891" s="29">
        <v>46112</v>
      </c>
      <c r="M891" s="29">
        <v>46056</v>
      </c>
      <c r="N891" s="30" t="str">
        <f>VLOOKUP(Query1[[#This Row],[company_name]],'Org Mapping'!$B:$I,8,FALSE)</f>
        <v>Deepak Desai</v>
      </c>
      <c r="O891" s="30" t="str">
        <f>TEXT(Query1[[#This Row],[last_work_day]],"mmm'yy")</f>
        <v>Mar'26</v>
      </c>
    </row>
    <row r="892" spans="1:15" hidden="1" x14ac:dyDescent="0.35">
      <c r="A892" s="30" t="s">
        <v>2695</v>
      </c>
      <c r="B892" s="30" t="s">
        <v>2696</v>
      </c>
      <c r="C892" s="30" t="s">
        <v>2697</v>
      </c>
      <c r="D892">
        <v>2</v>
      </c>
      <c r="E892" s="30" t="s">
        <v>2698</v>
      </c>
      <c r="F892" s="29">
        <v>45964</v>
      </c>
      <c r="G892">
        <v>96600</v>
      </c>
      <c r="H892">
        <v>25767</v>
      </c>
      <c r="I892" s="30" t="s">
        <v>16</v>
      </c>
      <c r="J892" s="30" t="s">
        <v>763</v>
      </c>
      <c r="K892">
        <v>6</v>
      </c>
      <c r="L892" s="29">
        <v>46142</v>
      </c>
      <c r="M892" s="29">
        <v>46098</v>
      </c>
      <c r="N892" s="30" t="str">
        <f>VLOOKUP(Query1[[#This Row],[company_name]],'Org Mapping'!$B:$I,8,FALSE)</f>
        <v>Anuradha</v>
      </c>
      <c r="O892" s="30" t="str">
        <f>TEXT(Query1[[#This Row],[last_work_day]],"mmm'yy")</f>
        <v>Apr'26</v>
      </c>
    </row>
    <row r="893" spans="1:15" hidden="1" x14ac:dyDescent="0.35">
      <c r="A893" s="30" t="s">
        <v>2695</v>
      </c>
      <c r="B893" s="30" t="s">
        <v>2696</v>
      </c>
      <c r="C893" s="30" t="s">
        <v>2699</v>
      </c>
      <c r="D893">
        <v>2</v>
      </c>
      <c r="E893" s="30" t="s">
        <v>2700</v>
      </c>
      <c r="F893" s="29">
        <v>45964</v>
      </c>
      <c r="G893">
        <v>96600</v>
      </c>
      <c r="H893">
        <v>25767</v>
      </c>
      <c r="I893" s="30" t="s">
        <v>21</v>
      </c>
      <c r="J893" s="30" t="s">
        <v>763</v>
      </c>
      <c r="K893">
        <v>6</v>
      </c>
      <c r="L893" s="29">
        <v>46141</v>
      </c>
      <c r="M893" s="29">
        <v>46098</v>
      </c>
      <c r="N893" s="30" t="str">
        <f>VLOOKUP(Query1[[#This Row],[company_name]],'Org Mapping'!$B:$I,8,FALSE)</f>
        <v>Anuradha</v>
      </c>
      <c r="O893" s="30" t="str">
        <f>TEXT(Query1[[#This Row],[last_work_day]],"mmm'yy")</f>
        <v>Apr'26</v>
      </c>
    </row>
    <row r="894" spans="1:15" hidden="1" x14ac:dyDescent="0.35">
      <c r="A894" s="30" t="s">
        <v>104</v>
      </c>
      <c r="B894" s="30" t="s">
        <v>1628</v>
      </c>
      <c r="C894" s="30" t="s">
        <v>2701</v>
      </c>
      <c r="D894">
        <v>2</v>
      </c>
      <c r="E894" s="30" t="s">
        <v>2702</v>
      </c>
      <c r="F894" s="29">
        <v>45961</v>
      </c>
      <c r="G894">
        <v>391600</v>
      </c>
      <c r="H894">
        <v>33267</v>
      </c>
      <c r="I894" s="30" t="s">
        <v>26</v>
      </c>
      <c r="J894" s="30" t="s">
        <v>248</v>
      </c>
      <c r="K894">
        <v>6</v>
      </c>
      <c r="L894" s="29">
        <v>46142</v>
      </c>
      <c r="M894" s="29">
        <v>46112</v>
      </c>
      <c r="N894" s="30" t="str">
        <f>VLOOKUP(Query1[[#This Row],[company_name]],'Org Mapping'!$B:$I,8,FALSE)</f>
        <v>Sadhna Shukla</v>
      </c>
      <c r="O894" s="30" t="str">
        <f>TEXT(Query1[[#This Row],[last_work_day]],"mmm'yy")</f>
        <v>Apr'26</v>
      </c>
    </row>
    <row r="895" spans="1:15" hidden="1" x14ac:dyDescent="0.35">
      <c r="A895" s="30" t="s">
        <v>550</v>
      </c>
      <c r="B895" s="30" t="s">
        <v>65</v>
      </c>
      <c r="C895" s="30" t="s">
        <v>2703</v>
      </c>
      <c r="D895">
        <v>1</v>
      </c>
      <c r="E895" s="30" t="s">
        <v>2704</v>
      </c>
      <c r="F895" s="29">
        <v>45957</v>
      </c>
      <c r="G895">
        <v>25882.5</v>
      </c>
      <c r="H895">
        <v>5882.5</v>
      </c>
      <c r="I895" s="30" t="s">
        <v>37</v>
      </c>
      <c r="J895" s="30" t="s">
        <v>544</v>
      </c>
      <c r="K895">
        <v>6</v>
      </c>
      <c r="L895" s="29">
        <v>46096</v>
      </c>
      <c r="M895" s="29">
        <v>46070</v>
      </c>
      <c r="N895" s="30" t="str">
        <f>VLOOKUP(Query1[[#This Row],[company_name]],'Org Mapping'!$B:$I,8,FALSE)</f>
        <v>UHG/Lenovo</v>
      </c>
      <c r="O895" s="30" t="str">
        <f>TEXT(Query1[[#This Row],[last_work_day]],"mmm'yy")</f>
        <v>Mar'26</v>
      </c>
    </row>
    <row r="896" spans="1:15" hidden="1" x14ac:dyDescent="0.35">
      <c r="A896" s="30" t="s">
        <v>1506</v>
      </c>
      <c r="B896" s="30" t="s">
        <v>714</v>
      </c>
      <c r="C896" s="30" t="s">
        <v>2705</v>
      </c>
      <c r="D896">
        <v>2</v>
      </c>
      <c r="E896" s="30" t="s">
        <v>2706</v>
      </c>
      <c r="F896" s="29">
        <v>45964</v>
      </c>
      <c r="G896">
        <v>220500</v>
      </c>
      <c r="H896">
        <v>28834</v>
      </c>
      <c r="I896" s="30" t="s">
        <v>37</v>
      </c>
      <c r="J896" s="30" t="s">
        <v>718</v>
      </c>
      <c r="K896">
        <v>6</v>
      </c>
      <c r="L896" s="29">
        <v>46112</v>
      </c>
      <c r="M896" s="29">
        <v>46101</v>
      </c>
      <c r="N896" s="30" t="str">
        <f>VLOOKUP(Query1[[#This Row],[company_name]],'Org Mapping'!$B:$I,8,FALSE)</f>
        <v>Prathap Sagar</v>
      </c>
      <c r="O896" s="30" t="str">
        <f>TEXT(Query1[[#This Row],[last_work_day]],"mmm'yy")</f>
        <v>Mar'26</v>
      </c>
    </row>
    <row r="897" spans="1:15" hidden="1" x14ac:dyDescent="0.35">
      <c r="A897" s="30" t="s">
        <v>104</v>
      </c>
      <c r="B897" s="30" t="s">
        <v>1628</v>
      </c>
      <c r="C897" s="30" t="s">
        <v>2707</v>
      </c>
      <c r="D897">
        <v>2</v>
      </c>
      <c r="E897" s="30" t="s">
        <v>2708</v>
      </c>
      <c r="F897" s="29">
        <v>45961</v>
      </c>
      <c r="G897">
        <v>214032</v>
      </c>
      <c r="H897">
        <v>130699</v>
      </c>
      <c r="I897" s="30" t="s">
        <v>91</v>
      </c>
      <c r="J897" s="30" t="s">
        <v>49</v>
      </c>
      <c r="K897">
        <v>6</v>
      </c>
      <c r="L897" s="29">
        <v>46076</v>
      </c>
      <c r="M897" s="29">
        <v>46051</v>
      </c>
      <c r="N897" s="30" t="str">
        <f>VLOOKUP(Query1[[#This Row],[company_name]],'Org Mapping'!$B:$I,8,FALSE)</f>
        <v>Mehr Hashim</v>
      </c>
      <c r="O897" s="30" t="str">
        <f>TEXT(Query1[[#This Row],[last_work_day]],"mmm'yy")</f>
        <v>Feb'26</v>
      </c>
    </row>
    <row r="898" spans="1:15" hidden="1" x14ac:dyDescent="0.35">
      <c r="A898" s="30" t="s">
        <v>1634</v>
      </c>
      <c r="B898" s="30" t="s">
        <v>117</v>
      </c>
      <c r="C898" s="30" t="s">
        <v>2709</v>
      </c>
      <c r="D898">
        <v>4</v>
      </c>
      <c r="E898" s="30" t="s">
        <v>2710</v>
      </c>
      <c r="F898" s="29">
        <v>45964</v>
      </c>
      <c r="G898">
        <v>221674.88</v>
      </c>
      <c r="H898">
        <v>21674.880000000001</v>
      </c>
      <c r="I898" s="30" t="s">
        <v>1279</v>
      </c>
      <c r="J898" s="30" t="s">
        <v>118</v>
      </c>
      <c r="K898">
        <v>6</v>
      </c>
      <c r="L898" s="29">
        <v>46053</v>
      </c>
      <c r="M898" s="29">
        <v>46060</v>
      </c>
      <c r="N898" s="30" t="str">
        <f>VLOOKUP(Query1[[#This Row],[company_name]],'Org Mapping'!$B:$I,8,FALSE)</f>
        <v>DXC</v>
      </c>
      <c r="O898" s="30" t="str">
        <f>TEXT(Query1[[#This Row],[last_work_day]],"mmm'yy")</f>
        <v>Jan'26</v>
      </c>
    </row>
    <row r="899" spans="1:15" hidden="1" x14ac:dyDescent="0.35">
      <c r="A899" s="30" t="s">
        <v>2321</v>
      </c>
      <c r="B899" s="30" t="s">
        <v>1818</v>
      </c>
      <c r="C899" s="30" t="s">
        <v>2711</v>
      </c>
      <c r="D899">
        <v>2</v>
      </c>
      <c r="E899" s="30" t="s">
        <v>2712</v>
      </c>
      <c r="F899" s="29">
        <v>45980</v>
      </c>
      <c r="G899">
        <v>132000</v>
      </c>
      <c r="H899">
        <v>32000</v>
      </c>
      <c r="I899" s="30" t="s">
        <v>26</v>
      </c>
      <c r="J899" s="30" t="s">
        <v>569</v>
      </c>
      <c r="K899">
        <v>6</v>
      </c>
      <c r="L899" s="29">
        <v>46063</v>
      </c>
      <c r="M899" s="29">
        <v>46035</v>
      </c>
      <c r="N899" s="30" t="str">
        <f>VLOOKUP(Query1[[#This Row],[company_name]],'Org Mapping'!$B:$I,8,FALSE)</f>
        <v>(Sonia/Dikshitha)</v>
      </c>
      <c r="O899" s="30" t="str">
        <f>TEXT(Query1[[#This Row],[last_work_day]],"mmm'yy")</f>
        <v>Feb'26</v>
      </c>
    </row>
    <row r="900" spans="1:15" hidden="1" x14ac:dyDescent="0.35">
      <c r="A900" s="30" t="s">
        <v>2713</v>
      </c>
      <c r="B900" s="30" t="s">
        <v>126</v>
      </c>
      <c r="C900" s="30" t="s">
        <v>2714</v>
      </c>
      <c r="D900">
        <v>2</v>
      </c>
      <c r="E900" s="30" t="s">
        <v>2715</v>
      </c>
      <c r="F900" s="29">
        <v>45964</v>
      </c>
      <c r="G900">
        <v>127189.7</v>
      </c>
      <c r="H900">
        <v>23023.7</v>
      </c>
      <c r="I900" s="30" t="s">
        <v>26</v>
      </c>
      <c r="J900" s="30" t="s">
        <v>361</v>
      </c>
      <c r="K900">
        <v>6</v>
      </c>
      <c r="L900" s="29">
        <v>46128</v>
      </c>
      <c r="M900" s="29">
        <v>46101</v>
      </c>
      <c r="N900" s="30" t="str">
        <f>VLOOKUP(Query1[[#This Row],[company_name]],'Org Mapping'!$B:$I,8,FALSE)</f>
        <v>Prathap Sagar</v>
      </c>
      <c r="O900" s="30" t="str">
        <f>TEXT(Query1[[#This Row],[last_work_day]],"mmm'yy")</f>
        <v>Apr'26</v>
      </c>
    </row>
    <row r="901" spans="1:15" hidden="1" x14ac:dyDescent="0.35">
      <c r="A901" s="30" t="s">
        <v>551</v>
      </c>
      <c r="B901" s="30" t="s">
        <v>65</v>
      </c>
      <c r="C901" s="30" t="s">
        <v>2716</v>
      </c>
      <c r="D901">
        <v>1</v>
      </c>
      <c r="E901" s="30" t="s">
        <v>2717</v>
      </c>
      <c r="F901" s="29">
        <v>45964</v>
      </c>
      <c r="G901">
        <v>24097.5</v>
      </c>
      <c r="H901">
        <v>4097.5</v>
      </c>
      <c r="I901" s="30" t="s">
        <v>37</v>
      </c>
      <c r="J901" s="30" t="s">
        <v>544</v>
      </c>
      <c r="K901">
        <v>6</v>
      </c>
      <c r="L901" s="29">
        <v>46087</v>
      </c>
      <c r="M901" s="29">
        <v>46087</v>
      </c>
      <c r="N901" s="30" t="str">
        <f>VLOOKUP(Query1[[#This Row],[company_name]],'Org Mapping'!$B:$I,8,FALSE)</f>
        <v>UHG/Lenovo</v>
      </c>
      <c r="O901" s="30" t="str">
        <f>TEXT(Query1[[#This Row],[last_work_day]],"mmm'yy")</f>
        <v>Mar'26</v>
      </c>
    </row>
    <row r="902" spans="1:15" hidden="1" x14ac:dyDescent="0.35">
      <c r="A902" s="30" t="s">
        <v>550</v>
      </c>
      <c r="B902" s="30" t="s">
        <v>65</v>
      </c>
      <c r="C902" s="30" t="s">
        <v>764</v>
      </c>
      <c r="D902">
        <v>2</v>
      </c>
      <c r="E902" s="30" t="s">
        <v>765</v>
      </c>
      <c r="F902" s="29">
        <v>45966</v>
      </c>
      <c r="G902">
        <v>24123.919999999998</v>
      </c>
      <c r="H902">
        <v>4023.92</v>
      </c>
      <c r="I902" s="30" t="s">
        <v>26</v>
      </c>
      <c r="J902" s="30" t="s">
        <v>76</v>
      </c>
      <c r="K902">
        <v>6</v>
      </c>
      <c r="L902" s="29">
        <v>46168</v>
      </c>
      <c r="M902" s="29">
        <v>46139</v>
      </c>
      <c r="N902" s="30" t="str">
        <f>VLOOKUP(Query1[[#This Row],[company_name]],'Org Mapping'!$B:$I,8,FALSE)</f>
        <v>Jawad Ulla Khan</v>
      </c>
      <c r="O902" s="30" t="str">
        <f>TEXT(Query1[[#This Row],[last_work_day]],"mmm'yy")</f>
        <v>May'26</v>
      </c>
    </row>
    <row r="903" spans="1:15" hidden="1" x14ac:dyDescent="0.35">
      <c r="A903" s="30" t="s">
        <v>430</v>
      </c>
      <c r="B903" s="30" t="s">
        <v>65</v>
      </c>
      <c r="C903" s="30" t="s">
        <v>766</v>
      </c>
      <c r="D903">
        <v>2</v>
      </c>
      <c r="E903" s="30" t="s">
        <v>767</v>
      </c>
      <c r="F903" s="29">
        <v>45966</v>
      </c>
      <c r="G903">
        <v>70000</v>
      </c>
      <c r="H903">
        <v>14000</v>
      </c>
      <c r="I903" s="30" t="s">
        <v>37</v>
      </c>
      <c r="J903" s="30" t="s">
        <v>90</v>
      </c>
      <c r="K903">
        <v>6</v>
      </c>
      <c r="L903" s="29">
        <v>46106</v>
      </c>
      <c r="M903" s="29">
        <v>45993</v>
      </c>
      <c r="N903" s="30" t="str">
        <f>VLOOKUP(Query1[[#This Row],[company_name]],'Org Mapping'!$B:$I,8,FALSE)</f>
        <v>Jawad Ulla Khan</v>
      </c>
      <c r="O903" s="30" t="str">
        <f>TEXT(Query1[[#This Row],[last_work_day]],"mmm'yy")</f>
        <v>Mar'26</v>
      </c>
    </row>
    <row r="904" spans="1:15" hidden="1" x14ac:dyDescent="0.35">
      <c r="A904" s="30" t="s">
        <v>2689</v>
      </c>
      <c r="B904" s="30" t="s">
        <v>39</v>
      </c>
      <c r="C904" s="30" t="s">
        <v>2718</v>
      </c>
      <c r="D904">
        <v>2</v>
      </c>
      <c r="E904" s="30" t="s">
        <v>2719</v>
      </c>
      <c r="F904" s="29">
        <v>45967</v>
      </c>
      <c r="G904">
        <v>123900</v>
      </c>
      <c r="H904">
        <v>44734</v>
      </c>
      <c r="I904" s="30" t="s">
        <v>26</v>
      </c>
      <c r="J904" s="30" t="s">
        <v>40</v>
      </c>
      <c r="K904">
        <v>6</v>
      </c>
      <c r="L904" s="29">
        <v>46134</v>
      </c>
      <c r="M904" s="29">
        <v>46105</v>
      </c>
      <c r="N904" s="30" t="str">
        <f>VLOOKUP(Query1[[#This Row],[company_name]],'Org Mapping'!$B:$I,8,FALSE)</f>
        <v>Mehr Hashim</v>
      </c>
      <c r="O904" s="30" t="str">
        <f>TEXT(Query1[[#This Row],[last_work_day]],"mmm'yy")</f>
        <v>Apr'26</v>
      </c>
    </row>
    <row r="905" spans="1:15" hidden="1" x14ac:dyDescent="0.35">
      <c r="A905" s="30" t="s">
        <v>360</v>
      </c>
      <c r="B905" s="30" t="s">
        <v>65</v>
      </c>
      <c r="C905" s="30" t="s">
        <v>768</v>
      </c>
      <c r="D905">
        <v>2</v>
      </c>
      <c r="E905" s="30" t="s">
        <v>769</v>
      </c>
      <c r="F905" s="29">
        <v>45973</v>
      </c>
      <c r="G905">
        <v>80000</v>
      </c>
      <c r="H905">
        <v>16000</v>
      </c>
      <c r="I905" s="30" t="s">
        <v>26</v>
      </c>
      <c r="J905" s="30" t="s">
        <v>76</v>
      </c>
      <c r="K905">
        <v>6</v>
      </c>
      <c r="L905" s="29">
        <v>46149</v>
      </c>
      <c r="M905" s="29">
        <v>46126</v>
      </c>
      <c r="N905" s="30" t="str">
        <f>VLOOKUP(Query1[[#This Row],[company_name]],'Org Mapping'!$B:$I,8,FALSE)</f>
        <v>Jawad Ulla Khan</v>
      </c>
      <c r="O905" s="30" t="str">
        <f>TEXT(Query1[[#This Row],[last_work_day]],"mmm'yy")</f>
        <v>May'26</v>
      </c>
    </row>
    <row r="906" spans="1:15" hidden="1" x14ac:dyDescent="0.35">
      <c r="A906" s="30" t="s">
        <v>1572</v>
      </c>
      <c r="B906" s="30" t="s">
        <v>39</v>
      </c>
      <c r="C906" s="30" t="s">
        <v>2720</v>
      </c>
      <c r="D906">
        <v>2</v>
      </c>
      <c r="E906" s="30" t="s">
        <v>2721</v>
      </c>
      <c r="F906" s="29">
        <v>45967</v>
      </c>
      <c r="G906">
        <v>50000</v>
      </c>
      <c r="H906">
        <v>11667</v>
      </c>
      <c r="I906" s="30" t="s">
        <v>26</v>
      </c>
      <c r="J906" s="30" t="s">
        <v>31</v>
      </c>
      <c r="K906">
        <v>6</v>
      </c>
      <c r="L906" s="29">
        <v>46091</v>
      </c>
      <c r="M906" s="29">
        <v>46062</v>
      </c>
      <c r="N906" s="30" t="str">
        <f>VLOOKUP(Query1[[#This Row],[company_name]],'Org Mapping'!$B:$I,8,FALSE)</f>
        <v>Mehr Hashim</v>
      </c>
      <c r="O906" s="30" t="str">
        <f>TEXT(Query1[[#This Row],[last_work_day]],"mmm'yy")</f>
        <v>Mar'26</v>
      </c>
    </row>
    <row r="907" spans="1:15" hidden="1" x14ac:dyDescent="0.35">
      <c r="A907" s="30" t="s">
        <v>1572</v>
      </c>
      <c r="B907" s="30" t="s">
        <v>39</v>
      </c>
      <c r="C907" s="30" t="s">
        <v>2722</v>
      </c>
      <c r="D907">
        <v>2</v>
      </c>
      <c r="E907" s="30" t="s">
        <v>2723</v>
      </c>
      <c r="F907" s="29">
        <v>45967</v>
      </c>
      <c r="G907">
        <v>40633.33</v>
      </c>
      <c r="H907">
        <v>2300.33</v>
      </c>
      <c r="I907" s="30" t="s">
        <v>91</v>
      </c>
      <c r="J907" s="30" t="s">
        <v>31</v>
      </c>
      <c r="K907">
        <v>6</v>
      </c>
      <c r="L907" s="29">
        <v>46042</v>
      </c>
      <c r="M907" s="29">
        <v>46030</v>
      </c>
      <c r="N907" s="30" t="str">
        <f>VLOOKUP(Query1[[#This Row],[company_name]],'Org Mapping'!$B:$I,8,FALSE)</f>
        <v>Mehr Hashim</v>
      </c>
      <c r="O907" s="30" t="str">
        <f>TEXT(Query1[[#This Row],[last_work_day]],"mmm'yy")</f>
        <v>Jan'26</v>
      </c>
    </row>
    <row r="908" spans="1:15" hidden="1" x14ac:dyDescent="0.35">
      <c r="A908" s="30" t="s">
        <v>749</v>
      </c>
      <c r="B908" s="30" t="s">
        <v>65</v>
      </c>
      <c r="C908" s="30" t="s">
        <v>2724</v>
      </c>
      <c r="D908">
        <v>1</v>
      </c>
      <c r="E908" s="30" t="s">
        <v>2725</v>
      </c>
      <c r="F908" s="29">
        <v>45971</v>
      </c>
      <c r="G908">
        <v>30000</v>
      </c>
      <c r="H908">
        <v>3334</v>
      </c>
      <c r="I908" s="30" t="s">
        <v>26</v>
      </c>
      <c r="J908" s="30" t="s">
        <v>41</v>
      </c>
      <c r="K908">
        <v>6</v>
      </c>
      <c r="L908" s="29">
        <v>46099</v>
      </c>
      <c r="M908" s="29">
        <v>46080</v>
      </c>
      <c r="N908" s="30" t="str">
        <f>VLOOKUP(Query1[[#This Row],[company_name]],'Org Mapping'!$B:$I,8,FALSE)</f>
        <v>(Sonia/Dikshitha)</v>
      </c>
      <c r="O908" s="30" t="str">
        <f>TEXT(Query1[[#This Row],[last_work_day]],"mmm'yy")</f>
        <v>Mar'26</v>
      </c>
    </row>
    <row r="909" spans="1:15" hidden="1" x14ac:dyDescent="0.35">
      <c r="A909" s="30" t="s">
        <v>667</v>
      </c>
      <c r="B909" s="30" t="s">
        <v>65</v>
      </c>
      <c r="C909" s="30" t="s">
        <v>770</v>
      </c>
      <c r="D909">
        <v>2</v>
      </c>
      <c r="E909" s="30" t="s">
        <v>771</v>
      </c>
      <c r="F909" s="29">
        <v>45968</v>
      </c>
      <c r="G909">
        <v>31250</v>
      </c>
      <c r="H909">
        <v>6250</v>
      </c>
      <c r="I909" s="30" t="s">
        <v>37</v>
      </c>
      <c r="J909" s="30" t="s">
        <v>90</v>
      </c>
      <c r="K909">
        <v>6</v>
      </c>
      <c r="L909" s="29">
        <v>46122</v>
      </c>
      <c r="M909" s="29">
        <v>45993</v>
      </c>
      <c r="N909" s="30" t="str">
        <f>VLOOKUP(Query1[[#This Row],[company_name]],'Org Mapping'!$B:$I,8,FALSE)</f>
        <v>Jawad Ulla Khan</v>
      </c>
      <c r="O909" s="30" t="str">
        <f>TEXT(Query1[[#This Row],[last_work_day]],"mmm'yy")</f>
        <v>Apr'26</v>
      </c>
    </row>
    <row r="910" spans="1:15" hidden="1" x14ac:dyDescent="0.35">
      <c r="A910" s="30" t="s">
        <v>667</v>
      </c>
      <c r="B910" s="30" t="s">
        <v>65</v>
      </c>
      <c r="C910" s="30" t="s">
        <v>772</v>
      </c>
      <c r="D910">
        <v>2</v>
      </c>
      <c r="E910" s="30" t="s">
        <v>773</v>
      </c>
      <c r="F910" s="29">
        <v>45966</v>
      </c>
      <c r="G910">
        <v>70000</v>
      </c>
      <c r="H910">
        <v>14000</v>
      </c>
      <c r="I910" s="30" t="s">
        <v>37</v>
      </c>
      <c r="J910" s="30" t="s">
        <v>90</v>
      </c>
      <c r="K910">
        <v>6</v>
      </c>
      <c r="L910" s="29">
        <v>46100</v>
      </c>
      <c r="M910" s="29">
        <v>45995</v>
      </c>
      <c r="N910" s="30" t="str">
        <f>VLOOKUP(Query1[[#This Row],[company_name]],'Org Mapping'!$B:$I,8,FALSE)</f>
        <v>Jawad Ulla Khan</v>
      </c>
      <c r="O910" s="30" t="str">
        <f>TEXT(Query1[[#This Row],[last_work_day]],"mmm'yy")</f>
        <v>Mar'26</v>
      </c>
    </row>
    <row r="911" spans="1:15" hidden="1" x14ac:dyDescent="0.35">
      <c r="A911" s="30" t="s">
        <v>774</v>
      </c>
      <c r="B911" s="30" t="s">
        <v>65</v>
      </c>
      <c r="C911" s="30" t="s">
        <v>775</v>
      </c>
      <c r="D911">
        <v>2</v>
      </c>
      <c r="E911" s="30" t="s">
        <v>776</v>
      </c>
      <c r="F911" s="29">
        <v>45968</v>
      </c>
      <c r="G911">
        <v>31250</v>
      </c>
      <c r="H911">
        <v>6250</v>
      </c>
      <c r="I911" s="30" t="s">
        <v>26</v>
      </c>
      <c r="J911" s="30" t="s">
        <v>90</v>
      </c>
      <c r="K911">
        <v>6</v>
      </c>
      <c r="L911" s="29">
        <v>46118</v>
      </c>
      <c r="M911" s="29">
        <v>45993</v>
      </c>
      <c r="N911" s="30" t="str">
        <f>VLOOKUP(Query1[[#This Row],[company_name]],'Org Mapping'!$B:$I,8,FALSE)</f>
        <v>Jawad Ulla Khan</v>
      </c>
      <c r="O911" s="30" t="str">
        <f>TEXT(Query1[[#This Row],[last_work_day]],"mmm'yy")</f>
        <v>Apr'26</v>
      </c>
    </row>
    <row r="912" spans="1:15" hidden="1" x14ac:dyDescent="0.35">
      <c r="A912" s="30" t="s">
        <v>2652</v>
      </c>
      <c r="B912" s="30" t="s">
        <v>65</v>
      </c>
      <c r="C912" s="30" t="s">
        <v>2726</v>
      </c>
      <c r="D912">
        <v>1</v>
      </c>
      <c r="E912" s="30" t="s">
        <v>2727</v>
      </c>
      <c r="F912" s="29">
        <v>45971</v>
      </c>
      <c r="G912">
        <v>30000</v>
      </c>
      <c r="H912">
        <v>5000</v>
      </c>
      <c r="I912" s="30" t="s">
        <v>26</v>
      </c>
      <c r="J912" s="30" t="s">
        <v>41</v>
      </c>
      <c r="K912">
        <v>6</v>
      </c>
      <c r="L912" s="29">
        <v>46118</v>
      </c>
      <c r="M912" s="29">
        <v>46104</v>
      </c>
      <c r="N912" s="30" t="str">
        <f>VLOOKUP(Query1[[#This Row],[company_name]],'Org Mapping'!$B:$I,8,FALSE)</f>
        <v>(Sonia/Dikshitha)</v>
      </c>
      <c r="O912" s="30" t="str">
        <f>TEXT(Query1[[#This Row],[last_work_day]],"mmm'yy")</f>
        <v>Apr'26</v>
      </c>
    </row>
    <row r="913" spans="1:15" hidden="1" x14ac:dyDescent="0.35">
      <c r="A913" s="30" t="s">
        <v>151</v>
      </c>
      <c r="B913" s="30" t="s">
        <v>65</v>
      </c>
      <c r="C913" s="30" t="s">
        <v>777</v>
      </c>
      <c r="D913">
        <v>2</v>
      </c>
      <c r="E913" s="30" t="s">
        <v>778</v>
      </c>
      <c r="F913" s="29">
        <v>45968</v>
      </c>
      <c r="G913">
        <v>70000</v>
      </c>
      <c r="H913">
        <v>14000</v>
      </c>
      <c r="I913" s="30" t="s">
        <v>37</v>
      </c>
      <c r="J913" s="30" t="s">
        <v>90</v>
      </c>
      <c r="K913">
        <v>6</v>
      </c>
      <c r="L913" s="29">
        <v>46087</v>
      </c>
      <c r="M913" s="29">
        <v>45995</v>
      </c>
      <c r="N913" s="30" t="str">
        <f>VLOOKUP(Query1[[#This Row],[company_name]],'Org Mapping'!$B:$I,8,FALSE)</f>
        <v>Jawad Ulla Khan</v>
      </c>
      <c r="O913" s="30" t="str">
        <f>TEXT(Query1[[#This Row],[last_work_day]],"mmm'yy")</f>
        <v>Mar'26</v>
      </c>
    </row>
    <row r="914" spans="1:15" hidden="1" x14ac:dyDescent="0.35">
      <c r="A914" s="30" t="s">
        <v>667</v>
      </c>
      <c r="B914" s="30" t="s">
        <v>65</v>
      </c>
      <c r="C914" s="30" t="s">
        <v>779</v>
      </c>
      <c r="D914">
        <v>2</v>
      </c>
      <c r="E914" s="30" t="s">
        <v>780</v>
      </c>
      <c r="F914" s="29">
        <v>45967</v>
      </c>
      <c r="G914">
        <v>31250</v>
      </c>
      <c r="H914">
        <v>6250</v>
      </c>
      <c r="I914" s="30" t="s">
        <v>37</v>
      </c>
      <c r="J914" s="30" t="s">
        <v>90</v>
      </c>
      <c r="K914">
        <v>6</v>
      </c>
      <c r="L914" s="29">
        <v>46148</v>
      </c>
      <c r="M914" s="29">
        <v>45993</v>
      </c>
      <c r="N914" s="30" t="str">
        <f>VLOOKUP(Query1[[#This Row],[company_name]],'Org Mapping'!$B:$I,8,FALSE)</f>
        <v>Jawad Ulla Khan</v>
      </c>
      <c r="O914" s="30" t="str">
        <f>TEXT(Query1[[#This Row],[last_work_day]],"mmm'yy")</f>
        <v>May'26</v>
      </c>
    </row>
    <row r="915" spans="1:15" hidden="1" x14ac:dyDescent="0.35">
      <c r="A915" s="30" t="s">
        <v>667</v>
      </c>
      <c r="B915" s="30" t="s">
        <v>65</v>
      </c>
      <c r="C915" s="30" t="s">
        <v>781</v>
      </c>
      <c r="D915">
        <v>2</v>
      </c>
      <c r="E915" s="30" t="s">
        <v>782</v>
      </c>
      <c r="F915" s="29">
        <v>45968</v>
      </c>
      <c r="G915">
        <v>31250</v>
      </c>
      <c r="H915">
        <v>6250</v>
      </c>
      <c r="I915" s="30" t="s">
        <v>37</v>
      </c>
      <c r="J915" s="30" t="s">
        <v>90</v>
      </c>
      <c r="K915">
        <v>6</v>
      </c>
      <c r="L915" s="29">
        <v>46031</v>
      </c>
      <c r="M915" s="29">
        <v>45993</v>
      </c>
      <c r="N915" s="30" t="str">
        <f>VLOOKUP(Query1[[#This Row],[company_name]],'Org Mapping'!$B:$I,8,FALSE)</f>
        <v>Jawad Ulla Khan</v>
      </c>
      <c r="O915" s="30" t="str">
        <f>TEXT(Query1[[#This Row],[last_work_day]],"mmm'yy")</f>
        <v>Jan'26</v>
      </c>
    </row>
    <row r="916" spans="1:15" hidden="1" x14ac:dyDescent="0.35">
      <c r="A916" s="30" t="s">
        <v>430</v>
      </c>
      <c r="B916" s="30" t="s">
        <v>65</v>
      </c>
      <c r="C916" s="30" t="s">
        <v>783</v>
      </c>
      <c r="D916">
        <v>2</v>
      </c>
      <c r="E916" s="30" t="s">
        <v>784</v>
      </c>
      <c r="F916" s="29">
        <v>45971</v>
      </c>
      <c r="G916">
        <v>70000</v>
      </c>
      <c r="H916">
        <v>14000</v>
      </c>
      <c r="I916" s="30" t="s">
        <v>37</v>
      </c>
      <c r="J916" s="30" t="s">
        <v>90</v>
      </c>
      <c r="K916">
        <v>6</v>
      </c>
      <c r="L916" s="29">
        <v>46105</v>
      </c>
      <c r="M916" s="29">
        <v>45995</v>
      </c>
      <c r="N916" s="30" t="str">
        <f>VLOOKUP(Query1[[#This Row],[company_name]],'Org Mapping'!$B:$I,8,FALSE)</f>
        <v>Jawad Ulla Khan</v>
      </c>
      <c r="O916" s="30" t="str">
        <f>TEXT(Query1[[#This Row],[last_work_day]],"mmm'yy")</f>
        <v>Mar'26</v>
      </c>
    </row>
    <row r="917" spans="1:15" hidden="1" x14ac:dyDescent="0.35">
      <c r="A917" s="30" t="s">
        <v>1518</v>
      </c>
      <c r="B917" s="30" t="s">
        <v>126</v>
      </c>
      <c r="C917" s="30" t="s">
        <v>2728</v>
      </c>
      <c r="D917">
        <v>2</v>
      </c>
      <c r="E917" s="30" t="s">
        <v>2729</v>
      </c>
      <c r="F917" s="29">
        <v>45971</v>
      </c>
      <c r="G917">
        <v>207000</v>
      </c>
      <c r="H917">
        <v>65334</v>
      </c>
      <c r="I917" s="30" t="s">
        <v>37</v>
      </c>
      <c r="J917" s="30" t="s">
        <v>361</v>
      </c>
      <c r="K917">
        <v>6</v>
      </c>
      <c r="L917" s="29">
        <v>46031</v>
      </c>
      <c r="M917" s="29">
        <v>46024</v>
      </c>
      <c r="N917" s="30" t="str">
        <f>VLOOKUP(Query1[[#This Row],[company_name]],'Org Mapping'!$B:$I,8,FALSE)</f>
        <v>Prathap Sagar</v>
      </c>
      <c r="O917" s="30" t="str">
        <f>TEXT(Query1[[#This Row],[last_work_day]],"mmm'yy")</f>
        <v>Jan'26</v>
      </c>
    </row>
    <row r="918" spans="1:15" hidden="1" x14ac:dyDescent="0.35">
      <c r="A918" s="30" t="s">
        <v>481</v>
      </c>
      <c r="B918" s="30" t="s">
        <v>65</v>
      </c>
      <c r="C918" s="30" t="s">
        <v>785</v>
      </c>
      <c r="D918">
        <v>2</v>
      </c>
      <c r="E918" s="30" t="s">
        <v>786</v>
      </c>
      <c r="F918" s="29">
        <v>45971</v>
      </c>
      <c r="G918">
        <v>70000</v>
      </c>
      <c r="H918">
        <v>14000</v>
      </c>
      <c r="I918" s="30" t="s">
        <v>37</v>
      </c>
      <c r="J918" s="30" t="s">
        <v>90</v>
      </c>
      <c r="K918">
        <v>6</v>
      </c>
      <c r="L918" s="29">
        <v>46106</v>
      </c>
      <c r="M918" s="29">
        <v>45995</v>
      </c>
      <c r="N918" s="30" t="str">
        <f>VLOOKUP(Query1[[#This Row],[company_name]],'Org Mapping'!$B:$I,8,FALSE)</f>
        <v>Jawad Ulla Khan</v>
      </c>
      <c r="O918" s="30" t="str">
        <f>TEXT(Query1[[#This Row],[last_work_day]],"mmm'yy")</f>
        <v>Mar'26</v>
      </c>
    </row>
    <row r="919" spans="1:15" hidden="1" x14ac:dyDescent="0.35">
      <c r="A919" s="30" t="s">
        <v>98</v>
      </c>
      <c r="B919" s="30" t="s">
        <v>65</v>
      </c>
      <c r="C919" s="30" t="s">
        <v>23</v>
      </c>
      <c r="D919">
        <v>2</v>
      </c>
      <c r="E919" s="30" t="s">
        <v>787</v>
      </c>
      <c r="F919" s="29">
        <v>45973</v>
      </c>
      <c r="G919">
        <v>80000</v>
      </c>
      <c r="H919">
        <v>16000</v>
      </c>
      <c r="I919" s="30" t="s">
        <v>37</v>
      </c>
      <c r="J919" s="30" t="s">
        <v>76</v>
      </c>
      <c r="K919">
        <v>6</v>
      </c>
      <c r="L919" s="29">
        <v>46031</v>
      </c>
      <c r="M919" s="29">
        <v>46008</v>
      </c>
      <c r="N919" s="30" t="str">
        <f>VLOOKUP(Query1[[#This Row],[company_name]],'Org Mapping'!$B:$I,8,FALSE)</f>
        <v>Jawad Ulla Khan</v>
      </c>
      <c r="O919" s="30" t="str">
        <f>TEXT(Query1[[#This Row],[last_work_day]],"mmm'yy")</f>
        <v>Jan'26</v>
      </c>
    </row>
    <row r="920" spans="1:15" hidden="1" x14ac:dyDescent="0.35">
      <c r="A920" s="30" t="s">
        <v>668</v>
      </c>
      <c r="B920" s="30" t="s">
        <v>65</v>
      </c>
      <c r="C920" s="30" t="s">
        <v>788</v>
      </c>
      <c r="D920">
        <v>2</v>
      </c>
      <c r="E920" s="30" t="s">
        <v>789</v>
      </c>
      <c r="F920" s="29">
        <v>45974</v>
      </c>
      <c r="G920">
        <v>23718</v>
      </c>
      <c r="H920">
        <v>3618</v>
      </c>
      <c r="I920" s="30" t="s">
        <v>26</v>
      </c>
      <c r="J920" s="30" t="s">
        <v>76</v>
      </c>
      <c r="K920">
        <v>6</v>
      </c>
      <c r="L920" s="29">
        <v>46092</v>
      </c>
      <c r="M920" s="29">
        <v>46072</v>
      </c>
      <c r="N920" s="30" t="str">
        <f>VLOOKUP(Query1[[#This Row],[company_name]],'Org Mapping'!$B:$I,8,FALSE)</f>
        <v>Jawad Ulla Khan</v>
      </c>
      <c r="O920" s="30" t="str">
        <f>TEXT(Query1[[#This Row],[last_work_day]],"mmm'yy")</f>
        <v>Mar'26</v>
      </c>
    </row>
    <row r="921" spans="1:15" hidden="1" x14ac:dyDescent="0.35">
      <c r="A921" s="30" t="s">
        <v>98</v>
      </c>
      <c r="B921" s="30" t="s">
        <v>65</v>
      </c>
      <c r="C921" s="30" t="s">
        <v>790</v>
      </c>
      <c r="D921">
        <v>2</v>
      </c>
      <c r="E921" s="30" t="s">
        <v>791</v>
      </c>
      <c r="F921" s="29">
        <v>45971</v>
      </c>
      <c r="G921">
        <v>70000</v>
      </c>
      <c r="H921">
        <v>14000</v>
      </c>
      <c r="I921" s="30" t="s">
        <v>37</v>
      </c>
      <c r="J921" s="30" t="s">
        <v>90</v>
      </c>
      <c r="K921">
        <v>6</v>
      </c>
      <c r="L921" s="29">
        <v>46106</v>
      </c>
      <c r="M921" s="29">
        <v>45995</v>
      </c>
      <c r="N921" s="30" t="str">
        <f>VLOOKUP(Query1[[#This Row],[company_name]],'Org Mapping'!$B:$I,8,FALSE)</f>
        <v>Jawad Ulla Khan</v>
      </c>
      <c r="O921" s="30" t="str">
        <f>TEXT(Query1[[#This Row],[last_work_day]],"mmm'yy")</f>
        <v>Mar'26</v>
      </c>
    </row>
    <row r="922" spans="1:15" hidden="1" x14ac:dyDescent="0.35">
      <c r="A922" s="30" t="s">
        <v>774</v>
      </c>
      <c r="B922" s="30" t="s">
        <v>65</v>
      </c>
      <c r="C922" s="30" t="s">
        <v>792</v>
      </c>
      <c r="D922">
        <v>2</v>
      </c>
      <c r="E922" s="30" t="s">
        <v>793</v>
      </c>
      <c r="F922" s="29">
        <v>45972</v>
      </c>
      <c r="G922">
        <v>31250</v>
      </c>
      <c r="H922">
        <v>6250</v>
      </c>
      <c r="I922" s="30" t="s">
        <v>26</v>
      </c>
      <c r="J922" s="30" t="s">
        <v>90</v>
      </c>
      <c r="K922">
        <v>6</v>
      </c>
      <c r="L922" s="29">
        <v>46048</v>
      </c>
      <c r="M922" s="29">
        <v>46056</v>
      </c>
      <c r="N922" s="30" t="str">
        <f>VLOOKUP(Query1[[#This Row],[company_name]],'Org Mapping'!$B:$I,8,FALSE)</f>
        <v>Jawad Ulla Khan</v>
      </c>
      <c r="O922" s="30" t="str">
        <f>TEXT(Query1[[#This Row],[last_work_day]],"mmm'yy")</f>
        <v>Jan'26</v>
      </c>
    </row>
    <row r="923" spans="1:15" hidden="1" x14ac:dyDescent="0.35">
      <c r="A923" s="30" t="s">
        <v>2730</v>
      </c>
      <c r="B923" s="30" t="s">
        <v>714</v>
      </c>
      <c r="C923" s="30" t="s">
        <v>2731</v>
      </c>
      <c r="D923">
        <v>2</v>
      </c>
      <c r="E923" s="30" t="s">
        <v>2732</v>
      </c>
      <c r="F923" s="29">
        <v>45973</v>
      </c>
      <c r="G923">
        <v>151200</v>
      </c>
      <c r="H923">
        <v>34534</v>
      </c>
      <c r="I923" s="30" t="s">
        <v>21</v>
      </c>
      <c r="J923" s="30" t="s">
        <v>718</v>
      </c>
      <c r="K923">
        <v>6</v>
      </c>
      <c r="L923" s="29">
        <v>46136</v>
      </c>
      <c r="M923" s="29">
        <v>46129</v>
      </c>
      <c r="N923" s="30" t="str">
        <f>VLOOKUP(Query1[[#This Row],[company_name]],'Org Mapping'!$B:$I,8,FALSE)</f>
        <v>Prathap Sagar</v>
      </c>
      <c r="O923" s="30" t="str">
        <f>TEXT(Query1[[#This Row],[last_work_day]],"mmm'yy")</f>
        <v>Apr'26</v>
      </c>
    </row>
    <row r="924" spans="1:15" hidden="1" x14ac:dyDescent="0.35">
      <c r="A924" s="30" t="s">
        <v>481</v>
      </c>
      <c r="B924" s="30" t="s">
        <v>65</v>
      </c>
      <c r="C924" s="30" t="s">
        <v>794</v>
      </c>
      <c r="D924">
        <v>2</v>
      </c>
      <c r="E924" s="30" t="s">
        <v>795</v>
      </c>
      <c r="F924" s="29">
        <v>45975</v>
      </c>
      <c r="G924">
        <v>23718</v>
      </c>
      <c r="H924">
        <v>3618</v>
      </c>
      <c r="I924" s="30" t="s">
        <v>92</v>
      </c>
      <c r="J924" s="30" t="s">
        <v>76</v>
      </c>
      <c r="K924">
        <v>6</v>
      </c>
      <c r="L924" s="29">
        <v>46034</v>
      </c>
      <c r="M924" s="29">
        <v>46034</v>
      </c>
      <c r="N924" s="30" t="str">
        <f>VLOOKUP(Query1[[#This Row],[company_name]],'Org Mapping'!$B:$I,8,FALSE)</f>
        <v>Jawad Ulla Khan</v>
      </c>
      <c r="O924" s="30" t="str">
        <f>TEXT(Query1[[#This Row],[last_work_day]],"mmm'yy")</f>
        <v>Jan'26</v>
      </c>
    </row>
    <row r="925" spans="1:15" hidden="1" x14ac:dyDescent="0.35">
      <c r="A925" s="30" t="s">
        <v>667</v>
      </c>
      <c r="B925" s="30" t="s">
        <v>65</v>
      </c>
      <c r="C925" s="30" t="s">
        <v>796</v>
      </c>
      <c r="D925">
        <v>2</v>
      </c>
      <c r="E925" s="30" t="s">
        <v>797</v>
      </c>
      <c r="F925" s="29">
        <v>45972</v>
      </c>
      <c r="G925">
        <v>43750</v>
      </c>
      <c r="H925">
        <v>8750</v>
      </c>
      <c r="I925" s="30" t="s">
        <v>26</v>
      </c>
      <c r="J925" s="30" t="s">
        <v>90</v>
      </c>
      <c r="K925">
        <v>6</v>
      </c>
      <c r="L925" s="29">
        <v>46129</v>
      </c>
      <c r="M925" s="29">
        <v>45995</v>
      </c>
      <c r="N925" s="30" t="str">
        <f>VLOOKUP(Query1[[#This Row],[company_name]],'Org Mapping'!$B:$I,8,FALSE)</f>
        <v>Jawad Ulla Khan</v>
      </c>
      <c r="O925" s="30" t="str">
        <f>TEXT(Query1[[#This Row],[last_work_day]],"mmm'yy")</f>
        <v>Apr'26</v>
      </c>
    </row>
    <row r="926" spans="1:15" hidden="1" x14ac:dyDescent="0.35">
      <c r="A926" s="30" t="s">
        <v>2115</v>
      </c>
      <c r="B926" s="30" t="s">
        <v>446</v>
      </c>
      <c r="C926" s="30" t="s">
        <v>2733</v>
      </c>
      <c r="D926">
        <v>2</v>
      </c>
      <c r="E926" s="30" t="s">
        <v>2734</v>
      </c>
      <c r="F926" s="29">
        <v>45985</v>
      </c>
      <c r="G926">
        <v>376110</v>
      </c>
      <c r="H926">
        <v>84444</v>
      </c>
      <c r="I926" s="30" t="s">
        <v>91</v>
      </c>
      <c r="J926" s="30" t="s">
        <v>102</v>
      </c>
      <c r="K926">
        <v>6</v>
      </c>
      <c r="L926" s="29">
        <v>46038</v>
      </c>
      <c r="M926" s="29">
        <v>46030</v>
      </c>
      <c r="N926" s="30" t="str">
        <f>VLOOKUP(Query1[[#This Row],[company_name]],'Org Mapping'!$B:$I,8,FALSE)</f>
        <v>Mehr Hashim</v>
      </c>
      <c r="O926" s="30" t="str">
        <f>TEXT(Query1[[#This Row],[last_work_day]],"mmm'yy")</f>
        <v>Jan'26</v>
      </c>
    </row>
    <row r="927" spans="1:15" hidden="1" x14ac:dyDescent="0.35">
      <c r="A927" s="30" t="s">
        <v>503</v>
      </c>
      <c r="B927" s="30" t="s">
        <v>2696</v>
      </c>
      <c r="C927" s="30" t="s">
        <v>2735</v>
      </c>
      <c r="D927">
        <v>2</v>
      </c>
      <c r="E927" s="30" t="s">
        <v>2736</v>
      </c>
      <c r="F927" s="29">
        <v>45978</v>
      </c>
      <c r="G927">
        <v>104000</v>
      </c>
      <c r="H927">
        <v>29000</v>
      </c>
      <c r="I927" s="30" t="s">
        <v>16</v>
      </c>
      <c r="J927" s="30" t="s">
        <v>763</v>
      </c>
      <c r="K927">
        <v>6</v>
      </c>
      <c r="L927" s="29">
        <v>46157</v>
      </c>
      <c r="M927" s="29">
        <v>46126</v>
      </c>
      <c r="N927" s="30" t="str">
        <f>VLOOKUP(Query1[[#This Row],[company_name]],'Org Mapping'!$B:$I,8,FALSE)</f>
        <v>Anuradha</v>
      </c>
      <c r="O927" s="30" t="str">
        <f>TEXT(Query1[[#This Row],[last_work_day]],"mmm'yy")</f>
        <v>May'26</v>
      </c>
    </row>
    <row r="928" spans="1:15" hidden="1" x14ac:dyDescent="0.35">
      <c r="A928" s="30" t="s">
        <v>1565</v>
      </c>
      <c r="B928" s="30" t="s">
        <v>117</v>
      </c>
      <c r="C928" s="30" t="s">
        <v>2737</v>
      </c>
      <c r="D928">
        <v>4</v>
      </c>
      <c r="E928" s="30" t="s">
        <v>2738</v>
      </c>
      <c r="F928" s="29">
        <v>45988</v>
      </c>
      <c r="G928">
        <v>246305.42</v>
      </c>
      <c r="H928">
        <v>46305.42</v>
      </c>
      <c r="I928" s="30" t="s">
        <v>26</v>
      </c>
      <c r="J928" s="30" t="s">
        <v>118</v>
      </c>
      <c r="K928">
        <v>6</v>
      </c>
      <c r="L928" s="29">
        <v>46092</v>
      </c>
      <c r="M928" s="29">
        <v>46062</v>
      </c>
      <c r="N928" s="30" t="str">
        <f>VLOOKUP(Query1[[#This Row],[company_name]],'Org Mapping'!$B:$I,8,FALSE)</f>
        <v>DXC</v>
      </c>
      <c r="O928" s="30" t="str">
        <f>TEXT(Query1[[#This Row],[last_work_day]],"mmm'yy")</f>
        <v>Mar'26</v>
      </c>
    </row>
    <row r="929" spans="1:15" hidden="1" x14ac:dyDescent="0.35">
      <c r="A929" s="30" t="s">
        <v>555</v>
      </c>
      <c r="B929" s="30" t="s">
        <v>65</v>
      </c>
      <c r="C929" s="30" t="s">
        <v>799</v>
      </c>
      <c r="D929">
        <v>2</v>
      </c>
      <c r="E929" s="30" t="s">
        <v>800</v>
      </c>
      <c r="F929" s="29">
        <v>45987</v>
      </c>
      <c r="G929">
        <v>41300</v>
      </c>
      <c r="H929">
        <v>6300</v>
      </c>
      <c r="I929" s="30" t="s">
        <v>26</v>
      </c>
      <c r="J929" s="30" t="s">
        <v>76</v>
      </c>
      <c r="K929">
        <v>6</v>
      </c>
      <c r="L929" s="29">
        <v>46136</v>
      </c>
      <c r="M929" s="29">
        <v>46106</v>
      </c>
      <c r="N929" s="30" t="str">
        <f>VLOOKUP(Query1[[#This Row],[company_name]],'Org Mapping'!$B:$I,8,FALSE)</f>
        <v>Jawad Ulla Khan</v>
      </c>
      <c r="O929" s="30" t="str">
        <f>TEXT(Query1[[#This Row],[last_work_day]],"mmm'yy")</f>
        <v>Apr'26</v>
      </c>
    </row>
    <row r="930" spans="1:15" hidden="1" x14ac:dyDescent="0.35">
      <c r="A930" s="30" t="s">
        <v>2115</v>
      </c>
      <c r="B930" s="30" t="s">
        <v>446</v>
      </c>
      <c r="C930" s="30" t="s">
        <v>2739</v>
      </c>
      <c r="D930">
        <v>2</v>
      </c>
      <c r="E930" s="30" t="s">
        <v>2740</v>
      </c>
      <c r="F930" s="29">
        <v>45988</v>
      </c>
      <c r="G930">
        <v>488943</v>
      </c>
      <c r="H930">
        <v>47277</v>
      </c>
      <c r="I930" s="30" t="s">
        <v>26</v>
      </c>
      <c r="J930" s="30" t="s">
        <v>102</v>
      </c>
      <c r="K930">
        <v>6</v>
      </c>
      <c r="L930" s="29">
        <v>46106</v>
      </c>
      <c r="M930" s="29">
        <v>46076</v>
      </c>
      <c r="N930" s="30" t="str">
        <f>VLOOKUP(Query1[[#This Row],[company_name]],'Org Mapping'!$B:$I,8,FALSE)</f>
        <v>Mehr Hashim</v>
      </c>
      <c r="O930" s="30" t="str">
        <f>TEXT(Query1[[#This Row],[last_work_day]],"mmm'yy")</f>
        <v>Mar'26</v>
      </c>
    </row>
    <row r="931" spans="1:15" hidden="1" x14ac:dyDescent="0.35">
      <c r="A931" s="30" t="s">
        <v>1634</v>
      </c>
      <c r="B931" s="30" t="s">
        <v>117</v>
      </c>
      <c r="C931" s="30" t="s">
        <v>2741</v>
      </c>
      <c r="D931">
        <v>2</v>
      </c>
      <c r="E931" s="30" t="s">
        <v>2742</v>
      </c>
      <c r="F931" s="29">
        <v>45979</v>
      </c>
      <c r="G931">
        <v>148500</v>
      </c>
      <c r="H931">
        <v>48500</v>
      </c>
      <c r="I931" s="30" t="s">
        <v>16</v>
      </c>
      <c r="J931" s="30" t="s">
        <v>271</v>
      </c>
      <c r="K931">
        <v>6</v>
      </c>
      <c r="L931" s="29">
        <v>46094</v>
      </c>
      <c r="M931" s="29">
        <v>46069</v>
      </c>
      <c r="N931" s="30" t="str">
        <f>VLOOKUP(Query1[[#This Row],[company_name]],'Org Mapping'!$B:$I,8,FALSE)</f>
        <v>TBA</v>
      </c>
      <c r="O931" s="30" t="str">
        <f>TEXT(Query1[[#This Row],[last_work_day]],"mmm'yy")</f>
        <v>Mar'26</v>
      </c>
    </row>
    <row r="932" spans="1:15" hidden="1" x14ac:dyDescent="0.35">
      <c r="A932" s="30" t="s">
        <v>1357</v>
      </c>
      <c r="B932" s="30" t="s">
        <v>117</v>
      </c>
      <c r="C932" s="30" t="s">
        <v>2743</v>
      </c>
      <c r="D932">
        <v>2</v>
      </c>
      <c r="E932" s="30" t="s">
        <v>2744</v>
      </c>
      <c r="F932" s="29">
        <v>45985</v>
      </c>
      <c r="G932">
        <v>185000</v>
      </c>
      <c r="H932">
        <v>43334</v>
      </c>
      <c r="I932" s="30" t="s">
        <v>16</v>
      </c>
      <c r="J932" s="30" t="s">
        <v>271</v>
      </c>
      <c r="K932">
        <v>6</v>
      </c>
      <c r="L932" s="29">
        <v>46094</v>
      </c>
      <c r="M932" s="29">
        <v>46069</v>
      </c>
      <c r="N932" s="30" t="str">
        <f>VLOOKUP(Query1[[#This Row],[company_name]],'Org Mapping'!$B:$I,8,FALSE)</f>
        <v>TBA</v>
      </c>
      <c r="O932" s="30" t="str">
        <f>TEXT(Query1[[#This Row],[last_work_day]],"mmm'yy")</f>
        <v>Mar'26</v>
      </c>
    </row>
    <row r="933" spans="1:15" hidden="1" x14ac:dyDescent="0.35">
      <c r="A933" s="30" t="s">
        <v>1815</v>
      </c>
      <c r="B933" s="30" t="s">
        <v>1494</v>
      </c>
      <c r="C933" s="30" t="s">
        <v>2745</v>
      </c>
      <c r="D933">
        <v>1</v>
      </c>
      <c r="E933" s="30" t="s">
        <v>2746</v>
      </c>
      <c r="F933" s="29">
        <v>45985</v>
      </c>
      <c r="G933">
        <v>43953</v>
      </c>
      <c r="H933">
        <v>3953</v>
      </c>
      <c r="I933" s="30" t="s">
        <v>26</v>
      </c>
      <c r="J933" s="30" t="s">
        <v>120</v>
      </c>
      <c r="K933">
        <v>6</v>
      </c>
      <c r="L933" s="29">
        <v>46059</v>
      </c>
      <c r="M933" s="29">
        <v>46063</v>
      </c>
      <c r="N933" s="30" t="str">
        <f>VLOOKUP(Query1[[#This Row],[company_name]],'Org Mapping'!$B:$I,8,FALSE)</f>
        <v>Anuradha</v>
      </c>
      <c r="O933" s="30" t="str">
        <f>TEXT(Query1[[#This Row],[last_work_day]],"mmm'yy")</f>
        <v>Feb'26</v>
      </c>
    </row>
    <row r="934" spans="1:15" hidden="1" x14ac:dyDescent="0.35">
      <c r="A934" s="30" t="s">
        <v>2747</v>
      </c>
      <c r="B934" s="30" t="s">
        <v>446</v>
      </c>
      <c r="C934" s="30" t="s">
        <v>2748</v>
      </c>
      <c r="D934">
        <v>1</v>
      </c>
      <c r="E934" s="30" t="s">
        <v>2749</v>
      </c>
      <c r="F934" s="29">
        <v>45988</v>
      </c>
      <c r="G934">
        <v>413721</v>
      </c>
      <c r="H934">
        <v>105388</v>
      </c>
      <c r="I934" s="30" t="s">
        <v>37</v>
      </c>
      <c r="J934" s="30" t="s">
        <v>102</v>
      </c>
      <c r="K934">
        <v>6</v>
      </c>
      <c r="L934" s="29">
        <v>46104</v>
      </c>
      <c r="M934" s="29">
        <v>46091</v>
      </c>
      <c r="N934" s="30" t="str">
        <f>VLOOKUP(Query1[[#This Row],[company_name]],'Org Mapping'!$B:$I,8,FALSE)</f>
        <v>Mehr Hashim</v>
      </c>
      <c r="O934" s="30" t="str">
        <f>TEXT(Query1[[#This Row],[last_work_day]],"mmm'yy")</f>
        <v>Mar'26</v>
      </c>
    </row>
    <row r="935" spans="1:15" hidden="1" x14ac:dyDescent="0.35">
      <c r="A935" s="30" t="s">
        <v>360</v>
      </c>
      <c r="B935" s="30" t="s">
        <v>65</v>
      </c>
      <c r="C935" s="30" t="s">
        <v>1008</v>
      </c>
      <c r="D935">
        <v>2</v>
      </c>
      <c r="E935" s="30" t="s">
        <v>1009</v>
      </c>
      <c r="F935" s="29">
        <v>45982</v>
      </c>
      <c r="G935">
        <v>24123.919999999998</v>
      </c>
      <c r="H935">
        <v>4023.92</v>
      </c>
      <c r="I935" s="30" t="s">
        <v>91</v>
      </c>
      <c r="J935" s="30" t="s">
        <v>76</v>
      </c>
      <c r="K935">
        <v>6</v>
      </c>
      <c r="L935" s="29">
        <v>46176</v>
      </c>
      <c r="M935" s="29">
        <v>46147</v>
      </c>
      <c r="N935" s="30" t="str">
        <f>VLOOKUP(Query1[[#This Row],[company_name]],'Org Mapping'!$B:$I,8,FALSE)</f>
        <v>Jawad Ulla Khan</v>
      </c>
      <c r="O935" s="30" t="str">
        <f>TEXT(Query1[[#This Row],[last_work_day]],"mmm'yy")</f>
        <v>Jun'26</v>
      </c>
    </row>
    <row r="936" spans="1:15" hidden="1" x14ac:dyDescent="0.35">
      <c r="A936" s="30" t="s">
        <v>2750</v>
      </c>
      <c r="B936" s="30" t="s">
        <v>2450</v>
      </c>
      <c r="C936" s="30" t="s">
        <v>2751</v>
      </c>
      <c r="D936">
        <v>2</v>
      </c>
      <c r="E936" s="30" t="s">
        <v>2752</v>
      </c>
      <c r="F936" s="29">
        <v>45987</v>
      </c>
      <c r="G936">
        <v>63375</v>
      </c>
      <c r="H936">
        <v>9209</v>
      </c>
      <c r="I936" s="30" t="s">
        <v>26</v>
      </c>
      <c r="J936" s="30" t="s">
        <v>113</v>
      </c>
      <c r="K936">
        <v>6</v>
      </c>
      <c r="L936" s="29">
        <v>46077</v>
      </c>
      <c r="M936" s="29">
        <v>46067</v>
      </c>
      <c r="N936" s="30" t="str">
        <f>VLOOKUP(Query1[[#This Row],[company_name]],'Org Mapping'!$B:$I,8,FALSE)</f>
        <v>(Sonia/Dikshitha)</v>
      </c>
      <c r="O936" s="30" t="str">
        <f>TEXT(Query1[[#This Row],[last_work_day]],"mmm'yy")</f>
        <v>Feb'26</v>
      </c>
    </row>
    <row r="937" spans="1:15" hidden="1" x14ac:dyDescent="0.35">
      <c r="A937" s="30" t="s">
        <v>1357</v>
      </c>
      <c r="B937" s="30" t="s">
        <v>117</v>
      </c>
      <c r="C937" s="30" t="s">
        <v>2753</v>
      </c>
      <c r="D937">
        <v>2</v>
      </c>
      <c r="E937" s="30" t="s">
        <v>2754</v>
      </c>
      <c r="F937" s="29">
        <v>45985</v>
      </c>
      <c r="G937">
        <v>175000</v>
      </c>
      <c r="H937">
        <v>83334</v>
      </c>
      <c r="I937" s="30" t="s">
        <v>16</v>
      </c>
      <c r="J937" s="30" t="s">
        <v>271</v>
      </c>
      <c r="K937">
        <v>6</v>
      </c>
      <c r="L937" s="29">
        <v>46094</v>
      </c>
      <c r="M937" s="29">
        <v>46069</v>
      </c>
      <c r="N937" s="30" t="str">
        <f>VLOOKUP(Query1[[#This Row],[company_name]],'Org Mapping'!$B:$I,8,FALSE)</f>
        <v>TBA</v>
      </c>
      <c r="O937" s="30" t="str">
        <f>TEXT(Query1[[#This Row],[last_work_day]],"mmm'yy")</f>
        <v>Mar'26</v>
      </c>
    </row>
    <row r="938" spans="1:15" hidden="1" x14ac:dyDescent="0.35">
      <c r="A938" s="30" t="s">
        <v>1554</v>
      </c>
      <c r="B938" s="30" t="s">
        <v>126</v>
      </c>
      <c r="C938" s="30" t="s">
        <v>2755</v>
      </c>
      <c r="D938">
        <v>7</v>
      </c>
      <c r="E938" s="30" t="s">
        <v>2756</v>
      </c>
      <c r="F938" s="29">
        <v>45987</v>
      </c>
      <c r="G938">
        <v>50964.65</v>
      </c>
      <c r="H938">
        <v>50964.65</v>
      </c>
      <c r="I938" s="30" t="s">
        <v>26</v>
      </c>
      <c r="J938" s="30" t="s">
        <v>28</v>
      </c>
      <c r="K938">
        <v>6</v>
      </c>
      <c r="L938" s="29">
        <v>46127</v>
      </c>
      <c r="M938" s="29">
        <v>46150</v>
      </c>
      <c r="N938" s="30" t="str">
        <f>VLOOKUP(Query1[[#This Row],[company_name]],'Org Mapping'!$B:$I,8,FALSE)</f>
        <v>TBA</v>
      </c>
      <c r="O938" s="30" t="str">
        <f>TEXT(Query1[[#This Row],[last_work_day]],"mmm'yy")</f>
        <v>Apr'26</v>
      </c>
    </row>
    <row r="939" spans="1:15" hidden="1" x14ac:dyDescent="0.35">
      <c r="A939" s="30" t="s">
        <v>1518</v>
      </c>
      <c r="B939" s="30" t="s">
        <v>126</v>
      </c>
      <c r="C939" s="30" t="s">
        <v>2757</v>
      </c>
      <c r="D939">
        <v>2</v>
      </c>
      <c r="E939" s="30" t="s">
        <v>2758</v>
      </c>
      <c r="F939" s="29">
        <v>45988</v>
      </c>
      <c r="G939">
        <v>264990</v>
      </c>
      <c r="H939">
        <v>39990</v>
      </c>
      <c r="I939" s="30" t="s">
        <v>91</v>
      </c>
      <c r="J939" s="30" t="s">
        <v>361</v>
      </c>
      <c r="K939">
        <v>6</v>
      </c>
      <c r="L939" s="29">
        <v>46107</v>
      </c>
      <c r="M939" s="29">
        <v>46078</v>
      </c>
      <c r="N939" s="30" t="str">
        <f>VLOOKUP(Query1[[#This Row],[company_name]],'Org Mapping'!$B:$I,8,FALSE)</f>
        <v>Prathap Sagar</v>
      </c>
      <c r="O939" s="30" t="str">
        <f>TEXT(Query1[[#This Row],[last_work_day]],"mmm'yy")</f>
        <v>Mar'26</v>
      </c>
    </row>
    <row r="940" spans="1:15" hidden="1" x14ac:dyDescent="0.35">
      <c r="A940" s="30" t="s">
        <v>390</v>
      </c>
      <c r="B940" s="30" t="s">
        <v>65</v>
      </c>
      <c r="C940" s="30" t="s">
        <v>801</v>
      </c>
      <c r="D940">
        <v>2</v>
      </c>
      <c r="E940" s="30" t="s">
        <v>802</v>
      </c>
      <c r="F940" s="29">
        <v>45986</v>
      </c>
      <c r="G940">
        <v>23718</v>
      </c>
      <c r="H940">
        <v>3618</v>
      </c>
      <c r="I940" s="30" t="s">
        <v>91</v>
      </c>
      <c r="J940" s="30" t="s">
        <v>76</v>
      </c>
      <c r="K940">
        <v>6</v>
      </c>
      <c r="L940" s="29">
        <v>46141</v>
      </c>
      <c r="M940" s="29">
        <v>46135</v>
      </c>
      <c r="N940" s="30" t="str">
        <f>VLOOKUP(Query1[[#This Row],[company_name]],'Org Mapping'!$B:$I,8,FALSE)</f>
        <v>Jawad Ulla Khan</v>
      </c>
      <c r="O940" s="30" t="str">
        <f>TEXT(Query1[[#This Row],[last_work_day]],"mmm'yy")</f>
        <v>Apr'26</v>
      </c>
    </row>
    <row r="941" spans="1:15" hidden="1" x14ac:dyDescent="0.35">
      <c r="A941" s="30" t="s">
        <v>1464</v>
      </c>
      <c r="B941" s="30" t="s">
        <v>39</v>
      </c>
      <c r="C941" s="30" t="s">
        <v>2759</v>
      </c>
      <c r="D941">
        <v>2</v>
      </c>
      <c r="E941" s="30" t="s">
        <v>2760</v>
      </c>
      <c r="F941" s="29">
        <v>45989</v>
      </c>
      <c r="G941">
        <v>285600</v>
      </c>
      <c r="H941">
        <v>110600</v>
      </c>
      <c r="I941" s="30" t="s">
        <v>16</v>
      </c>
      <c r="J941" s="30" t="s">
        <v>49</v>
      </c>
      <c r="K941">
        <v>6</v>
      </c>
      <c r="L941" s="29">
        <v>46105</v>
      </c>
      <c r="M941" s="29">
        <v>46079</v>
      </c>
      <c r="N941" s="30" t="str">
        <f>VLOOKUP(Query1[[#This Row],[company_name]],'Org Mapping'!$B:$I,8,FALSE)</f>
        <v>Mehr Hashim</v>
      </c>
      <c r="O941" s="30" t="str">
        <f>TEXT(Query1[[#This Row],[last_work_day]],"mmm'yy")</f>
        <v>Mar'26</v>
      </c>
    </row>
    <row r="942" spans="1:15" hidden="1" x14ac:dyDescent="0.35">
      <c r="A942" s="30" t="s">
        <v>1450</v>
      </c>
      <c r="B942" s="30" t="s">
        <v>714</v>
      </c>
      <c r="C942" s="30" t="s">
        <v>2761</v>
      </c>
      <c r="D942">
        <v>2</v>
      </c>
      <c r="E942" s="30" t="s">
        <v>2762</v>
      </c>
      <c r="F942" s="29">
        <v>45987</v>
      </c>
      <c r="G942">
        <v>217200</v>
      </c>
      <c r="H942">
        <v>33867</v>
      </c>
      <c r="I942" s="30" t="s">
        <v>91</v>
      </c>
      <c r="J942" s="30" t="s">
        <v>494</v>
      </c>
      <c r="K942">
        <v>6</v>
      </c>
      <c r="L942" s="29">
        <v>46059</v>
      </c>
      <c r="M942" s="29">
        <v>46059</v>
      </c>
      <c r="N942" s="30" t="str">
        <f>VLOOKUP(Query1[[#This Row],[company_name]],'Org Mapping'!$B:$I,8,FALSE)</f>
        <v>Prathap Sagar</v>
      </c>
      <c r="O942" s="30" t="str">
        <f>TEXT(Query1[[#This Row],[last_work_day]],"mmm'yy")</f>
        <v>Feb'26</v>
      </c>
    </row>
    <row r="943" spans="1:15" hidden="1" x14ac:dyDescent="0.35">
      <c r="A943" s="30" t="s">
        <v>749</v>
      </c>
      <c r="B943" s="30" t="s">
        <v>89</v>
      </c>
      <c r="C943" s="30" t="s">
        <v>2763</v>
      </c>
      <c r="D943">
        <v>1</v>
      </c>
      <c r="E943" s="30" t="s">
        <v>2764</v>
      </c>
      <c r="F943" s="29">
        <v>45986</v>
      </c>
      <c r="G943">
        <v>25882.5</v>
      </c>
      <c r="H943">
        <v>5882.5</v>
      </c>
      <c r="I943" s="30" t="s">
        <v>37</v>
      </c>
      <c r="J943" s="30" t="s">
        <v>544</v>
      </c>
      <c r="K943">
        <v>6</v>
      </c>
      <c r="L943" s="29">
        <v>46096</v>
      </c>
      <c r="M943" s="29">
        <v>46070</v>
      </c>
      <c r="N943" s="30" t="str">
        <f>VLOOKUP(Query1[[#This Row],[company_name]],'Org Mapping'!$B:$I,8,FALSE)</f>
        <v>UHG/Lenovo</v>
      </c>
      <c r="O943" s="30" t="str">
        <f>TEXT(Query1[[#This Row],[last_work_day]],"mmm'yy")</f>
        <v>Mar'26</v>
      </c>
    </row>
    <row r="944" spans="1:15" hidden="1" x14ac:dyDescent="0.35">
      <c r="A944" s="30" t="s">
        <v>555</v>
      </c>
      <c r="B944" s="30" t="s">
        <v>89</v>
      </c>
      <c r="C944" s="30" t="s">
        <v>803</v>
      </c>
      <c r="D944">
        <v>2</v>
      </c>
      <c r="E944" s="30" t="s">
        <v>804</v>
      </c>
      <c r="F944" s="29">
        <v>45989</v>
      </c>
      <c r="G944">
        <v>29500</v>
      </c>
      <c r="H944">
        <v>4500</v>
      </c>
      <c r="I944" s="30" t="s">
        <v>92</v>
      </c>
      <c r="J944" s="30" t="s">
        <v>76</v>
      </c>
      <c r="K944">
        <v>6</v>
      </c>
      <c r="L944" s="29">
        <v>46028</v>
      </c>
      <c r="M944" s="29">
        <v>46024</v>
      </c>
      <c r="N944" s="30" t="str">
        <f>VLOOKUP(Query1[[#This Row],[company_name]],'Org Mapping'!$B:$I,8,FALSE)</f>
        <v>Jawad Ulla Khan</v>
      </c>
      <c r="O944" s="30" t="str">
        <f>TEXT(Query1[[#This Row],[last_work_day]],"mmm'yy")</f>
        <v>Jan'26</v>
      </c>
    </row>
    <row r="945" spans="1:15" hidden="1" x14ac:dyDescent="0.35">
      <c r="A945" s="30" t="s">
        <v>2765</v>
      </c>
      <c r="B945" s="30" t="s">
        <v>446</v>
      </c>
      <c r="C945" s="30" t="s">
        <v>2766</v>
      </c>
      <c r="D945">
        <v>1</v>
      </c>
      <c r="E945" s="30" t="s">
        <v>2767</v>
      </c>
      <c r="F945" s="29">
        <v>46002</v>
      </c>
      <c r="G945">
        <v>234024</v>
      </c>
      <c r="H945">
        <v>121524</v>
      </c>
      <c r="I945" s="30" t="s">
        <v>91</v>
      </c>
      <c r="J945" s="30" t="s">
        <v>102</v>
      </c>
      <c r="K945">
        <v>6</v>
      </c>
      <c r="L945" s="29">
        <v>46059</v>
      </c>
      <c r="M945" s="29">
        <v>46049</v>
      </c>
      <c r="N945" s="30" t="str">
        <f>VLOOKUP(Query1[[#This Row],[company_name]],'Org Mapping'!$B:$I,8,FALSE)</f>
        <v>Mehr Hashim</v>
      </c>
      <c r="O945" s="30" t="str">
        <f>TEXT(Query1[[#This Row],[last_work_day]],"mmm'yy")</f>
        <v>Feb'26</v>
      </c>
    </row>
    <row r="946" spans="1:15" hidden="1" x14ac:dyDescent="0.35">
      <c r="A946" s="30" t="s">
        <v>553</v>
      </c>
      <c r="B946" s="30" t="s">
        <v>89</v>
      </c>
      <c r="C946" s="30" t="s">
        <v>805</v>
      </c>
      <c r="D946">
        <v>2</v>
      </c>
      <c r="E946" s="30" t="s">
        <v>806</v>
      </c>
      <c r="F946" s="29">
        <v>45989</v>
      </c>
      <c r="G946">
        <v>29500</v>
      </c>
      <c r="H946">
        <v>4500</v>
      </c>
      <c r="I946" s="30" t="s">
        <v>92</v>
      </c>
      <c r="J946" s="30" t="s">
        <v>76</v>
      </c>
      <c r="K946">
        <v>6</v>
      </c>
      <c r="L946" s="29">
        <v>46028</v>
      </c>
      <c r="M946" s="29">
        <v>46024</v>
      </c>
      <c r="N946" s="30" t="str">
        <f>VLOOKUP(Query1[[#This Row],[company_name]],'Org Mapping'!$B:$I,8,FALSE)</f>
        <v>Jawad Ulla Khan</v>
      </c>
      <c r="O946" s="30" t="str">
        <f>TEXT(Query1[[#This Row],[last_work_day]],"mmm'yy")</f>
        <v>Jan'26</v>
      </c>
    </row>
    <row r="947" spans="1:15" hidden="1" x14ac:dyDescent="0.35">
      <c r="A947" s="30" t="s">
        <v>1554</v>
      </c>
      <c r="B947" s="30" t="s">
        <v>126</v>
      </c>
      <c r="C947" s="30" t="s">
        <v>2768</v>
      </c>
      <c r="D947">
        <v>2</v>
      </c>
      <c r="E947" s="30" t="s">
        <v>2769</v>
      </c>
      <c r="F947" s="29">
        <v>45988</v>
      </c>
      <c r="G947">
        <v>156000</v>
      </c>
      <c r="H947">
        <v>60167</v>
      </c>
      <c r="I947" s="30" t="s">
        <v>91</v>
      </c>
      <c r="J947" s="30" t="s">
        <v>361</v>
      </c>
      <c r="K947">
        <v>6</v>
      </c>
      <c r="L947" s="29">
        <v>46073</v>
      </c>
      <c r="M947" s="29">
        <v>46050</v>
      </c>
      <c r="N947" s="30" t="str">
        <f>VLOOKUP(Query1[[#This Row],[company_name]],'Org Mapping'!$B:$I,8,FALSE)</f>
        <v>Prathap Sagar</v>
      </c>
      <c r="O947" s="30" t="str">
        <f>TEXT(Query1[[#This Row],[last_work_day]],"mmm'yy")</f>
        <v>Feb'26</v>
      </c>
    </row>
    <row r="948" spans="1:15" hidden="1" x14ac:dyDescent="0.35">
      <c r="A948" s="30" t="s">
        <v>2770</v>
      </c>
      <c r="B948" s="30" t="s">
        <v>1628</v>
      </c>
      <c r="C948" s="30" t="s">
        <v>2771</v>
      </c>
      <c r="D948">
        <v>4</v>
      </c>
      <c r="E948" s="30" t="s">
        <v>2772</v>
      </c>
      <c r="F948" s="29">
        <v>45989</v>
      </c>
      <c r="G948">
        <v>318750</v>
      </c>
      <c r="H948">
        <v>18750</v>
      </c>
      <c r="I948" s="30" t="s">
        <v>1279</v>
      </c>
      <c r="J948" s="30" t="s">
        <v>524</v>
      </c>
      <c r="K948">
        <v>6</v>
      </c>
      <c r="L948" s="29">
        <v>46033</v>
      </c>
      <c r="M948" s="29">
        <v>46042</v>
      </c>
      <c r="N948" s="30" t="str">
        <f>VLOOKUP(Query1[[#This Row],[company_name]],'Org Mapping'!$B:$I,8,FALSE)</f>
        <v>Sadhna Shukla</v>
      </c>
      <c r="O948" s="30" t="str">
        <f>TEXT(Query1[[#This Row],[last_work_day]],"mmm'yy")</f>
        <v>Jan'26</v>
      </c>
    </row>
    <row r="949" spans="1:15" hidden="1" x14ac:dyDescent="0.35">
      <c r="A949" s="30" t="s">
        <v>2773</v>
      </c>
      <c r="B949" s="30" t="s">
        <v>2450</v>
      </c>
      <c r="C949" s="30" t="s">
        <v>2774</v>
      </c>
      <c r="D949">
        <v>2</v>
      </c>
      <c r="E949" s="30" t="s">
        <v>2775</v>
      </c>
      <c r="F949" s="29">
        <v>45989</v>
      </c>
      <c r="G949">
        <v>122000</v>
      </c>
      <c r="H949">
        <v>22000</v>
      </c>
      <c r="I949" s="30" t="s">
        <v>16</v>
      </c>
      <c r="J949" s="30" t="s">
        <v>113</v>
      </c>
      <c r="K949">
        <v>6</v>
      </c>
      <c r="L949" s="29">
        <v>46030</v>
      </c>
      <c r="M949" s="29">
        <v>46044</v>
      </c>
      <c r="N949" s="30" t="str">
        <f>VLOOKUP(Query1[[#This Row],[company_name]],'Org Mapping'!$B:$I,8,FALSE)</f>
        <v>(Sonia/Dikshitha)</v>
      </c>
      <c r="O949" s="30" t="str">
        <f>TEXT(Query1[[#This Row],[last_work_day]],"mmm'yy")</f>
        <v>Jan'26</v>
      </c>
    </row>
    <row r="950" spans="1:15" hidden="1" x14ac:dyDescent="0.35">
      <c r="A950" s="30" t="s">
        <v>555</v>
      </c>
      <c r="B950" s="30" t="s">
        <v>89</v>
      </c>
      <c r="C950" s="30" t="s">
        <v>807</v>
      </c>
      <c r="D950">
        <v>2</v>
      </c>
      <c r="E950" s="30" t="s">
        <v>808</v>
      </c>
      <c r="F950" s="29">
        <v>45993</v>
      </c>
      <c r="G950">
        <v>59000</v>
      </c>
      <c r="H950">
        <v>9000</v>
      </c>
      <c r="I950" s="30" t="s">
        <v>92</v>
      </c>
      <c r="J950" s="30" t="s">
        <v>76</v>
      </c>
      <c r="K950">
        <v>6</v>
      </c>
      <c r="L950" s="29">
        <v>46063</v>
      </c>
      <c r="M950" s="29">
        <v>46063</v>
      </c>
      <c r="N950" s="30" t="str">
        <f>VLOOKUP(Query1[[#This Row],[company_name]],'Org Mapping'!$B:$I,8,FALSE)</f>
        <v>Jawad Ulla Khan</v>
      </c>
      <c r="O950" s="30" t="str">
        <f>TEXT(Query1[[#This Row],[last_work_day]],"mmm'yy")</f>
        <v>Feb'26</v>
      </c>
    </row>
    <row r="951" spans="1:15" hidden="1" x14ac:dyDescent="0.35">
      <c r="A951" s="30" t="s">
        <v>1411</v>
      </c>
      <c r="B951" s="30" t="s">
        <v>39</v>
      </c>
      <c r="C951" s="30" t="s">
        <v>2776</v>
      </c>
      <c r="D951">
        <v>2</v>
      </c>
      <c r="E951" s="30" t="s">
        <v>2777</v>
      </c>
      <c r="F951" s="29">
        <v>45995</v>
      </c>
      <c r="G951">
        <v>263424</v>
      </c>
      <c r="H951">
        <v>80091</v>
      </c>
      <c r="I951" s="30" t="s">
        <v>26</v>
      </c>
      <c r="J951" s="30" t="s">
        <v>49</v>
      </c>
      <c r="K951">
        <v>6</v>
      </c>
      <c r="L951" s="29">
        <v>46161</v>
      </c>
      <c r="M951" s="29">
        <v>46134</v>
      </c>
      <c r="N951" s="30" t="str">
        <f>VLOOKUP(Query1[[#This Row],[company_name]],'Org Mapping'!$B:$I,8,FALSE)</f>
        <v>Mehr Hashim</v>
      </c>
      <c r="O951" s="30" t="str">
        <f>TEXT(Query1[[#This Row],[last_work_day]],"mmm'yy")</f>
        <v>May'26</v>
      </c>
    </row>
    <row r="952" spans="1:15" hidden="1" x14ac:dyDescent="0.35">
      <c r="A952" s="30" t="s">
        <v>1411</v>
      </c>
      <c r="B952" s="30" t="s">
        <v>39</v>
      </c>
      <c r="C952" s="30" t="s">
        <v>2778</v>
      </c>
      <c r="D952">
        <v>2</v>
      </c>
      <c r="E952" s="30" t="s">
        <v>2779</v>
      </c>
      <c r="F952" s="29">
        <v>45995</v>
      </c>
      <c r="G952">
        <v>305000</v>
      </c>
      <c r="H952">
        <v>5000</v>
      </c>
      <c r="I952" s="30" t="s">
        <v>16</v>
      </c>
      <c r="J952" s="30" t="s">
        <v>40</v>
      </c>
      <c r="K952">
        <v>6</v>
      </c>
      <c r="L952" s="29">
        <v>46044</v>
      </c>
      <c r="M952" s="29">
        <v>46041</v>
      </c>
      <c r="N952" s="30" t="str">
        <f>VLOOKUP(Query1[[#This Row],[company_name]],'Org Mapping'!$B:$I,8,FALSE)</f>
        <v>Mehr Hashim</v>
      </c>
      <c r="O952" s="30" t="str">
        <f>TEXT(Query1[[#This Row],[last_work_day]],"mmm'yy")</f>
        <v>Jan'26</v>
      </c>
    </row>
    <row r="953" spans="1:15" hidden="1" x14ac:dyDescent="0.35">
      <c r="A953" s="30" t="s">
        <v>89</v>
      </c>
      <c r="B953" s="30" t="s">
        <v>89</v>
      </c>
      <c r="C953" s="30" t="s">
        <v>2780</v>
      </c>
      <c r="D953">
        <v>2</v>
      </c>
      <c r="E953" s="30" t="s">
        <v>2781</v>
      </c>
      <c r="F953" s="29">
        <v>45992</v>
      </c>
      <c r="G953">
        <v>42500</v>
      </c>
      <c r="H953">
        <v>5000</v>
      </c>
      <c r="I953" s="30" t="s">
        <v>26</v>
      </c>
      <c r="J953" s="30" t="s">
        <v>66</v>
      </c>
      <c r="K953">
        <v>6</v>
      </c>
      <c r="L953" s="29">
        <v>46034</v>
      </c>
      <c r="M953" s="29">
        <v>46063</v>
      </c>
      <c r="N953" s="30" t="str">
        <f>VLOOKUP(Query1[[#This Row],[company_name]],'Org Mapping'!$B:$I,8,FALSE)</f>
        <v>Jawad Ulla Khan</v>
      </c>
      <c r="O953" s="30" t="str">
        <f>TEXT(Query1[[#This Row],[last_work_day]],"mmm'yy")</f>
        <v>Jan'26</v>
      </c>
    </row>
    <row r="954" spans="1:15" hidden="1" x14ac:dyDescent="0.35">
      <c r="A954" s="30" t="s">
        <v>2143</v>
      </c>
      <c r="B954" s="30" t="s">
        <v>1544</v>
      </c>
      <c r="C954" s="30" t="s">
        <v>2782</v>
      </c>
      <c r="D954">
        <v>2</v>
      </c>
      <c r="E954" s="30" t="s">
        <v>2783</v>
      </c>
      <c r="F954" s="29">
        <v>45994</v>
      </c>
      <c r="G954">
        <v>192000</v>
      </c>
      <c r="H954">
        <v>67000</v>
      </c>
      <c r="I954" s="30" t="s">
        <v>37</v>
      </c>
      <c r="J954" s="30" t="s">
        <v>494</v>
      </c>
      <c r="K954">
        <v>6</v>
      </c>
      <c r="L954" s="29">
        <v>46101</v>
      </c>
      <c r="M954" s="29">
        <v>46118</v>
      </c>
      <c r="N954" s="30" t="str">
        <f>VLOOKUP(Query1[[#This Row],[company_name]],'Org Mapping'!$B:$I,8,FALSE)</f>
        <v>Prathap Sagar</v>
      </c>
      <c r="O954" s="30" t="str">
        <f>TEXT(Query1[[#This Row],[last_work_day]],"mmm'yy")</f>
        <v>Mar'26</v>
      </c>
    </row>
    <row r="955" spans="1:15" hidden="1" x14ac:dyDescent="0.35">
      <c r="A955" s="30" t="s">
        <v>2115</v>
      </c>
      <c r="B955" s="30" t="s">
        <v>446</v>
      </c>
      <c r="C955" s="30" t="s">
        <v>2784</v>
      </c>
      <c r="D955">
        <v>4</v>
      </c>
      <c r="E955" s="30" t="s">
        <v>2785</v>
      </c>
      <c r="F955" s="29">
        <v>46010</v>
      </c>
      <c r="G955">
        <v>267456</v>
      </c>
      <c r="H955">
        <v>50790</v>
      </c>
      <c r="I955" s="30" t="s">
        <v>37</v>
      </c>
      <c r="J955" s="30" t="s">
        <v>102</v>
      </c>
      <c r="K955">
        <v>6</v>
      </c>
      <c r="L955" s="29">
        <v>46073</v>
      </c>
      <c r="M955" s="29">
        <v>46057</v>
      </c>
      <c r="N955" s="30" t="str">
        <f>VLOOKUP(Query1[[#This Row],[company_name]],'Org Mapping'!$B:$I,8,FALSE)</f>
        <v>Mehr Hashim</v>
      </c>
      <c r="O955" s="30" t="str">
        <f>TEXT(Query1[[#This Row],[last_work_day]],"mmm'yy")</f>
        <v>Feb'26</v>
      </c>
    </row>
    <row r="956" spans="1:15" hidden="1" x14ac:dyDescent="0.35">
      <c r="A956" s="30" t="s">
        <v>481</v>
      </c>
      <c r="B956" s="30" t="s">
        <v>89</v>
      </c>
      <c r="C956" s="30" t="s">
        <v>2786</v>
      </c>
      <c r="D956">
        <v>1</v>
      </c>
      <c r="E956" s="30" t="s">
        <v>2787</v>
      </c>
      <c r="F956" s="29">
        <v>45992</v>
      </c>
      <c r="G956">
        <v>25882.5</v>
      </c>
      <c r="H956">
        <v>5882.5</v>
      </c>
      <c r="I956" s="30" t="s">
        <v>37</v>
      </c>
      <c r="J956" s="30" t="s">
        <v>544</v>
      </c>
      <c r="K956">
        <v>6</v>
      </c>
      <c r="L956" s="29">
        <v>46096</v>
      </c>
      <c r="M956" s="29">
        <v>46070</v>
      </c>
      <c r="N956" s="30" t="str">
        <f>VLOOKUP(Query1[[#This Row],[company_name]],'Org Mapping'!$B:$I,8,FALSE)</f>
        <v>UHG/Lenovo</v>
      </c>
      <c r="O956" s="30" t="str">
        <f>TEXT(Query1[[#This Row],[last_work_day]],"mmm'yy")</f>
        <v>Mar'26</v>
      </c>
    </row>
    <row r="957" spans="1:15" hidden="1" x14ac:dyDescent="0.35">
      <c r="A957" s="30" t="s">
        <v>809</v>
      </c>
      <c r="B957" s="30" t="s">
        <v>43</v>
      </c>
      <c r="C957" s="30" t="s">
        <v>810</v>
      </c>
      <c r="D957">
        <v>6</v>
      </c>
      <c r="E957" s="30" t="s">
        <v>811</v>
      </c>
      <c r="F957" s="29">
        <v>46006</v>
      </c>
      <c r="G957">
        <v>53625</v>
      </c>
      <c r="H957">
        <v>7792</v>
      </c>
      <c r="I957" s="30" t="s">
        <v>26</v>
      </c>
      <c r="J957" s="30" t="s">
        <v>17</v>
      </c>
      <c r="K957">
        <v>6</v>
      </c>
      <c r="L957" s="29">
        <v>46043</v>
      </c>
      <c r="M957" s="29">
        <v>46043</v>
      </c>
      <c r="N957" s="30" t="str">
        <f>VLOOKUP(Query1[[#This Row],[company_name]],'Org Mapping'!$B:$I,8,FALSE)</f>
        <v>Jawad Ulla Khan</v>
      </c>
      <c r="O957" s="30" t="str">
        <f>TEXT(Query1[[#This Row],[last_work_day]],"mmm'yy")</f>
        <v>Jan'26</v>
      </c>
    </row>
    <row r="958" spans="1:15" hidden="1" x14ac:dyDescent="0.35">
      <c r="A958" s="30" t="s">
        <v>752</v>
      </c>
      <c r="B958" s="30" t="s">
        <v>812</v>
      </c>
      <c r="C958" s="30" t="s">
        <v>2788</v>
      </c>
      <c r="D958">
        <v>1</v>
      </c>
      <c r="E958" s="30" t="s">
        <v>2789</v>
      </c>
      <c r="F958" s="29">
        <v>45994</v>
      </c>
      <c r="G958">
        <v>25882.5</v>
      </c>
      <c r="H958">
        <v>5882.5</v>
      </c>
      <c r="I958" s="30" t="s">
        <v>37</v>
      </c>
      <c r="J958" s="30" t="s">
        <v>544</v>
      </c>
      <c r="K958">
        <v>6</v>
      </c>
      <c r="L958" s="29">
        <v>46096</v>
      </c>
      <c r="M958" s="29">
        <v>46070</v>
      </c>
      <c r="N958" s="30" t="str">
        <f>VLOOKUP(Query1[[#This Row],[company_name]],'Org Mapping'!$B:$I,8,FALSE)</f>
        <v>UHG/Lenovo</v>
      </c>
      <c r="O958" s="30" t="str">
        <f>TEXT(Query1[[#This Row],[last_work_day]],"mmm'yy")</f>
        <v>Mar'26</v>
      </c>
    </row>
    <row r="959" spans="1:15" hidden="1" x14ac:dyDescent="0.35">
      <c r="A959" s="30" t="s">
        <v>360</v>
      </c>
      <c r="B959" s="30" t="s">
        <v>89</v>
      </c>
      <c r="C959" s="30" t="s">
        <v>813</v>
      </c>
      <c r="D959">
        <v>2</v>
      </c>
      <c r="E959" s="30" t="s">
        <v>814</v>
      </c>
      <c r="F959" s="29">
        <v>46006</v>
      </c>
      <c r="G959">
        <v>80000</v>
      </c>
      <c r="H959">
        <v>16000</v>
      </c>
      <c r="I959" s="30" t="s">
        <v>545</v>
      </c>
      <c r="J959" s="30" t="s">
        <v>76</v>
      </c>
      <c r="K959">
        <v>6</v>
      </c>
      <c r="L959" s="29">
        <v>46129</v>
      </c>
      <c r="M959" s="29">
        <v>46125</v>
      </c>
      <c r="N959" s="30" t="str">
        <f>VLOOKUP(Query1[[#This Row],[company_name]],'Org Mapping'!$B:$I,8,FALSE)</f>
        <v>Jawad Ulla Khan</v>
      </c>
      <c r="O959" s="30" t="str">
        <f>TEXT(Query1[[#This Row],[last_work_day]],"mmm'yy")</f>
        <v>Apr'26</v>
      </c>
    </row>
    <row r="960" spans="1:15" hidden="1" x14ac:dyDescent="0.35">
      <c r="A960" s="30" t="s">
        <v>557</v>
      </c>
      <c r="B960" s="30" t="s">
        <v>89</v>
      </c>
      <c r="C960" s="30" t="s">
        <v>815</v>
      </c>
      <c r="D960">
        <v>2</v>
      </c>
      <c r="E960" s="30" t="s">
        <v>816</v>
      </c>
      <c r="F960" s="29">
        <v>46001</v>
      </c>
      <c r="G960">
        <v>23718</v>
      </c>
      <c r="H960">
        <v>3618</v>
      </c>
      <c r="I960" s="30" t="s">
        <v>545</v>
      </c>
      <c r="J960" s="30" t="s">
        <v>76</v>
      </c>
      <c r="K960">
        <v>6</v>
      </c>
      <c r="L960" s="29">
        <v>46153</v>
      </c>
      <c r="M960" s="29">
        <v>46126</v>
      </c>
      <c r="N960" s="30" t="str">
        <f>VLOOKUP(Query1[[#This Row],[company_name]],'Org Mapping'!$B:$I,8,FALSE)</f>
        <v>Jawad Ulla Khan</v>
      </c>
      <c r="O960" s="30" t="str">
        <f>TEXT(Query1[[#This Row],[last_work_day]],"mmm'yy")</f>
        <v>May'26</v>
      </c>
    </row>
    <row r="961" spans="1:15" hidden="1" x14ac:dyDescent="0.35">
      <c r="A961" s="30" t="s">
        <v>817</v>
      </c>
      <c r="B961" s="30" t="s">
        <v>812</v>
      </c>
      <c r="C961" s="30" t="s">
        <v>2790</v>
      </c>
      <c r="D961">
        <v>2</v>
      </c>
      <c r="E961" s="30" t="s">
        <v>2791</v>
      </c>
      <c r="F961" s="29">
        <v>45999</v>
      </c>
      <c r="G961">
        <v>96666.66</v>
      </c>
      <c r="H961">
        <v>5000</v>
      </c>
      <c r="I961" s="30" t="s">
        <v>92</v>
      </c>
      <c r="J961" s="30" t="s">
        <v>66</v>
      </c>
      <c r="K961">
        <v>6</v>
      </c>
      <c r="L961" s="29">
        <v>46059</v>
      </c>
      <c r="M961" s="29">
        <v>46097</v>
      </c>
      <c r="N961" s="30" t="str">
        <f>VLOOKUP(Query1[[#This Row],[company_name]],'Org Mapping'!$B:$I,8,FALSE)</f>
        <v>Jawad Ulla Khan</v>
      </c>
      <c r="O961" s="30" t="str">
        <f>TEXT(Query1[[#This Row],[last_work_day]],"mmm'yy")</f>
        <v>Feb'26</v>
      </c>
    </row>
    <row r="962" spans="1:15" hidden="1" x14ac:dyDescent="0.35">
      <c r="A962" s="30" t="s">
        <v>774</v>
      </c>
      <c r="B962" s="30" t="s">
        <v>812</v>
      </c>
      <c r="C962" s="30" t="s">
        <v>818</v>
      </c>
      <c r="D962">
        <v>6</v>
      </c>
      <c r="E962" s="30" t="s">
        <v>819</v>
      </c>
      <c r="F962" s="29">
        <v>46006</v>
      </c>
      <c r="G962">
        <v>63375</v>
      </c>
      <c r="H962">
        <v>9209</v>
      </c>
      <c r="I962" s="30" t="s">
        <v>26</v>
      </c>
      <c r="J962" s="30" t="s">
        <v>17</v>
      </c>
      <c r="K962">
        <v>6</v>
      </c>
      <c r="L962" s="29">
        <v>46122</v>
      </c>
      <c r="M962" s="29">
        <v>46091</v>
      </c>
      <c r="N962" s="30" t="str">
        <f>VLOOKUP(Query1[[#This Row],[company_name]],'Org Mapping'!$B:$I,8,FALSE)</f>
        <v>Jawad Ulla Khan</v>
      </c>
      <c r="O962" s="30" t="str">
        <f>TEXT(Query1[[#This Row],[last_work_day]],"mmm'yy")</f>
        <v>Apr'26</v>
      </c>
    </row>
    <row r="963" spans="1:15" hidden="1" x14ac:dyDescent="0.35">
      <c r="A963" s="30" t="s">
        <v>1464</v>
      </c>
      <c r="B963" s="30" t="s">
        <v>39</v>
      </c>
      <c r="C963" s="30" t="s">
        <v>2792</v>
      </c>
      <c r="D963">
        <v>2</v>
      </c>
      <c r="E963" s="30" t="s">
        <v>2793</v>
      </c>
      <c r="F963" s="29">
        <v>46013</v>
      </c>
      <c r="G963">
        <v>336000</v>
      </c>
      <c r="H963">
        <v>44334</v>
      </c>
      <c r="I963" s="30" t="s">
        <v>26</v>
      </c>
      <c r="J963" s="30" t="s">
        <v>49</v>
      </c>
      <c r="K963">
        <v>6</v>
      </c>
      <c r="L963" s="29">
        <v>46087</v>
      </c>
      <c r="M963" s="29">
        <v>46083</v>
      </c>
      <c r="N963" s="30" t="str">
        <f>VLOOKUP(Query1[[#This Row],[company_name]],'Org Mapping'!$B:$I,8,FALSE)</f>
        <v>Mehr Hashim</v>
      </c>
      <c r="O963" s="30" t="str">
        <f>TEXT(Query1[[#This Row],[last_work_day]],"mmm'yy")</f>
        <v>Mar'26</v>
      </c>
    </row>
    <row r="964" spans="1:15" hidden="1" x14ac:dyDescent="0.35">
      <c r="A964" s="30" t="s">
        <v>98</v>
      </c>
      <c r="B964" s="30" t="s">
        <v>89</v>
      </c>
      <c r="C964" s="30" t="s">
        <v>820</v>
      </c>
      <c r="D964">
        <v>2</v>
      </c>
      <c r="E964" s="30" t="s">
        <v>821</v>
      </c>
      <c r="F964" s="29">
        <v>46006</v>
      </c>
      <c r="G964">
        <v>75000</v>
      </c>
      <c r="H964">
        <v>15000</v>
      </c>
      <c r="I964" s="30" t="s">
        <v>26</v>
      </c>
      <c r="J964" s="30" t="s">
        <v>76</v>
      </c>
      <c r="K964">
        <v>6</v>
      </c>
      <c r="L964" s="29">
        <v>46106</v>
      </c>
      <c r="M964" s="29">
        <v>46076</v>
      </c>
      <c r="N964" s="30" t="str">
        <f>VLOOKUP(Query1[[#This Row],[company_name]],'Org Mapping'!$B:$I,8,FALSE)</f>
        <v>Jawad Ulla Khan</v>
      </c>
      <c r="O964" s="30" t="str">
        <f>TEXT(Query1[[#This Row],[last_work_day]],"mmm'yy")</f>
        <v>Mar'26</v>
      </c>
    </row>
    <row r="965" spans="1:15" hidden="1" x14ac:dyDescent="0.35">
      <c r="A965" s="30" t="s">
        <v>2794</v>
      </c>
      <c r="B965" s="30" t="s">
        <v>2450</v>
      </c>
      <c r="C965" s="30" t="s">
        <v>2795</v>
      </c>
      <c r="D965">
        <v>2</v>
      </c>
      <c r="E965" s="30" t="s">
        <v>2796</v>
      </c>
      <c r="F965" s="29">
        <v>46035</v>
      </c>
      <c r="G965">
        <v>105000</v>
      </c>
      <c r="H965">
        <v>17500</v>
      </c>
      <c r="I965" s="30" t="s">
        <v>16</v>
      </c>
      <c r="J965" s="30" t="s">
        <v>113</v>
      </c>
      <c r="K965">
        <v>6</v>
      </c>
      <c r="L965" s="29">
        <v>46136</v>
      </c>
      <c r="M965" s="29">
        <v>46107</v>
      </c>
      <c r="N965" s="30" t="str">
        <f>VLOOKUP(Query1[[#This Row],[company_name]],'Org Mapping'!$B:$I,8,FALSE)</f>
        <v>(Sonia/Dikshitha)</v>
      </c>
      <c r="O965" s="30" t="str">
        <f>TEXT(Query1[[#This Row],[last_work_day]],"mmm'yy")</f>
        <v>Apr'26</v>
      </c>
    </row>
    <row r="966" spans="1:15" hidden="1" x14ac:dyDescent="0.35">
      <c r="A966" s="30" t="s">
        <v>2797</v>
      </c>
      <c r="B966" s="30" t="s">
        <v>89</v>
      </c>
      <c r="C966" s="30" t="s">
        <v>2798</v>
      </c>
      <c r="D966">
        <v>2</v>
      </c>
      <c r="E966" s="30" t="s">
        <v>2799</v>
      </c>
      <c r="F966" s="29">
        <v>46009</v>
      </c>
      <c r="G966">
        <v>196666.66</v>
      </c>
      <c r="H966">
        <v>5000</v>
      </c>
      <c r="I966" s="30" t="s">
        <v>26</v>
      </c>
      <c r="J966" s="30" t="s">
        <v>66</v>
      </c>
      <c r="K966">
        <v>6</v>
      </c>
      <c r="L966" s="29">
        <v>46073</v>
      </c>
      <c r="M966" s="29">
        <v>46086</v>
      </c>
      <c r="N966" s="30" t="str">
        <f>VLOOKUP(Query1[[#This Row],[company_name]],'Org Mapping'!$B:$I,8,FALSE)</f>
        <v>Jawad Ulla Khan</v>
      </c>
      <c r="O966" s="30" t="str">
        <f>TEXT(Query1[[#This Row],[last_work_day]],"mmm'yy")</f>
        <v>Feb'26</v>
      </c>
    </row>
    <row r="967" spans="1:15" hidden="1" x14ac:dyDescent="0.35">
      <c r="A967" s="30" t="s">
        <v>2747</v>
      </c>
      <c r="B967" s="30" t="s">
        <v>446</v>
      </c>
      <c r="C967" s="30" t="s">
        <v>2800</v>
      </c>
      <c r="D967">
        <v>1</v>
      </c>
      <c r="E967" s="30" t="s">
        <v>2801</v>
      </c>
      <c r="F967" s="29">
        <v>46027</v>
      </c>
      <c r="G967">
        <v>168000</v>
      </c>
      <c r="H967">
        <v>18000</v>
      </c>
      <c r="I967" s="30" t="s">
        <v>91</v>
      </c>
      <c r="J967" s="30" t="s">
        <v>102</v>
      </c>
      <c r="K967">
        <v>6</v>
      </c>
      <c r="L967" s="29">
        <v>46027</v>
      </c>
      <c r="M967" s="29">
        <v>46028</v>
      </c>
      <c r="N967" s="30" t="str">
        <f>VLOOKUP(Query1[[#This Row],[company_name]],'Org Mapping'!$B:$I,8,FALSE)</f>
        <v>Mehr Hashim</v>
      </c>
      <c r="O967" s="30" t="str">
        <f>TEXT(Query1[[#This Row],[last_work_day]],"mmm'yy")</f>
        <v>Jan'26</v>
      </c>
    </row>
    <row r="968" spans="1:15" hidden="1" x14ac:dyDescent="0.35">
      <c r="A968" s="30" t="s">
        <v>151</v>
      </c>
      <c r="B968" s="30" t="s">
        <v>89</v>
      </c>
      <c r="C968" s="30" t="s">
        <v>822</v>
      </c>
      <c r="D968">
        <v>2</v>
      </c>
      <c r="E968" s="30" t="s">
        <v>823</v>
      </c>
      <c r="F968" s="29">
        <v>46017</v>
      </c>
      <c r="G968">
        <v>29500</v>
      </c>
      <c r="H968">
        <v>4500</v>
      </c>
      <c r="I968" s="30" t="s">
        <v>26</v>
      </c>
      <c r="J968" s="30" t="s">
        <v>76</v>
      </c>
      <c r="K968">
        <v>6</v>
      </c>
      <c r="L968" s="29">
        <v>46112</v>
      </c>
      <c r="M968" s="29">
        <v>46086</v>
      </c>
      <c r="N968" s="30" t="str">
        <f>VLOOKUP(Query1[[#This Row],[company_name]],'Org Mapping'!$B:$I,8,FALSE)</f>
        <v>Jawad Ulla Khan</v>
      </c>
      <c r="O968" s="30" t="str">
        <f>TEXT(Query1[[#This Row],[last_work_day]],"mmm'yy")</f>
        <v>Mar'26</v>
      </c>
    </row>
    <row r="969" spans="1:15" hidden="1" x14ac:dyDescent="0.35">
      <c r="A969" s="30" t="s">
        <v>1565</v>
      </c>
      <c r="B969" s="30" t="s">
        <v>117</v>
      </c>
      <c r="C969" s="30" t="s">
        <v>2802</v>
      </c>
      <c r="D969">
        <v>4</v>
      </c>
      <c r="E969" s="30" t="s">
        <v>2803</v>
      </c>
      <c r="F969" s="29">
        <v>46024</v>
      </c>
      <c r="G969">
        <v>280788.18</v>
      </c>
      <c r="H969">
        <v>45788.18</v>
      </c>
      <c r="I969" s="30" t="s">
        <v>37</v>
      </c>
      <c r="J969" s="30" t="s">
        <v>118</v>
      </c>
      <c r="K969">
        <v>6</v>
      </c>
      <c r="L969" s="29">
        <v>46062</v>
      </c>
      <c r="M969" s="29">
        <v>46062</v>
      </c>
      <c r="N969" s="30" t="str">
        <f>VLOOKUP(Query1[[#This Row],[company_name]],'Org Mapping'!$B:$I,8,FALSE)</f>
        <v>DXC</v>
      </c>
      <c r="O969" s="30" t="str">
        <f>TEXT(Query1[[#This Row],[last_work_day]],"mmm'yy")</f>
        <v>Feb'26</v>
      </c>
    </row>
    <row r="970" spans="1:15" hidden="1" x14ac:dyDescent="0.35">
      <c r="A970" s="30" t="s">
        <v>1565</v>
      </c>
      <c r="B970" s="30" t="s">
        <v>117</v>
      </c>
      <c r="C970" s="30" t="s">
        <v>2804</v>
      </c>
      <c r="D970">
        <v>4</v>
      </c>
      <c r="E970" s="30" t="s">
        <v>2805</v>
      </c>
      <c r="F970" s="29">
        <v>46024</v>
      </c>
      <c r="G970">
        <v>310344.83</v>
      </c>
      <c r="H970">
        <v>55344.83</v>
      </c>
      <c r="I970" s="30" t="s">
        <v>16</v>
      </c>
      <c r="J970" s="30" t="s">
        <v>118</v>
      </c>
      <c r="K970">
        <v>6</v>
      </c>
      <c r="L970" s="29">
        <v>46090</v>
      </c>
      <c r="M970" s="29">
        <v>46091</v>
      </c>
      <c r="N970" s="30" t="str">
        <f>VLOOKUP(Query1[[#This Row],[company_name]],'Org Mapping'!$B:$I,8,FALSE)</f>
        <v>DXC</v>
      </c>
      <c r="O970" s="30" t="str">
        <f>TEXT(Query1[[#This Row],[last_work_day]],"mmm'yy")</f>
        <v>Mar'26</v>
      </c>
    </row>
    <row r="971" spans="1:15" hidden="1" x14ac:dyDescent="0.35">
      <c r="A971" s="30" t="s">
        <v>1565</v>
      </c>
      <c r="B971" s="30" t="s">
        <v>117</v>
      </c>
      <c r="C971" s="30" t="s">
        <v>2806</v>
      </c>
      <c r="D971">
        <v>4</v>
      </c>
      <c r="E971" s="30" t="s">
        <v>2807</v>
      </c>
      <c r="F971" s="29">
        <v>46024</v>
      </c>
      <c r="G971">
        <v>305418.71999999997</v>
      </c>
      <c r="H971">
        <v>70418.720000000001</v>
      </c>
      <c r="I971" s="30" t="s">
        <v>92</v>
      </c>
      <c r="J971" s="30" t="s">
        <v>118</v>
      </c>
      <c r="K971">
        <v>6</v>
      </c>
      <c r="L971" s="29">
        <v>46043</v>
      </c>
      <c r="M971" s="29">
        <v>46050</v>
      </c>
      <c r="N971" s="30" t="str">
        <f>VLOOKUP(Query1[[#This Row],[company_name]],'Org Mapping'!$B:$I,8,FALSE)</f>
        <v>DXC</v>
      </c>
      <c r="O971" s="30" t="str">
        <f>TEXT(Query1[[#This Row],[last_work_day]],"mmm'yy")</f>
        <v>Jan'26</v>
      </c>
    </row>
    <row r="972" spans="1:15" hidden="1" x14ac:dyDescent="0.35">
      <c r="A972" s="30" t="s">
        <v>1565</v>
      </c>
      <c r="B972" s="30" t="s">
        <v>117</v>
      </c>
      <c r="C972" s="30" t="s">
        <v>2808</v>
      </c>
      <c r="D972">
        <v>4</v>
      </c>
      <c r="E972" s="30" t="s">
        <v>2809</v>
      </c>
      <c r="F972" s="29">
        <v>46024</v>
      </c>
      <c r="G972">
        <v>315270.94</v>
      </c>
      <c r="H972">
        <v>80270.94</v>
      </c>
      <c r="I972" s="30" t="s">
        <v>37</v>
      </c>
      <c r="J972" s="30" t="s">
        <v>118</v>
      </c>
      <c r="K972">
        <v>6</v>
      </c>
      <c r="L972" s="29">
        <v>46062</v>
      </c>
      <c r="M972" s="29">
        <v>46062</v>
      </c>
      <c r="N972" s="30" t="str">
        <f>VLOOKUP(Query1[[#This Row],[company_name]],'Org Mapping'!$B:$I,8,FALSE)</f>
        <v>DXC</v>
      </c>
      <c r="O972" s="30" t="str">
        <f>TEXT(Query1[[#This Row],[last_work_day]],"mmm'yy")</f>
        <v>Feb'26</v>
      </c>
    </row>
    <row r="973" spans="1:15" hidden="1" x14ac:dyDescent="0.35">
      <c r="A973" s="30" t="s">
        <v>2115</v>
      </c>
      <c r="B973" s="30" t="s">
        <v>446</v>
      </c>
      <c r="C973" s="30" t="s">
        <v>2810</v>
      </c>
      <c r="D973">
        <v>4</v>
      </c>
      <c r="E973" s="30" t="s">
        <v>2811</v>
      </c>
      <c r="F973" s="29">
        <v>46027</v>
      </c>
      <c r="G973">
        <v>432526.5</v>
      </c>
      <c r="H973">
        <v>57526.5</v>
      </c>
      <c r="I973" s="30" t="s">
        <v>16</v>
      </c>
      <c r="J973" s="30" t="s">
        <v>102</v>
      </c>
      <c r="K973">
        <v>6</v>
      </c>
      <c r="L973" s="29">
        <v>46150</v>
      </c>
      <c r="M973" s="29">
        <v>46140</v>
      </c>
      <c r="N973" s="30" t="str">
        <f>VLOOKUP(Query1[[#This Row],[company_name]],'Org Mapping'!$B:$I,8,FALSE)</f>
        <v>Mehr Hashim</v>
      </c>
      <c r="O973" s="30" t="str">
        <f>TEXT(Query1[[#This Row],[last_work_day]],"mmm'yy")</f>
        <v>May'26</v>
      </c>
    </row>
    <row r="974" spans="1:15" hidden="1" x14ac:dyDescent="0.35">
      <c r="A974" s="30" t="s">
        <v>553</v>
      </c>
      <c r="B974" s="30" t="s">
        <v>89</v>
      </c>
      <c r="C974" s="30" t="s">
        <v>824</v>
      </c>
      <c r="D974">
        <v>2</v>
      </c>
      <c r="E974" s="30" t="s">
        <v>825</v>
      </c>
      <c r="F974" s="29">
        <v>46017</v>
      </c>
      <c r="G974">
        <v>70000</v>
      </c>
      <c r="H974">
        <v>14000</v>
      </c>
      <c r="I974" s="30" t="s">
        <v>26</v>
      </c>
      <c r="J974" s="30" t="s">
        <v>76</v>
      </c>
      <c r="K974">
        <v>6</v>
      </c>
      <c r="L974" s="29">
        <v>46087</v>
      </c>
      <c r="M974" s="29">
        <v>46087</v>
      </c>
      <c r="N974" s="30" t="str">
        <f>VLOOKUP(Query1[[#This Row],[company_name]],'Org Mapping'!$B:$I,8,FALSE)</f>
        <v>Jawad Ulla Khan</v>
      </c>
      <c r="O974" s="30" t="str">
        <f>TEXT(Query1[[#This Row],[last_work_day]],"mmm'yy")</f>
        <v>Mar'26</v>
      </c>
    </row>
    <row r="975" spans="1:15" hidden="1" x14ac:dyDescent="0.35">
      <c r="A975" s="30" t="s">
        <v>2396</v>
      </c>
      <c r="B975" s="30" t="s">
        <v>114</v>
      </c>
      <c r="C975" s="30" t="s">
        <v>2812</v>
      </c>
      <c r="D975">
        <v>1</v>
      </c>
      <c r="E975" s="30" t="s">
        <v>2813</v>
      </c>
      <c r="F975" s="29">
        <v>46027</v>
      </c>
      <c r="G975">
        <v>140049</v>
      </c>
      <c r="H975">
        <v>31716</v>
      </c>
      <c r="I975" s="30" t="s">
        <v>16</v>
      </c>
      <c r="J975" s="30" t="s">
        <v>119</v>
      </c>
      <c r="K975">
        <v>6</v>
      </c>
      <c r="L975" s="29">
        <v>46065</v>
      </c>
      <c r="M975" s="29">
        <v>46066</v>
      </c>
      <c r="N975" s="30" t="str">
        <f>VLOOKUP(Query1[[#This Row],[company_name]],'Org Mapping'!$B:$I,8,FALSE)</f>
        <v>Anuradha</v>
      </c>
      <c r="O975" s="30" t="str">
        <f>TEXT(Query1[[#This Row],[last_work_day]],"mmm'yy")</f>
        <v>Feb'26</v>
      </c>
    </row>
    <row r="976" spans="1:15" hidden="1" x14ac:dyDescent="0.35">
      <c r="A976" s="30" t="s">
        <v>798</v>
      </c>
      <c r="B976" s="30" t="s">
        <v>812</v>
      </c>
      <c r="C976" s="30" t="s">
        <v>826</v>
      </c>
      <c r="D976">
        <v>2</v>
      </c>
      <c r="E976" s="30" t="s">
        <v>827</v>
      </c>
      <c r="F976" s="29">
        <v>46027</v>
      </c>
      <c r="G976">
        <v>106200</v>
      </c>
      <c r="H976">
        <v>16200</v>
      </c>
      <c r="I976" s="30" t="s">
        <v>545</v>
      </c>
      <c r="J976" s="30" t="s">
        <v>76</v>
      </c>
      <c r="K976">
        <v>6</v>
      </c>
      <c r="L976" s="29">
        <v>46142</v>
      </c>
      <c r="M976" s="29">
        <v>46136</v>
      </c>
      <c r="N976" s="30" t="str">
        <f>VLOOKUP(Query1[[#This Row],[company_name]],'Org Mapping'!$B:$I,8,FALSE)</f>
        <v>Jawad Ulla Khan</v>
      </c>
      <c r="O976" s="30" t="str">
        <f>TEXT(Query1[[#This Row],[last_work_day]],"mmm'yy")</f>
        <v>Apr'26</v>
      </c>
    </row>
    <row r="977" spans="1:15" hidden="1" x14ac:dyDescent="0.35">
      <c r="A977" s="30" t="s">
        <v>2814</v>
      </c>
      <c r="B977" s="30" t="s">
        <v>714</v>
      </c>
      <c r="C977" s="30" t="s">
        <v>2815</v>
      </c>
      <c r="D977">
        <v>2</v>
      </c>
      <c r="E977" s="30" t="s">
        <v>2816</v>
      </c>
      <c r="F977" s="29">
        <v>46024</v>
      </c>
      <c r="G977">
        <v>213600</v>
      </c>
      <c r="H977">
        <v>46934</v>
      </c>
      <c r="I977" s="30" t="s">
        <v>37</v>
      </c>
      <c r="J977" s="30" t="s">
        <v>494</v>
      </c>
      <c r="K977">
        <v>6</v>
      </c>
      <c r="L977" s="29">
        <v>46066</v>
      </c>
      <c r="M977" s="29">
        <v>46052</v>
      </c>
      <c r="N977" s="30" t="str">
        <f>VLOOKUP(Query1[[#This Row],[company_name]],'Org Mapping'!$B:$I,8,FALSE)</f>
        <v>Prathap Sagar</v>
      </c>
      <c r="O977" s="30" t="str">
        <f>TEXT(Query1[[#This Row],[last_work_day]],"mmm'yy")</f>
        <v>Feb'26</v>
      </c>
    </row>
    <row r="978" spans="1:15" hidden="1" x14ac:dyDescent="0.35">
      <c r="A978" s="30" t="s">
        <v>2143</v>
      </c>
      <c r="B978" s="30" t="s">
        <v>1544</v>
      </c>
      <c r="C978" s="30" t="s">
        <v>2817</v>
      </c>
      <c r="D978">
        <v>2</v>
      </c>
      <c r="E978" s="30" t="s">
        <v>2818</v>
      </c>
      <c r="F978" s="29">
        <v>46024</v>
      </c>
      <c r="G978">
        <v>228000</v>
      </c>
      <c r="H978">
        <v>69666.67</v>
      </c>
      <c r="I978" s="30" t="s">
        <v>37</v>
      </c>
      <c r="J978" s="30" t="s">
        <v>494</v>
      </c>
      <c r="K978">
        <v>6</v>
      </c>
      <c r="L978" s="29">
        <v>46066</v>
      </c>
      <c r="M978" s="29">
        <v>46038</v>
      </c>
      <c r="N978" s="30" t="str">
        <f>VLOOKUP(Query1[[#This Row],[company_name]],'Org Mapping'!$B:$I,8,FALSE)</f>
        <v>Prathap Sagar</v>
      </c>
      <c r="O978" s="30" t="str">
        <f>TEXT(Query1[[#This Row],[last_work_day]],"mmm'yy")</f>
        <v>Feb'26</v>
      </c>
    </row>
    <row r="979" spans="1:15" hidden="1" x14ac:dyDescent="0.35">
      <c r="A979" s="30" t="s">
        <v>1622</v>
      </c>
      <c r="B979" s="30" t="s">
        <v>1544</v>
      </c>
      <c r="C979" s="30" t="s">
        <v>2819</v>
      </c>
      <c r="D979">
        <v>2</v>
      </c>
      <c r="E979" s="30" t="s">
        <v>2820</v>
      </c>
      <c r="F979" s="29">
        <v>46035</v>
      </c>
      <c r="G979">
        <v>239400</v>
      </c>
      <c r="H979">
        <v>97734</v>
      </c>
      <c r="I979" s="30" t="s">
        <v>545</v>
      </c>
      <c r="J979" s="30" t="s">
        <v>718</v>
      </c>
      <c r="K979">
        <v>6</v>
      </c>
      <c r="L979" s="29">
        <v>46142</v>
      </c>
      <c r="M979" s="29">
        <v>46136</v>
      </c>
      <c r="N979" s="30" t="str">
        <f>VLOOKUP(Query1[[#This Row],[company_name]],'Org Mapping'!$B:$I,8,FALSE)</f>
        <v>Prathap Sagar</v>
      </c>
      <c r="O979" s="30" t="str">
        <f>TEXT(Query1[[#This Row],[last_work_day]],"mmm'yy")</f>
        <v>Apr'26</v>
      </c>
    </row>
    <row r="980" spans="1:15" hidden="1" x14ac:dyDescent="0.35">
      <c r="A980" s="30" t="s">
        <v>2821</v>
      </c>
      <c r="B980" s="30" t="s">
        <v>39</v>
      </c>
      <c r="C980" s="30" t="s">
        <v>2822</v>
      </c>
      <c r="D980">
        <v>4</v>
      </c>
      <c r="E980" s="30" t="s">
        <v>2823</v>
      </c>
      <c r="F980" s="29">
        <v>46041</v>
      </c>
      <c r="G980">
        <v>436800</v>
      </c>
      <c r="H980">
        <v>120134</v>
      </c>
      <c r="I980" s="30" t="s">
        <v>26</v>
      </c>
      <c r="J980" s="30" t="s">
        <v>49</v>
      </c>
      <c r="K980">
        <v>6</v>
      </c>
      <c r="L980" s="29">
        <v>46150</v>
      </c>
      <c r="M980" s="29">
        <v>46142</v>
      </c>
      <c r="N980" s="30" t="str">
        <f>VLOOKUP(Query1[[#This Row],[company_name]],'Org Mapping'!$B:$I,8,FALSE)</f>
        <v>Mehr Hashim</v>
      </c>
      <c r="O980" s="30" t="str">
        <f>TEXT(Query1[[#This Row],[last_work_day]],"mmm'yy")</f>
        <v>May'26</v>
      </c>
    </row>
    <row r="981" spans="1:15" hidden="1" x14ac:dyDescent="0.35">
      <c r="A981" s="30" t="s">
        <v>749</v>
      </c>
      <c r="B981" s="30" t="s">
        <v>89</v>
      </c>
      <c r="C981" s="30" t="s">
        <v>828</v>
      </c>
      <c r="D981">
        <v>2</v>
      </c>
      <c r="E981" s="30" t="s">
        <v>829</v>
      </c>
      <c r="F981" s="29">
        <v>46028</v>
      </c>
      <c r="G981">
        <v>29500</v>
      </c>
      <c r="H981">
        <v>29500</v>
      </c>
      <c r="I981" s="30" t="s">
        <v>92</v>
      </c>
      <c r="J981" s="30" t="s">
        <v>76</v>
      </c>
      <c r="K981">
        <v>6</v>
      </c>
      <c r="L981" s="29">
        <v>46042</v>
      </c>
      <c r="M981" s="29">
        <v>46042</v>
      </c>
      <c r="N981" s="30" t="str">
        <f>VLOOKUP(Query1[[#This Row],[company_name]],'Org Mapping'!$B:$I,8,FALSE)</f>
        <v>Jawad Ulla Khan</v>
      </c>
      <c r="O981" s="30" t="str">
        <f>TEXT(Query1[[#This Row],[last_work_day]],"mmm'yy")</f>
        <v>Jan'26</v>
      </c>
    </row>
    <row r="982" spans="1:15" hidden="1" x14ac:dyDescent="0.35">
      <c r="A982" s="30" t="s">
        <v>2824</v>
      </c>
      <c r="B982" s="30" t="s">
        <v>2696</v>
      </c>
      <c r="C982" s="30" t="s">
        <v>2825</v>
      </c>
      <c r="D982">
        <v>2</v>
      </c>
      <c r="E982" s="30" t="s">
        <v>2826</v>
      </c>
      <c r="F982" s="29">
        <v>46029</v>
      </c>
      <c r="G982">
        <v>524000</v>
      </c>
      <c r="H982">
        <v>107334</v>
      </c>
      <c r="I982" s="30" t="s">
        <v>16</v>
      </c>
      <c r="J982" s="30" t="s">
        <v>495</v>
      </c>
      <c r="K982">
        <v>6</v>
      </c>
      <c r="L982" s="29">
        <v>46146</v>
      </c>
      <c r="M982" s="29">
        <v>46066</v>
      </c>
      <c r="N982" s="30" t="str">
        <f>VLOOKUP(Query1[[#This Row],[company_name]],'Org Mapping'!$B:$I,8,FALSE)</f>
        <v>Mehr Hashim</v>
      </c>
      <c r="O982" s="30" t="str">
        <f>TEXT(Query1[[#This Row],[last_work_day]],"mmm'yy")</f>
        <v>May'26</v>
      </c>
    </row>
    <row r="983" spans="1:15" hidden="1" x14ac:dyDescent="0.35">
      <c r="A983" s="30" t="s">
        <v>668</v>
      </c>
      <c r="B983" s="30" t="s">
        <v>89</v>
      </c>
      <c r="C983" s="30" t="s">
        <v>830</v>
      </c>
      <c r="D983">
        <v>2</v>
      </c>
      <c r="E983" s="30" t="s">
        <v>831</v>
      </c>
      <c r="F983" s="29">
        <v>46034</v>
      </c>
      <c r="G983">
        <v>29500</v>
      </c>
      <c r="H983">
        <v>4500</v>
      </c>
      <c r="I983" s="30" t="s">
        <v>92</v>
      </c>
      <c r="J983" s="30" t="s">
        <v>76</v>
      </c>
      <c r="K983">
        <v>6</v>
      </c>
      <c r="L983" s="29">
        <v>46050</v>
      </c>
      <c r="M983" s="29">
        <v>46050</v>
      </c>
      <c r="N983" s="30" t="str">
        <f>VLOOKUP(Query1[[#This Row],[company_name]],'Org Mapping'!$B:$I,8,FALSE)</f>
        <v>Jawad Ulla Khan</v>
      </c>
      <c r="O983" s="30" t="str">
        <f>TEXT(Query1[[#This Row],[last_work_day]],"mmm'yy")</f>
        <v>Jan'26</v>
      </c>
    </row>
    <row r="984" spans="1:15" hidden="1" x14ac:dyDescent="0.35">
      <c r="A984" s="30" t="s">
        <v>1622</v>
      </c>
      <c r="B984" s="30" t="s">
        <v>1544</v>
      </c>
      <c r="C984" s="30" t="s">
        <v>2827</v>
      </c>
      <c r="D984">
        <v>2</v>
      </c>
      <c r="E984" s="30" t="s">
        <v>2828</v>
      </c>
      <c r="F984" s="29">
        <v>46035</v>
      </c>
      <c r="G984">
        <v>189000</v>
      </c>
      <c r="H984">
        <v>101500</v>
      </c>
      <c r="I984" s="30" t="s">
        <v>91</v>
      </c>
      <c r="J984" s="30" t="s">
        <v>718</v>
      </c>
      <c r="K984">
        <v>6</v>
      </c>
      <c r="L984" s="29">
        <v>46142</v>
      </c>
      <c r="M984" s="29">
        <v>46133</v>
      </c>
      <c r="N984" s="30" t="str">
        <f>VLOOKUP(Query1[[#This Row],[company_name]],'Org Mapping'!$B:$I,8,FALSE)</f>
        <v>Prathap Sagar</v>
      </c>
      <c r="O984" s="30" t="str">
        <f>TEXT(Query1[[#This Row],[last_work_day]],"mmm'yy")</f>
        <v>Apr'26</v>
      </c>
    </row>
    <row r="985" spans="1:15" hidden="1" x14ac:dyDescent="0.35">
      <c r="A985" s="30" t="s">
        <v>2474</v>
      </c>
      <c r="B985" s="30" t="s">
        <v>126</v>
      </c>
      <c r="C985" s="30" t="s">
        <v>2829</v>
      </c>
      <c r="D985">
        <v>2</v>
      </c>
      <c r="E985" s="30" t="s">
        <v>2830</v>
      </c>
      <c r="F985" s="29">
        <v>46031</v>
      </c>
      <c r="G985">
        <v>110400</v>
      </c>
      <c r="H985">
        <v>35400</v>
      </c>
      <c r="I985" s="30" t="s">
        <v>37</v>
      </c>
      <c r="J985" s="30" t="s">
        <v>361</v>
      </c>
      <c r="K985">
        <v>6</v>
      </c>
      <c r="L985" s="29">
        <v>46122</v>
      </c>
      <c r="M985" s="29">
        <v>46111</v>
      </c>
      <c r="N985" s="30" t="str">
        <f>VLOOKUP(Query1[[#This Row],[company_name]],'Org Mapping'!$B:$I,8,FALSE)</f>
        <v>Prathap Sagar</v>
      </c>
      <c r="O985" s="30" t="str">
        <f>TEXT(Query1[[#This Row],[last_work_day]],"mmm'yy")</f>
        <v>Apr'26</v>
      </c>
    </row>
    <row r="986" spans="1:15" hidden="1" x14ac:dyDescent="0.35">
      <c r="A986" s="30" t="s">
        <v>2831</v>
      </c>
      <c r="B986" s="30" t="s">
        <v>1628</v>
      </c>
      <c r="C986" s="30" t="s">
        <v>2832</v>
      </c>
      <c r="D986">
        <v>4</v>
      </c>
      <c r="E986" s="30" t="s">
        <v>2833</v>
      </c>
      <c r="F986" s="29">
        <v>46036</v>
      </c>
      <c r="G986">
        <v>350000</v>
      </c>
      <c r="H986">
        <v>58334</v>
      </c>
      <c r="I986" s="30" t="s">
        <v>1279</v>
      </c>
      <c r="J986" s="30" t="s">
        <v>384</v>
      </c>
      <c r="K986">
        <v>6</v>
      </c>
      <c r="L986" s="29">
        <v>46058</v>
      </c>
      <c r="M986" s="29">
        <v>46062</v>
      </c>
      <c r="N986" s="30" t="str">
        <f>VLOOKUP(Query1[[#This Row],[company_name]],'Org Mapping'!$B:$I,8,FALSE)</f>
        <v>Sadhna Shukla</v>
      </c>
      <c r="O986" s="30" t="str">
        <f>TEXT(Query1[[#This Row],[last_work_day]],"mmm'yy")</f>
        <v>Feb'26</v>
      </c>
    </row>
    <row r="987" spans="1:15" hidden="1" x14ac:dyDescent="0.35">
      <c r="A987" s="30" t="s">
        <v>2765</v>
      </c>
      <c r="B987" s="30" t="s">
        <v>446</v>
      </c>
      <c r="C987" s="30" t="s">
        <v>2834</v>
      </c>
      <c r="D987">
        <v>2</v>
      </c>
      <c r="E987" s="30" t="s">
        <v>2835</v>
      </c>
      <c r="F987" s="29">
        <v>46044</v>
      </c>
      <c r="G987">
        <v>460734.75</v>
      </c>
      <c r="H987">
        <v>110734.75</v>
      </c>
      <c r="I987" s="30" t="s">
        <v>91</v>
      </c>
      <c r="J987" s="30" t="s">
        <v>102</v>
      </c>
      <c r="K987">
        <v>6</v>
      </c>
      <c r="L987" s="29">
        <v>46168</v>
      </c>
      <c r="M987" s="29">
        <v>46088</v>
      </c>
      <c r="N987" s="30" t="str">
        <f>VLOOKUP(Query1[[#This Row],[company_name]],'Org Mapping'!$B:$I,8,FALSE)</f>
        <v>Mehr Hashim</v>
      </c>
      <c r="O987" s="30" t="str">
        <f>TEXT(Query1[[#This Row],[last_work_day]],"mmm'yy")</f>
        <v>May'26</v>
      </c>
    </row>
    <row r="988" spans="1:15" hidden="1" x14ac:dyDescent="0.35">
      <c r="A988" s="30" t="s">
        <v>550</v>
      </c>
      <c r="B988" s="30" t="s">
        <v>812</v>
      </c>
      <c r="C988" s="30" t="s">
        <v>832</v>
      </c>
      <c r="D988">
        <v>2</v>
      </c>
      <c r="E988" s="30" t="s">
        <v>833</v>
      </c>
      <c r="F988" s="29">
        <v>46049</v>
      </c>
      <c r="G988">
        <v>86328.8</v>
      </c>
      <c r="H988">
        <v>13168.8</v>
      </c>
      <c r="I988" s="30" t="s">
        <v>37</v>
      </c>
      <c r="J988" s="30" t="s">
        <v>76</v>
      </c>
      <c r="K988">
        <v>6</v>
      </c>
      <c r="L988" s="29">
        <v>46092</v>
      </c>
      <c r="M988" s="29">
        <v>46065</v>
      </c>
      <c r="N988" s="30" t="str">
        <f>VLOOKUP(Query1[[#This Row],[company_name]],'Org Mapping'!$B:$I,8,FALSE)</f>
        <v>Jawad Ulla Khan</v>
      </c>
      <c r="O988" s="30" t="str">
        <f>TEXT(Query1[[#This Row],[last_work_day]],"mmm'yy")</f>
        <v>Mar'26</v>
      </c>
    </row>
    <row r="989" spans="1:15" hidden="1" x14ac:dyDescent="0.35">
      <c r="A989" s="30" t="s">
        <v>553</v>
      </c>
      <c r="B989" s="30" t="s">
        <v>89</v>
      </c>
      <c r="C989" s="30" t="s">
        <v>834</v>
      </c>
      <c r="D989">
        <v>2</v>
      </c>
      <c r="E989" s="30" t="s">
        <v>835</v>
      </c>
      <c r="F989" s="29">
        <v>46043</v>
      </c>
      <c r="G989">
        <v>29500</v>
      </c>
      <c r="H989">
        <v>4500</v>
      </c>
      <c r="I989" s="30" t="s">
        <v>92</v>
      </c>
      <c r="J989" s="30" t="s">
        <v>76</v>
      </c>
      <c r="K989">
        <v>6</v>
      </c>
      <c r="L989" s="29">
        <v>46079</v>
      </c>
      <c r="M989" s="29">
        <v>46079</v>
      </c>
      <c r="N989" s="30" t="str">
        <f>VLOOKUP(Query1[[#This Row],[company_name]],'Org Mapping'!$B:$I,8,FALSE)</f>
        <v>Jawad Ulla Khan</v>
      </c>
      <c r="O989" s="30" t="str">
        <f>TEXT(Query1[[#This Row],[last_work_day]],"mmm'yy")</f>
        <v>Feb'26</v>
      </c>
    </row>
    <row r="990" spans="1:15" hidden="1" x14ac:dyDescent="0.35">
      <c r="A990" s="30" t="s">
        <v>817</v>
      </c>
      <c r="B990" s="30" t="s">
        <v>812</v>
      </c>
      <c r="C990" s="30" t="s">
        <v>2836</v>
      </c>
      <c r="D990">
        <v>2</v>
      </c>
      <c r="E990" s="30" t="s">
        <v>2837</v>
      </c>
      <c r="F990" s="29">
        <v>46041</v>
      </c>
      <c r="G990">
        <v>255000</v>
      </c>
      <c r="H990">
        <v>5000</v>
      </c>
      <c r="I990" s="30" t="s">
        <v>16</v>
      </c>
      <c r="J990" s="30" t="s">
        <v>66</v>
      </c>
      <c r="K990">
        <v>6</v>
      </c>
      <c r="L990" s="29">
        <v>46115</v>
      </c>
      <c r="M990" s="29">
        <v>46119</v>
      </c>
      <c r="N990" s="30" t="str">
        <f>VLOOKUP(Query1[[#This Row],[company_name]],'Org Mapping'!$B:$I,8,FALSE)</f>
        <v>Jawad Ulla Khan</v>
      </c>
      <c r="O990" s="30" t="str">
        <f>TEXT(Query1[[#This Row],[last_work_day]],"mmm'yy")</f>
        <v>Apr'26</v>
      </c>
    </row>
    <row r="991" spans="1:15" hidden="1" x14ac:dyDescent="0.35">
      <c r="A991" s="30" t="s">
        <v>2115</v>
      </c>
      <c r="B991" s="30" t="s">
        <v>446</v>
      </c>
      <c r="C991" s="30" t="s">
        <v>2838</v>
      </c>
      <c r="D991">
        <v>2</v>
      </c>
      <c r="E991" s="30" t="s">
        <v>2839</v>
      </c>
      <c r="F991" s="29">
        <v>46055</v>
      </c>
      <c r="G991">
        <v>413721</v>
      </c>
      <c r="H991">
        <v>80388</v>
      </c>
      <c r="I991" s="30" t="s">
        <v>545</v>
      </c>
      <c r="J991" s="30" t="s">
        <v>102</v>
      </c>
      <c r="K991">
        <v>6</v>
      </c>
      <c r="L991" s="29">
        <v>46092</v>
      </c>
      <c r="M991" s="29">
        <v>46093</v>
      </c>
      <c r="N991" s="30" t="str">
        <f>VLOOKUP(Query1[[#This Row],[company_name]],'Org Mapping'!$B:$I,8,FALSE)</f>
        <v>Mehr Hashim</v>
      </c>
      <c r="O991" s="30" t="str">
        <f>TEXT(Query1[[#This Row],[last_work_day]],"mmm'yy")</f>
        <v>Mar'26</v>
      </c>
    </row>
    <row r="992" spans="1:15" hidden="1" x14ac:dyDescent="0.35">
      <c r="A992" s="30" t="s">
        <v>1554</v>
      </c>
      <c r="B992" s="30" t="s">
        <v>126</v>
      </c>
      <c r="C992" s="30" t="s">
        <v>2840</v>
      </c>
      <c r="D992">
        <v>7</v>
      </c>
      <c r="E992" s="30" t="s">
        <v>2841</v>
      </c>
      <c r="F992" s="29">
        <v>46083</v>
      </c>
      <c r="G992">
        <v>53629</v>
      </c>
      <c r="H992">
        <v>2309</v>
      </c>
      <c r="I992" s="30" t="s">
        <v>26</v>
      </c>
      <c r="J992" s="30" t="s">
        <v>28</v>
      </c>
      <c r="K992">
        <v>6</v>
      </c>
      <c r="L992" s="29">
        <v>46092</v>
      </c>
      <c r="M992" s="29">
        <v>46092</v>
      </c>
      <c r="N992" s="30" t="str">
        <f>VLOOKUP(Query1[[#This Row],[company_name]],'Org Mapping'!$B:$I,8,FALSE)</f>
        <v>TBA</v>
      </c>
      <c r="O992" s="30" t="str">
        <f>TEXT(Query1[[#This Row],[last_work_day]],"mmm'yy")</f>
        <v>Mar'26</v>
      </c>
    </row>
    <row r="993" spans="1:15" hidden="1" x14ac:dyDescent="0.35">
      <c r="A993" s="30" t="s">
        <v>553</v>
      </c>
      <c r="B993" s="30" t="s">
        <v>89</v>
      </c>
      <c r="C993" s="30" t="s">
        <v>836</v>
      </c>
      <c r="D993">
        <v>2</v>
      </c>
      <c r="E993" s="30" t="s">
        <v>837</v>
      </c>
      <c r="F993" s="29">
        <v>46052</v>
      </c>
      <c r="G993">
        <v>35400</v>
      </c>
      <c r="H993">
        <v>5400</v>
      </c>
      <c r="I993" s="30" t="s">
        <v>26</v>
      </c>
      <c r="J993" s="30" t="s">
        <v>76</v>
      </c>
      <c r="K993">
        <v>6</v>
      </c>
      <c r="L993" s="29">
        <v>46150</v>
      </c>
      <c r="M993" s="29">
        <v>46121</v>
      </c>
      <c r="N993" s="30" t="str">
        <f>VLOOKUP(Query1[[#This Row],[company_name]],'Org Mapping'!$B:$I,8,FALSE)</f>
        <v>Jawad Ulla Khan</v>
      </c>
      <c r="O993" s="30" t="str">
        <f>TEXT(Query1[[#This Row],[last_work_day]],"mmm'yy")</f>
        <v>May'26</v>
      </c>
    </row>
    <row r="994" spans="1:15" hidden="1" x14ac:dyDescent="0.35">
      <c r="A994" s="30" t="s">
        <v>1411</v>
      </c>
      <c r="B994" s="30" t="s">
        <v>39</v>
      </c>
      <c r="C994" s="30" t="s">
        <v>2842</v>
      </c>
      <c r="D994">
        <v>2</v>
      </c>
      <c r="E994" s="30" t="s">
        <v>2843</v>
      </c>
      <c r="F994" s="29">
        <v>46050</v>
      </c>
      <c r="G994">
        <v>310800</v>
      </c>
      <c r="H994">
        <v>160800</v>
      </c>
      <c r="I994" s="30" t="s">
        <v>26</v>
      </c>
      <c r="J994" s="30" t="s">
        <v>49</v>
      </c>
      <c r="K994">
        <v>6</v>
      </c>
      <c r="L994" s="29">
        <v>46140</v>
      </c>
      <c r="M994" s="29">
        <v>46115</v>
      </c>
      <c r="N994" s="30" t="str">
        <f>VLOOKUP(Query1[[#This Row],[company_name]],'Org Mapping'!$B:$I,8,FALSE)</f>
        <v>Mehr Hashim</v>
      </c>
      <c r="O994" s="30" t="str">
        <f>TEXT(Query1[[#This Row],[last_work_day]],"mmm'yy")</f>
        <v>Apr'26</v>
      </c>
    </row>
    <row r="995" spans="1:15" hidden="1" x14ac:dyDescent="0.35">
      <c r="A995" s="30" t="s">
        <v>2844</v>
      </c>
      <c r="B995" s="30" t="s">
        <v>293</v>
      </c>
      <c r="C995" s="30" t="s">
        <v>2845</v>
      </c>
      <c r="D995">
        <v>2</v>
      </c>
      <c r="E995" s="30" t="s">
        <v>2846</v>
      </c>
      <c r="F995" s="29">
        <v>46056</v>
      </c>
      <c r="G995">
        <v>195888</v>
      </c>
      <c r="H995">
        <v>112555</v>
      </c>
      <c r="I995" s="30" t="s">
        <v>16</v>
      </c>
      <c r="J995" s="30" t="s">
        <v>326</v>
      </c>
      <c r="K995">
        <v>6</v>
      </c>
      <c r="L995" s="29">
        <v>46114</v>
      </c>
      <c r="M995" s="29">
        <v>46114</v>
      </c>
      <c r="N995" s="30" t="str">
        <f>VLOOKUP(Query1[[#This Row],[company_name]],'Org Mapping'!$B:$I,8,FALSE)</f>
        <v>Deepak Desai</v>
      </c>
      <c r="O995" s="30" t="str">
        <f>TEXT(Query1[[#This Row],[last_work_day]],"mmm'yy")</f>
        <v>Apr'26</v>
      </c>
    </row>
    <row r="996" spans="1:15" hidden="1" x14ac:dyDescent="0.35">
      <c r="A996" s="30" t="s">
        <v>2430</v>
      </c>
      <c r="B996" s="30" t="s">
        <v>39</v>
      </c>
      <c r="C996" s="30" t="s">
        <v>2847</v>
      </c>
      <c r="D996">
        <v>2</v>
      </c>
      <c r="E996" s="30" t="s">
        <v>2848</v>
      </c>
      <c r="F996" s="29">
        <v>46086</v>
      </c>
      <c r="G996">
        <v>97166.66</v>
      </c>
      <c r="H996">
        <v>5500.66</v>
      </c>
      <c r="I996" s="30" t="s">
        <v>26</v>
      </c>
      <c r="J996" s="30" t="s">
        <v>31</v>
      </c>
      <c r="K996">
        <v>6</v>
      </c>
      <c r="L996" s="29">
        <v>46149</v>
      </c>
      <c r="M996" s="29">
        <v>46120</v>
      </c>
      <c r="N996" s="30" t="str">
        <f>VLOOKUP(Query1[[#This Row],[company_name]],'Org Mapping'!$B:$I,8,FALSE)</f>
        <v>Mehr Hashim</v>
      </c>
      <c r="O996" s="30" t="str">
        <f>TEXT(Query1[[#This Row],[last_work_day]],"mmm'yy")</f>
        <v>May'26</v>
      </c>
    </row>
    <row r="997" spans="1:15" hidden="1" x14ac:dyDescent="0.35">
      <c r="A997" s="30" t="s">
        <v>2430</v>
      </c>
      <c r="B997" s="30" t="s">
        <v>39</v>
      </c>
      <c r="C997" s="30" t="s">
        <v>2849</v>
      </c>
      <c r="D997">
        <v>2</v>
      </c>
      <c r="E997" s="30" t="s">
        <v>2850</v>
      </c>
      <c r="F997" s="29">
        <v>46086</v>
      </c>
      <c r="G997">
        <v>110416.66</v>
      </c>
      <c r="H997">
        <v>6250.66</v>
      </c>
      <c r="I997" s="30" t="s">
        <v>26</v>
      </c>
      <c r="J997" s="30" t="s">
        <v>31</v>
      </c>
      <c r="K997">
        <v>6</v>
      </c>
      <c r="L997" s="29">
        <v>46149</v>
      </c>
      <c r="M997" s="29">
        <v>46120</v>
      </c>
      <c r="N997" s="30" t="str">
        <f>VLOOKUP(Query1[[#This Row],[company_name]],'Org Mapping'!$B:$I,8,FALSE)</f>
        <v>Mehr Hashim</v>
      </c>
      <c r="O997" s="30" t="str">
        <f>TEXT(Query1[[#This Row],[last_work_day]],"mmm'yy")</f>
        <v>May'26</v>
      </c>
    </row>
    <row r="998" spans="1:15" hidden="1" x14ac:dyDescent="0.35">
      <c r="A998" s="30" t="s">
        <v>2430</v>
      </c>
      <c r="B998" s="30" t="s">
        <v>39</v>
      </c>
      <c r="C998" s="30" t="s">
        <v>2851</v>
      </c>
      <c r="D998">
        <v>2</v>
      </c>
      <c r="E998" s="30" t="s">
        <v>2852</v>
      </c>
      <c r="F998" s="29">
        <v>46058</v>
      </c>
      <c r="G998">
        <v>44166.67</v>
      </c>
      <c r="H998">
        <v>2500.67</v>
      </c>
      <c r="I998" s="30" t="s">
        <v>26</v>
      </c>
      <c r="J998" s="30" t="s">
        <v>31</v>
      </c>
      <c r="K998">
        <v>6</v>
      </c>
      <c r="L998" s="29">
        <v>46094</v>
      </c>
      <c r="M998" s="29">
        <v>46094</v>
      </c>
      <c r="N998" s="30" t="str">
        <f>VLOOKUP(Query1[[#This Row],[company_name]],'Org Mapping'!$B:$I,8,FALSE)</f>
        <v>Mehr Hashim</v>
      </c>
      <c r="O998" s="30" t="str">
        <f>TEXT(Query1[[#This Row],[last_work_day]],"mmm'yy")</f>
        <v>Mar'26</v>
      </c>
    </row>
    <row r="999" spans="1:15" hidden="1" x14ac:dyDescent="0.35">
      <c r="A999" s="30" t="s">
        <v>343</v>
      </c>
      <c r="B999" s="30" t="s">
        <v>293</v>
      </c>
      <c r="C999" s="30" t="s">
        <v>2853</v>
      </c>
      <c r="D999">
        <v>2</v>
      </c>
      <c r="E999" s="30" t="s">
        <v>2854</v>
      </c>
      <c r="F999" s="29">
        <v>46056</v>
      </c>
      <c r="G999">
        <v>286440</v>
      </c>
      <c r="H999">
        <v>153107</v>
      </c>
      <c r="I999" s="30" t="s">
        <v>16</v>
      </c>
      <c r="J999" s="30" t="s">
        <v>257</v>
      </c>
      <c r="K999">
        <v>6</v>
      </c>
      <c r="L999" s="29">
        <v>46065</v>
      </c>
      <c r="M999" s="29">
        <v>46066</v>
      </c>
      <c r="N999" s="30" t="str">
        <f>VLOOKUP(Query1[[#This Row],[company_name]],'Org Mapping'!$B:$I,8,FALSE)</f>
        <v>Anuradha</v>
      </c>
      <c r="O999" s="30" t="str">
        <f>TEXT(Query1[[#This Row],[last_work_day]],"mmm'yy")</f>
        <v>Feb'26</v>
      </c>
    </row>
    <row r="1000" spans="1:15" hidden="1" x14ac:dyDescent="0.35">
      <c r="A1000" s="30" t="s">
        <v>2414</v>
      </c>
      <c r="B1000" s="30" t="s">
        <v>1544</v>
      </c>
      <c r="C1000" s="30" t="s">
        <v>2855</v>
      </c>
      <c r="D1000">
        <v>2</v>
      </c>
      <c r="E1000" s="30" t="s">
        <v>2856</v>
      </c>
      <c r="F1000" s="29">
        <v>46058</v>
      </c>
      <c r="G1000">
        <v>300000</v>
      </c>
      <c r="H1000">
        <v>54167</v>
      </c>
      <c r="I1000" s="30" t="s">
        <v>37</v>
      </c>
      <c r="J1000" s="30" t="s">
        <v>494</v>
      </c>
      <c r="K1000">
        <v>6</v>
      </c>
      <c r="L1000" s="29">
        <v>46157</v>
      </c>
      <c r="M1000" s="29">
        <v>46128</v>
      </c>
      <c r="N1000" s="30" t="str">
        <f>VLOOKUP(Query1[[#This Row],[company_name]],'Org Mapping'!$B:$I,8,FALSE)</f>
        <v>Prathap Sagar</v>
      </c>
      <c r="O1000" s="30" t="str">
        <f>TEXT(Query1[[#This Row],[last_work_day]],"mmm'yy")</f>
        <v>May'26</v>
      </c>
    </row>
    <row r="1001" spans="1:15" hidden="1" x14ac:dyDescent="0.35">
      <c r="A1001" s="30" t="s">
        <v>2857</v>
      </c>
      <c r="B1001" s="30" t="s">
        <v>1544</v>
      </c>
      <c r="C1001" s="30" t="s">
        <v>2858</v>
      </c>
      <c r="D1001">
        <v>2</v>
      </c>
      <c r="E1001" s="30" t="s">
        <v>2859</v>
      </c>
      <c r="F1001" s="29">
        <v>46065</v>
      </c>
      <c r="G1001">
        <v>195550</v>
      </c>
      <c r="H1001">
        <v>95550</v>
      </c>
      <c r="I1001" s="30" t="s">
        <v>37</v>
      </c>
      <c r="J1001" s="30" t="s">
        <v>494</v>
      </c>
      <c r="K1001">
        <v>6</v>
      </c>
      <c r="L1001" s="29">
        <v>46142</v>
      </c>
      <c r="M1001" s="29">
        <v>46140</v>
      </c>
      <c r="N1001" s="30" t="str">
        <f>VLOOKUP(Query1[[#This Row],[company_name]],'Org Mapping'!$B:$I,8,FALSE)</f>
        <v>Prathap Sagar</v>
      </c>
      <c r="O1001" s="30" t="str">
        <f>TEXT(Query1[[#This Row],[last_work_day]],"mmm'yy")</f>
        <v>Apr'26</v>
      </c>
    </row>
    <row r="1002" spans="1:15" hidden="1" x14ac:dyDescent="0.35">
      <c r="A1002" s="30" t="s">
        <v>774</v>
      </c>
      <c r="B1002" s="30" t="s">
        <v>812</v>
      </c>
      <c r="C1002" s="30" t="s">
        <v>838</v>
      </c>
      <c r="D1002">
        <v>6</v>
      </c>
      <c r="E1002" s="30" t="s">
        <v>839</v>
      </c>
      <c r="F1002" s="29">
        <v>46062</v>
      </c>
      <c r="G1002">
        <v>50700</v>
      </c>
      <c r="H1002">
        <v>7367</v>
      </c>
      <c r="I1002" s="30" t="s">
        <v>91</v>
      </c>
      <c r="J1002" s="30" t="s">
        <v>17</v>
      </c>
      <c r="K1002">
        <v>6</v>
      </c>
      <c r="L1002" s="29">
        <v>46104</v>
      </c>
      <c r="M1002" s="29">
        <v>46104</v>
      </c>
      <c r="N1002" s="30" t="str">
        <f>VLOOKUP(Query1[[#This Row],[company_name]],'Org Mapping'!$B:$I,8,FALSE)</f>
        <v>Jawad Ulla Khan</v>
      </c>
      <c r="O1002" s="30" t="str">
        <f>TEXT(Query1[[#This Row],[last_work_day]],"mmm'yy")</f>
        <v>Mar'26</v>
      </c>
    </row>
    <row r="1003" spans="1:15" hidden="1" x14ac:dyDescent="0.35">
      <c r="A1003" s="30" t="s">
        <v>557</v>
      </c>
      <c r="B1003" s="30" t="s">
        <v>89</v>
      </c>
      <c r="C1003" s="30" t="s">
        <v>840</v>
      </c>
      <c r="D1003">
        <v>2</v>
      </c>
      <c r="E1003" s="30" t="s">
        <v>841</v>
      </c>
      <c r="F1003" s="29">
        <v>46065</v>
      </c>
      <c r="G1003">
        <v>48000</v>
      </c>
      <c r="H1003">
        <v>8000</v>
      </c>
      <c r="I1003" s="30" t="s">
        <v>37</v>
      </c>
      <c r="J1003" s="30" t="s">
        <v>76</v>
      </c>
      <c r="K1003">
        <v>6</v>
      </c>
      <c r="L1003" s="29">
        <v>46093</v>
      </c>
      <c r="M1003" s="29">
        <v>46090</v>
      </c>
      <c r="N1003" s="30" t="str">
        <f>VLOOKUP(Query1[[#This Row],[company_name]],'Org Mapping'!$B:$I,8,FALSE)</f>
        <v>Jawad Ulla Khan</v>
      </c>
      <c r="O1003" s="30" t="str">
        <f>TEXT(Query1[[#This Row],[last_work_day]],"mmm'yy")</f>
        <v>Mar'26</v>
      </c>
    </row>
    <row r="1004" spans="1:15" hidden="1" x14ac:dyDescent="0.35">
      <c r="A1004" s="30" t="s">
        <v>2770</v>
      </c>
      <c r="B1004" s="30" t="s">
        <v>1628</v>
      </c>
      <c r="C1004" s="30" t="s">
        <v>2860</v>
      </c>
      <c r="D1004">
        <v>2</v>
      </c>
      <c r="E1004" s="30" t="s">
        <v>2861</v>
      </c>
      <c r="F1004" s="29">
        <v>46069</v>
      </c>
      <c r="G1004">
        <v>300080</v>
      </c>
      <c r="H1004">
        <v>75080</v>
      </c>
      <c r="I1004" s="30" t="s">
        <v>559</v>
      </c>
      <c r="J1004" s="30" t="s">
        <v>384</v>
      </c>
      <c r="K1004">
        <v>6</v>
      </c>
      <c r="L1004" s="29">
        <v>46069</v>
      </c>
      <c r="M1004" s="29">
        <v>46121</v>
      </c>
      <c r="N1004" s="30" t="str">
        <f>VLOOKUP(Query1[[#This Row],[company_name]],'Org Mapping'!$B:$I,8,FALSE)</f>
        <v>Sadhna Shukla</v>
      </c>
      <c r="O1004" s="30" t="str">
        <f>TEXT(Query1[[#This Row],[last_work_day]],"mmm'yy")</f>
        <v>Feb'26</v>
      </c>
    </row>
    <row r="1005" spans="1:15" hidden="1" x14ac:dyDescent="0.35">
      <c r="A1005" s="30" t="s">
        <v>2747</v>
      </c>
      <c r="B1005" s="30" t="s">
        <v>446</v>
      </c>
      <c r="C1005" s="30" t="s">
        <v>2862</v>
      </c>
      <c r="D1005">
        <v>1</v>
      </c>
      <c r="E1005" s="30" t="s">
        <v>2863</v>
      </c>
      <c r="F1005" s="29">
        <v>46065</v>
      </c>
      <c r="G1005">
        <v>329096.25</v>
      </c>
      <c r="H1005">
        <v>170763.25</v>
      </c>
      <c r="I1005" s="30" t="s">
        <v>16</v>
      </c>
      <c r="J1005" s="30" t="s">
        <v>102</v>
      </c>
      <c r="K1005">
        <v>6</v>
      </c>
      <c r="L1005" s="29">
        <v>46171</v>
      </c>
      <c r="M1005" s="29">
        <v>46163</v>
      </c>
      <c r="N1005" s="30" t="str">
        <f>VLOOKUP(Query1[[#This Row],[company_name]],'Org Mapping'!$B:$I,8,FALSE)</f>
        <v>Mehr Hashim</v>
      </c>
      <c r="O1005" s="30" t="str">
        <f>TEXT(Query1[[#This Row],[last_work_day]],"mmm'yy")</f>
        <v>May'26</v>
      </c>
    </row>
    <row r="1006" spans="1:15" hidden="1" x14ac:dyDescent="0.35">
      <c r="A1006" s="30" t="s">
        <v>2821</v>
      </c>
      <c r="B1006" s="30" t="s">
        <v>39</v>
      </c>
      <c r="C1006" s="30" t="s">
        <v>2864</v>
      </c>
      <c r="D1006">
        <v>4</v>
      </c>
      <c r="E1006" s="30" t="s">
        <v>2865</v>
      </c>
      <c r="F1006" s="29">
        <v>46065</v>
      </c>
      <c r="G1006">
        <v>428400</v>
      </c>
      <c r="H1006">
        <v>95066.67</v>
      </c>
      <c r="I1006" s="30" t="s">
        <v>1279</v>
      </c>
      <c r="J1006" s="30" t="s">
        <v>49</v>
      </c>
      <c r="K1006">
        <v>6</v>
      </c>
      <c r="L1006" s="29">
        <v>46113</v>
      </c>
      <c r="M1006" s="29">
        <v>46113</v>
      </c>
      <c r="N1006" s="30" t="str">
        <f>VLOOKUP(Query1[[#This Row],[company_name]],'Org Mapping'!$B:$I,8,FALSE)</f>
        <v>Mehr Hashim</v>
      </c>
      <c r="O1006" s="30" t="str">
        <f>TEXT(Query1[[#This Row],[last_work_day]],"mmm'yy")</f>
        <v>Apr'26</v>
      </c>
    </row>
    <row r="1007" spans="1:15" hidden="1" x14ac:dyDescent="0.35">
      <c r="A1007" s="30" t="s">
        <v>2866</v>
      </c>
      <c r="B1007" s="30" t="s">
        <v>812</v>
      </c>
      <c r="C1007" s="30" t="s">
        <v>2867</v>
      </c>
      <c r="D1007">
        <v>2</v>
      </c>
      <c r="E1007" s="30" t="s">
        <v>2868</v>
      </c>
      <c r="F1007" s="29">
        <v>46066</v>
      </c>
      <c r="G1007">
        <v>37090</v>
      </c>
      <c r="H1007">
        <v>12090</v>
      </c>
      <c r="I1007" s="30" t="s">
        <v>26</v>
      </c>
      <c r="J1007" s="30" t="s">
        <v>537</v>
      </c>
      <c r="K1007">
        <v>6</v>
      </c>
      <c r="L1007" s="29">
        <v>46142</v>
      </c>
      <c r="M1007" s="29">
        <v>46146</v>
      </c>
      <c r="N1007" s="30" t="str">
        <f>VLOOKUP(Query1[[#This Row],[company_name]],'Org Mapping'!$B:$I,8,FALSE)</f>
        <v>UHG/Lenovo</v>
      </c>
      <c r="O1007" s="30" t="str">
        <f>TEXT(Query1[[#This Row],[last_work_day]],"mmm'yy")</f>
        <v>Apr'26</v>
      </c>
    </row>
    <row r="1008" spans="1:15" hidden="1" x14ac:dyDescent="0.35">
      <c r="A1008" s="30" t="s">
        <v>550</v>
      </c>
      <c r="B1008" s="30" t="s">
        <v>812</v>
      </c>
      <c r="C1008" s="30" t="s">
        <v>2869</v>
      </c>
      <c r="D1008">
        <v>2</v>
      </c>
      <c r="E1008" s="30" t="s">
        <v>2870</v>
      </c>
      <c r="F1008" s="29">
        <v>46066</v>
      </c>
      <c r="G1008">
        <v>37090</v>
      </c>
      <c r="H1008">
        <v>12090</v>
      </c>
      <c r="I1008" s="30" t="s">
        <v>92</v>
      </c>
      <c r="J1008" s="30" t="s">
        <v>537</v>
      </c>
      <c r="K1008">
        <v>6</v>
      </c>
      <c r="L1008" s="29">
        <v>46118</v>
      </c>
      <c r="M1008" s="29">
        <v>46118</v>
      </c>
      <c r="N1008" s="30" t="str">
        <f>VLOOKUP(Query1[[#This Row],[company_name]],'Org Mapping'!$B:$I,8,FALSE)</f>
        <v>UHG/Lenovo</v>
      </c>
      <c r="O1008" s="30" t="str">
        <f>TEXT(Query1[[#This Row],[last_work_day]],"mmm'yy")</f>
        <v>Apr'26</v>
      </c>
    </row>
    <row r="1009" spans="1:15" hidden="1" x14ac:dyDescent="0.35">
      <c r="A1009" s="30" t="s">
        <v>1411</v>
      </c>
      <c r="B1009" s="30" t="s">
        <v>39</v>
      </c>
      <c r="C1009" s="30" t="s">
        <v>2871</v>
      </c>
      <c r="D1009">
        <v>4</v>
      </c>
      <c r="E1009" s="30" t="s">
        <v>2872</v>
      </c>
      <c r="F1009" s="29">
        <v>46069</v>
      </c>
      <c r="G1009">
        <v>128325</v>
      </c>
      <c r="H1009">
        <v>24158.33</v>
      </c>
      <c r="I1009" s="30" t="s">
        <v>1279</v>
      </c>
      <c r="J1009" s="30" t="s">
        <v>40</v>
      </c>
      <c r="K1009">
        <v>6</v>
      </c>
      <c r="L1009" s="29">
        <v>46097</v>
      </c>
      <c r="M1009" s="29">
        <v>46098</v>
      </c>
      <c r="N1009" s="30" t="str">
        <f>VLOOKUP(Query1[[#This Row],[company_name]],'Org Mapping'!$B:$I,8,FALSE)</f>
        <v>Mehr Hashim</v>
      </c>
      <c r="O1009" s="30" t="str">
        <f>TEXT(Query1[[#This Row],[last_work_day]],"mmm'yy")</f>
        <v>Mar'26</v>
      </c>
    </row>
    <row r="1010" spans="1:15" hidden="1" x14ac:dyDescent="0.35">
      <c r="A1010" s="30" t="s">
        <v>555</v>
      </c>
      <c r="B1010" s="30" t="s">
        <v>89</v>
      </c>
      <c r="C1010" s="30" t="s">
        <v>2873</v>
      </c>
      <c r="D1010">
        <v>2</v>
      </c>
      <c r="E1010" s="30" t="s">
        <v>2874</v>
      </c>
      <c r="F1010" s="29">
        <v>46069</v>
      </c>
      <c r="G1010">
        <v>37090</v>
      </c>
      <c r="H1010">
        <v>12090</v>
      </c>
      <c r="I1010" s="30" t="s">
        <v>26</v>
      </c>
      <c r="J1010" s="30" t="s">
        <v>537</v>
      </c>
      <c r="K1010">
        <v>6</v>
      </c>
      <c r="L1010" s="29">
        <v>46167</v>
      </c>
      <c r="M1010" s="29">
        <v>46161</v>
      </c>
      <c r="N1010" s="30" t="str">
        <f>VLOOKUP(Query1[[#This Row],[company_name]],'Org Mapping'!$B:$I,8,FALSE)</f>
        <v>UHG/Lenovo</v>
      </c>
      <c r="O1010" s="30" t="str">
        <f>TEXT(Query1[[#This Row],[last_work_day]],"mmm'yy")</f>
        <v>May'26</v>
      </c>
    </row>
    <row r="1011" spans="1:15" hidden="1" x14ac:dyDescent="0.35">
      <c r="A1011" s="30" t="s">
        <v>481</v>
      </c>
      <c r="B1011" s="30" t="s">
        <v>89</v>
      </c>
      <c r="C1011" s="30" t="s">
        <v>2875</v>
      </c>
      <c r="D1011">
        <v>2</v>
      </c>
      <c r="E1011" s="30" t="s">
        <v>2876</v>
      </c>
      <c r="F1011" s="29">
        <v>46066</v>
      </c>
      <c r="G1011">
        <v>37090</v>
      </c>
      <c r="H1011">
        <v>12090</v>
      </c>
      <c r="I1011" s="30" t="s">
        <v>92</v>
      </c>
      <c r="J1011" s="30" t="s">
        <v>537</v>
      </c>
      <c r="K1011">
        <v>6</v>
      </c>
      <c r="L1011" s="29">
        <v>46139</v>
      </c>
      <c r="M1011" s="29">
        <v>46139</v>
      </c>
      <c r="N1011" s="30" t="str">
        <f>VLOOKUP(Query1[[#This Row],[company_name]],'Org Mapping'!$B:$I,8,FALSE)</f>
        <v>UHG/Lenovo</v>
      </c>
      <c r="O1011" s="30" t="str">
        <f>TEXT(Query1[[#This Row],[last_work_day]],"mmm'yy")</f>
        <v>Apr'26</v>
      </c>
    </row>
    <row r="1012" spans="1:15" hidden="1" x14ac:dyDescent="0.35">
      <c r="A1012" s="30" t="s">
        <v>557</v>
      </c>
      <c r="B1012" s="30" t="s">
        <v>89</v>
      </c>
      <c r="C1012" s="30" t="s">
        <v>2877</v>
      </c>
      <c r="D1012">
        <v>2</v>
      </c>
      <c r="E1012" s="30" t="s">
        <v>2878</v>
      </c>
      <c r="F1012" s="29">
        <v>46069</v>
      </c>
      <c r="G1012">
        <v>37090</v>
      </c>
      <c r="H1012">
        <v>12090</v>
      </c>
      <c r="I1012" s="30" t="s">
        <v>91</v>
      </c>
      <c r="J1012" s="30" t="s">
        <v>537</v>
      </c>
      <c r="K1012">
        <v>6</v>
      </c>
      <c r="L1012" s="29">
        <v>46132</v>
      </c>
      <c r="M1012" s="29">
        <v>46163</v>
      </c>
      <c r="N1012" s="30" t="str">
        <f>VLOOKUP(Query1[[#This Row],[company_name]],'Org Mapping'!$B:$I,8,FALSE)</f>
        <v>UHG/Lenovo</v>
      </c>
      <c r="O1012" s="30" t="str">
        <f>TEXT(Query1[[#This Row],[last_work_day]],"mmm'yy")</f>
        <v>Apr'26</v>
      </c>
    </row>
    <row r="1013" spans="1:15" hidden="1" x14ac:dyDescent="0.35">
      <c r="A1013" s="30" t="s">
        <v>817</v>
      </c>
      <c r="B1013" s="30" t="s">
        <v>812</v>
      </c>
      <c r="C1013" s="30" t="s">
        <v>2879</v>
      </c>
      <c r="D1013">
        <v>2</v>
      </c>
      <c r="E1013" s="30" t="s">
        <v>2880</v>
      </c>
      <c r="F1013" s="29">
        <v>46069</v>
      </c>
      <c r="G1013">
        <v>37090</v>
      </c>
      <c r="H1013">
        <v>12090</v>
      </c>
      <c r="I1013" s="30" t="s">
        <v>26</v>
      </c>
      <c r="J1013" s="30" t="s">
        <v>537</v>
      </c>
      <c r="K1013">
        <v>6</v>
      </c>
      <c r="L1013" s="29">
        <v>46169</v>
      </c>
      <c r="M1013" s="29">
        <v>46161</v>
      </c>
      <c r="N1013" s="30" t="str">
        <f>VLOOKUP(Query1[[#This Row],[company_name]],'Org Mapping'!$B:$I,8,FALSE)</f>
        <v>UHG/Lenovo</v>
      </c>
      <c r="O1013" s="30" t="str">
        <f>TEXT(Query1[[#This Row],[last_work_day]],"mmm'yy")</f>
        <v>May'26</v>
      </c>
    </row>
    <row r="1014" spans="1:15" hidden="1" x14ac:dyDescent="0.35">
      <c r="A1014" s="30" t="s">
        <v>555</v>
      </c>
      <c r="B1014" s="30" t="s">
        <v>89</v>
      </c>
      <c r="C1014" s="30" t="s">
        <v>2881</v>
      </c>
      <c r="D1014">
        <v>2</v>
      </c>
      <c r="E1014" s="30" t="s">
        <v>2882</v>
      </c>
      <c r="F1014" s="29">
        <v>46069</v>
      </c>
      <c r="G1014">
        <v>37090</v>
      </c>
      <c r="H1014">
        <v>12090</v>
      </c>
      <c r="I1014" s="30" t="s">
        <v>91</v>
      </c>
      <c r="J1014" s="30" t="s">
        <v>537</v>
      </c>
      <c r="K1014">
        <v>6</v>
      </c>
      <c r="L1014" s="29">
        <v>46125</v>
      </c>
      <c r="M1014" s="29">
        <v>46149</v>
      </c>
      <c r="N1014" s="30" t="str">
        <f>VLOOKUP(Query1[[#This Row],[company_name]],'Org Mapping'!$B:$I,8,FALSE)</f>
        <v>UHG/Lenovo</v>
      </c>
      <c r="O1014" s="30" t="str">
        <f>TEXT(Query1[[#This Row],[last_work_day]],"mmm'yy")</f>
        <v>Apr'26</v>
      </c>
    </row>
    <row r="1015" spans="1:15" hidden="1" x14ac:dyDescent="0.35">
      <c r="A1015" s="30" t="s">
        <v>752</v>
      </c>
      <c r="B1015" s="30" t="s">
        <v>812</v>
      </c>
      <c r="C1015" s="30" t="s">
        <v>2883</v>
      </c>
      <c r="D1015">
        <v>2</v>
      </c>
      <c r="E1015" s="30" t="s">
        <v>2884</v>
      </c>
      <c r="F1015" s="29">
        <v>46072</v>
      </c>
      <c r="G1015">
        <v>37090</v>
      </c>
      <c r="H1015">
        <v>12090</v>
      </c>
      <c r="I1015" s="30" t="s">
        <v>91</v>
      </c>
      <c r="J1015" s="30" t="s">
        <v>537</v>
      </c>
      <c r="K1015">
        <v>6</v>
      </c>
      <c r="L1015" s="29">
        <v>46083</v>
      </c>
      <c r="M1015" s="29">
        <v>46083</v>
      </c>
      <c r="N1015" s="30" t="str">
        <f>VLOOKUP(Query1[[#This Row],[company_name]],'Org Mapping'!$B:$I,8,FALSE)</f>
        <v>UHG/Lenovo</v>
      </c>
      <c r="O1015" s="30" t="str">
        <f>TEXT(Query1[[#This Row],[last_work_day]],"mmm'yy")</f>
        <v>Mar'26</v>
      </c>
    </row>
    <row r="1016" spans="1:15" hidden="1" x14ac:dyDescent="0.35">
      <c r="A1016" s="30" t="s">
        <v>550</v>
      </c>
      <c r="B1016" s="30" t="s">
        <v>812</v>
      </c>
      <c r="C1016" s="30" t="s">
        <v>2885</v>
      </c>
      <c r="D1016">
        <v>2</v>
      </c>
      <c r="E1016" s="30" t="s">
        <v>2886</v>
      </c>
      <c r="F1016" s="29">
        <v>46072</v>
      </c>
      <c r="G1016">
        <v>37090</v>
      </c>
      <c r="H1016">
        <v>12090</v>
      </c>
      <c r="I1016" s="30" t="s">
        <v>26</v>
      </c>
      <c r="J1016" s="30" t="s">
        <v>537</v>
      </c>
      <c r="K1016">
        <v>6</v>
      </c>
      <c r="L1016" s="29">
        <v>46073</v>
      </c>
      <c r="M1016" s="29">
        <v>46080</v>
      </c>
      <c r="N1016" s="30" t="str">
        <f>VLOOKUP(Query1[[#This Row],[company_name]],'Org Mapping'!$B:$I,8,FALSE)</f>
        <v>UHG/Lenovo</v>
      </c>
      <c r="O1016" s="30" t="str">
        <f>TEXT(Query1[[#This Row],[last_work_day]],"mmm'yy")</f>
        <v>Feb'26</v>
      </c>
    </row>
    <row r="1017" spans="1:15" hidden="1" x14ac:dyDescent="0.35">
      <c r="A1017" s="30" t="s">
        <v>390</v>
      </c>
      <c r="B1017" s="30" t="s">
        <v>89</v>
      </c>
      <c r="C1017" s="30" t="s">
        <v>2887</v>
      </c>
      <c r="D1017">
        <v>2</v>
      </c>
      <c r="E1017" s="30" t="s">
        <v>2888</v>
      </c>
      <c r="F1017" s="29">
        <v>46072</v>
      </c>
      <c r="G1017">
        <v>37090</v>
      </c>
      <c r="H1017">
        <v>12090</v>
      </c>
      <c r="I1017" s="30" t="s">
        <v>26</v>
      </c>
      <c r="J1017" s="30" t="s">
        <v>537</v>
      </c>
      <c r="K1017">
        <v>6</v>
      </c>
      <c r="L1017" s="29">
        <v>46078</v>
      </c>
      <c r="M1017" s="29">
        <v>46084</v>
      </c>
      <c r="N1017" s="30" t="str">
        <f>VLOOKUP(Query1[[#This Row],[company_name]],'Org Mapping'!$B:$I,8,FALSE)</f>
        <v>UHG/Lenovo</v>
      </c>
      <c r="O1017" s="30" t="str">
        <f>TEXT(Query1[[#This Row],[last_work_day]],"mmm'yy")</f>
        <v>Feb'26</v>
      </c>
    </row>
    <row r="1018" spans="1:15" hidden="1" x14ac:dyDescent="0.35">
      <c r="A1018" s="30" t="s">
        <v>2866</v>
      </c>
      <c r="B1018" s="30" t="s">
        <v>812</v>
      </c>
      <c r="C1018" s="30" t="s">
        <v>2889</v>
      </c>
      <c r="D1018">
        <v>2</v>
      </c>
      <c r="E1018" s="30" t="s">
        <v>2890</v>
      </c>
      <c r="F1018" s="29">
        <v>46072</v>
      </c>
      <c r="G1018">
        <v>37090</v>
      </c>
      <c r="H1018">
        <v>12090</v>
      </c>
      <c r="I1018" s="30" t="s">
        <v>26</v>
      </c>
      <c r="J1018" s="30" t="s">
        <v>537</v>
      </c>
      <c r="K1018">
        <v>6</v>
      </c>
      <c r="L1018" s="29">
        <v>46083</v>
      </c>
      <c r="M1018" s="29">
        <v>46083</v>
      </c>
      <c r="N1018" s="30" t="str">
        <f>VLOOKUP(Query1[[#This Row],[company_name]],'Org Mapping'!$B:$I,8,FALSE)</f>
        <v>UHG/Lenovo</v>
      </c>
      <c r="O1018" s="30" t="str">
        <f>TEXT(Query1[[#This Row],[last_work_day]],"mmm'yy")</f>
        <v>Mar'26</v>
      </c>
    </row>
    <row r="1019" spans="1:15" hidden="1" x14ac:dyDescent="0.35">
      <c r="A1019" s="30" t="s">
        <v>749</v>
      </c>
      <c r="B1019" s="30" t="s">
        <v>89</v>
      </c>
      <c r="C1019" s="30" t="s">
        <v>842</v>
      </c>
      <c r="D1019">
        <v>2</v>
      </c>
      <c r="E1019" s="30" t="s">
        <v>843</v>
      </c>
      <c r="F1019" s="29">
        <v>46078</v>
      </c>
      <c r="G1019">
        <v>29500</v>
      </c>
      <c r="H1019">
        <v>4500</v>
      </c>
      <c r="I1019" s="30" t="s">
        <v>26</v>
      </c>
      <c r="J1019" s="30" t="s">
        <v>76</v>
      </c>
      <c r="K1019">
        <v>6</v>
      </c>
      <c r="L1019" s="29">
        <v>46161</v>
      </c>
      <c r="M1019" s="29">
        <v>46135</v>
      </c>
      <c r="N1019" s="30" t="str">
        <f>VLOOKUP(Query1[[#This Row],[company_name]],'Org Mapping'!$B:$I,8,FALSE)</f>
        <v>Jawad Ulla Khan</v>
      </c>
      <c r="O1019" s="30" t="str">
        <f>TEXT(Query1[[#This Row],[last_work_day]],"mmm'yy")</f>
        <v>May'26</v>
      </c>
    </row>
    <row r="1020" spans="1:15" hidden="1" x14ac:dyDescent="0.35">
      <c r="A1020" s="30" t="s">
        <v>2866</v>
      </c>
      <c r="B1020" s="30" t="s">
        <v>812</v>
      </c>
      <c r="C1020" s="30" t="s">
        <v>2891</v>
      </c>
      <c r="D1020">
        <v>2</v>
      </c>
      <c r="E1020" s="30" t="s">
        <v>2892</v>
      </c>
      <c r="F1020" s="29">
        <v>46072</v>
      </c>
      <c r="G1020">
        <v>37090</v>
      </c>
      <c r="H1020">
        <v>12090</v>
      </c>
      <c r="I1020" s="30" t="s">
        <v>26</v>
      </c>
      <c r="J1020" s="30" t="s">
        <v>537</v>
      </c>
      <c r="K1020">
        <v>6</v>
      </c>
      <c r="L1020" s="29">
        <v>46170</v>
      </c>
      <c r="M1020" s="29">
        <v>46143</v>
      </c>
      <c r="N1020" s="30" t="str">
        <f>VLOOKUP(Query1[[#This Row],[company_name]],'Org Mapping'!$B:$I,8,FALSE)</f>
        <v>UHG/Lenovo</v>
      </c>
      <c r="O1020" s="30" t="str">
        <f>TEXT(Query1[[#This Row],[last_work_day]],"mmm'yy")</f>
        <v>May'26</v>
      </c>
    </row>
    <row r="1021" spans="1:15" hidden="1" x14ac:dyDescent="0.35">
      <c r="A1021" s="30" t="s">
        <v>2765</v>
      </c>
      <c r="B1021" s="30" t="s">
        <v>446</v>
      </c>
      <c r="C1021" s="30" t="s">
        <v>2893</v>
      </c>
      <c r="D1021">
        <v>2</v>
      </c>
      <c r="E1021" s="30" t="s">
        <v>2894</v>
      </c>
      <c r="F1021" s="29">
        <v>46097</v>
      </c>
      <c r="G1021">
        <v>340200</v>
      </c>
      <c r="H1021">
        <v>173533.33</v>
      </c>
      <c r="I1021" s="30" t="s">
        <v>16</v>
      </c>
      <c r="J1021" s="30" t="s">
        <v>102</v>
      </c>
      <c r="K1021">
        <v>6</v>
      </c>
      <c r="L1021" s="29">
        <v>46106</v>
      </c>
      <c r="M1021" s="29">
        <v>46106</v>
      </c>
      <c r="N1021" s="30" t="str">
        <f>VLOOKUP(Query1[[#This Row],[company_name]],'Org Mapping'!$B:$I,8,FALSE)</f>
        <v>Mehr Hashim</v>
      </c>
      <c r="O1021" s="30" t="str">
        <f>TEXT(Query1[[#This Row],[last_work_day]],"mmm'yy")</f>
        <v>Mar'26</v>
      </c>
    </row>
    <row r="1022" spans="1:15" hidden="1" x14ac:dyDescent="0.35">
      <c r="A1022" s="30" t="s">
        <v>2895</v>
      </c>
      <c r="B1022" s="30" t="s">
        <v>117</v>
      </c>
      <c r="C1022" s="30" t="s">
        <v>2896</v>
      </c>
      <c r="D1022">
        <v>2</v>
      </c>
      <c r="E1022" s="30" t="s">
        <v>2897</v>
      </c>
      <c r="F1022" s="29">
        <v>46083</v>
      </c>
      <c r="G1022">
        <v>420000</v>
      </c>
      <c r="H1022">
        <v>170000</v>
      </c>
      <c r="I1022" s="30" t="s">
        <v>92</v>
      </c>
      <c r="J1022" s="30" t="s">
        <v>844</v>
      </c>
      <c r="K1022">
        <v>6</v>
      </c>
      <c r="L1022" s="29">
        <v>46142</v>
      </c>
      <c r="M1022" s="29">
        <v>46142</v>
      </c>
      <c r="N1022" s="30" t="str">
        <f>VLOOKUP(Query1[[#This Row],[company_name]],'Org Mapping'!$B:$I,8,FALSE)</f>
        <v>Deepak Desai</v>
      </c>
      <c r="O1022" s="30" t="str">
        <f>TEXT(Query1[[#This Row],[last_work_day]],"mmm'yy")</f>
        <v>Apr'26</v>
      </c>
    </row>
    <row r="1023" spans="1:15" hidden="1" x14ac:dyDescent="0.35">
      <c r="A1023" s="30" t="s">
        <v>1497</v>
      </c>
      <c r="B1023" s="30" t="s">
        <v>39</v>
      </c>
      <c r="C1023" s="30" t="s">
        <v>2898</v>
      </c>
      <c r="D1023">
        <v>4</v>
      </c>
      <c r="E1023" s="30" t="s">
        <v>2899</v>
      </c>
      <c r="F1023" s="29">
        <v>46092</v>
      </c>
      <c r="G1023">
        <v>555000</v>
      </c>
      <c r="H1023">
        <v>96667</v>
      </c>
      <c r="I1023" s="30" t="s">
        <v>1279</v>
      </c>
      <c r="J1023" s="30" t="s">
        <v>495</v>
      </c>
      <c r="K1023">
        <v>6</v>
      </c>
      <c r="L1023" s="29">
        <v>46128</v>
      </c>
      <c r="M1023" s="29">
        <v>46128</v>
      </c>
      <c r="N1023" s="30" t="str">
        <f>VLOOKUP(Query1[[#This Row],[company_name]],'Org Mapping'!$B:$I,8,FALSE)</f>
        <v>Mehr Hashim</v>
      </c>
      <c r="O1023" s="30" t="str">
        <f>TEXT(Query1[[#This Row],[last_work_day]],"mmm'yy")</f>
        <v>Apr'26</v>
      </c>
    </row>
    <row r="1024" spans="1:15" hidden="1" x14ac:dyDescent="0.35">
      <c r="A1024" s="30" t="s">
        <v>2900</v>
      </c>
      <c r="B1024" s="30" t="s">
        <v>43</v>
      </c>
      <c r="C1024" s="30" t="s">
        <v>2901</v>
      </c>
      <c r="D1024">
        <v>2</v>
      </c>
      <c r="E1024" s="30" t="s">
        <v>2902</v>
      </c>
      <c r="F1024" s="29">
        <v>46083</v>
      </c>
      <c r="G1024">
        <v>38333.33</v>
      </c>
      <c r="H1024">
        <v>5000</v>
      </c>
      <c r="I1024" s="30" t="s">
        <v>16</v>
      </c>
      <c r="J1024" s="30" t="s">
        <v>66</v>
      </c>
      <c r="K1024">
        <v>6</v>
      </c>
      <c r="L1024" s="29">
        <v>46115</v>
      </c>
      <c r="M1024" s="29">
        <v>46119</v>
      </c>
      <c r="N1024" s="30" t="str">
        <f>VLOOKUP(Query1[[#This Row],[company_name]],'Org Mapping'!$B:$I,8,FALSE)</f>
        <v>Jawad Ulla Khan</v>
      </c>
      <c r="O1024" s="30" t="str">
        <f>TEXT(Query1[[#This Row],[last_work_day]],"mmm'yy")</f>
        <v>Apr'26</v>
      </c>
    </row>
    <row r="1025" spans="1:15" hidden="1" x14ac:dyDescent="0.35">
      <c r="A1025" s="30" t="s">
        <v>2903</v>
      </c>
      <c r="B1025" s="30" t="s">
        <v>1544</v>
      </c>
      <c r="C1025" s="30" t="s">
        <v>2904</v>
      </c>
      <c r="D1025">
        <v>2</v>
      </c>
      <c r="E1025" s="30" t="s">
        <v>2905</v>
      </c>
      <c r="F1025" s="29">
        <v>46086</v>
      </c>
      <c r="G1025">
        <v>205001</v>
      </c>
      <c r="H1025">
        <v>63334.33</v>
      </c>
      <c r="I1025" s="30" t="s">
        <v>92</v>
      </c>
      <c r="J1025" s="30" t="s">
        <v>494</v>
      </c>
      <c r="K1025">
        <v>6</v>
      </c>
      <c r="L1025" s="29">
        <v>46096</v>
      </c>
      <c r="M1025" s="29">
        <v>46113</v>
      </c>
      <c r="N1025" s="30" t="str">
        <f>VLOOKUP(Query1[[#This Row],[company_name]],'Org Mapping'!$B:$I,8,FALSE)</f>
        <v>Prathap Sagar</v>
      </c>
      <c r="O1025" s="30" t="str">
        <f>TEXT(Query1[[#This Row],[last_work_day]],"mmm'yy")</f>
        <v>Mar'26</v>
      </c>
    </row>
    <row r="1026" spans="1:15" hidden="1" x14ac:dyDescent="0.35">
      <c r="A1026" s="30" t="s">
        <v>390</v>
      </c>
      <c r="B1026" s="30" t="s">
        <v>89</v>
      </c>
      <c r="C1026" s="30" t="s">
        <v>2906</v>
      </c>
      <c r="D1026">
        <v>2</v>
      </c>
      <c r="E1026" s="30" t="s">
        <v>2907</v>
      </c>
      <c r="F1026" s="29">
        <v>46086</v>
      </c>
      <c r="G1026">
        <v>163333.32999999999</v>
      </c>
      <c r="H1026">
        <v>5000</v>
      </c>
      <c r="I1026" s="30" t="s">
        <v>16</v>
      </c>
      <c r="J1026" s="30" t="s">
        <v>66</v>
      </c>
      <c r="K1026">
        <v>6</v>
      </c>
      <c r="L1026" s="29">
        <v>46090</v>
      </c>
      <c r="M1026" s="29">
        <v>46092</v>
      </c>
      <c r="N1026" s="30" t="str">
        <f>VLOOKUP(Query1[[#This Row],[company_name]],'Org Mapping'!$B:$I,8,FALSE)</f>
        <v>Jawad Ulla Khan</v>
      </c>
      <c r="O1026" s="30" t="str">
        <f>TEXT(Query1[[#This Row],[last_work_day]],"mmm'yy")</f>
        <v>Mar'26</v>
      </c>
    </row>
    <row r="1027" spans="1:15" hidden="1" x14ac:dyDescent="0.35">
      <c r="A1027" s="30" t="s">
        <v>2908</v>
      </c>
      <c r="B1027" s="30" t="s">
        <v>2909</v>
      </c>
      <c r="C1027" s="30" t="s">
        <v>2910</v>
      </c>
      <c r="D1027">
        <v>1</v>
      </c>
      <c r="E1027" s="30" t="s">
        <v>2911</v>
      </c>
      <c r="F1027" s="29">
        <v>46097</v>
      </c>
      <c r="G1027">
        <v>96474</v>
      </c>
      <c r="H1027">
        <v>8974</v>
      </c>
      <c r="I1027" s="30" t="s">
        <v>26</v>
      </c>
      <c r="J1027" s="30" t="s">
        <v>120</v>
      </c>
      <c r="K1027">
        <v>6</v>
      </c>
      <c r="L1027" s="29">
        <v>46153</v>
      </c>
      <c r="M1027" s="29">
        <v>46120</v>
      </c>
      <c r="N1027" s="30" t="str">
        <f>VLOOKUP(Query1[[#This Row],[company_name]],'Org Mapping'!$B:$I,8,FALSE)</f>
        <v>Anuradha</v>
      </c>
      <c r="O1027" s="30" t="str">
        <f>TEXT(Query1[[#This Row],[last_work_day]],"mmm'yy")</f>
        <v>May'26</v>
      </c>
    </row>
    <row r="1028" spans="1:15" hidden="1" x14ac:dyDescent="0.35">
      <c r="A1028" s="30" t="s">
        <v>2912</v>
      </c>
      <c r="B1028" s="30" t="s">
        <v>812</v>
      </c>
      <c r="C1028" s="30" t="s">
        <v>2913</v>
      </c>
      <c r="D1028">
        <v>2</v>
      </c>
      <c r="E1028" s="30" t="s">
        <v>2914</v>
      </c>
      <c r="F1028" s="29">
        <v>46090</v>
      </c>
      <c r="G1028">
        <v>48316</v>
      </c>
      <c r="H1028">
        <v>6650</v>
      </c>
      <c r="I1028" s="30" t="s">
        <v>26</v>
      </c>
      <c r="J1028" s="30" t="s">
        <v>537</v>
      </c>
      <c r="K1028">
        <v>6</v>
      </c>
      <c r="L1028" s="29">
        <v>46129</v>
      </c>
      <c r="M1028" s="29">
        <v>46163</v>
      </c>
      <c r="N1028" s="30" t="str">
        <f>VLOOKUP(Query1[[#This Row],[company_name]],'Org Mapping'!$B:$I,8,FALSE)</f>
        <v>UHG/Lenovo</v>
      </c>
      <c r="O1028" s="30" t="str">
        <f>TEXT(Query1[[#This Row],[last_work_day]],"mmm'yy")</f>
        <v>Apr'26</v>
      </c>
    </row>
    <row r="1029" spans="1:15" hidden="1" x14ac:dyDescent="0.35">
      <c r="A1029" s="30" t="s">
        <v>360</v>
      </c>
      <c r="B1029" s="30" t="s">
        <v>89</v>
      </c>
      <c r="C1029" s="30" t="s">
        <v>2915</v>
      </c>
      <c r="D1029">
        <v>2</v>
      </c>
      <c r="E1029" s="30" t="s">
        <v>2916</v>
      </c>
      <c r="F1029" s="29">
        <v>46097</v>
      </c>
      <c r="G1029">
        <v>130000</v>
      </c>
      <c r="H1029">
        <v>5000</v>
      </c>
      <c r="I1029" s="30" t="s">
        <v>16</v>
      </c>
      <c r="J1029" s="30" t="s">
        <v>66</v>
      </c>
      <c r="K1029">
        <v>6</v>
      </c>
      <c r="L1029" s="29">
        <v>46106</v>
      </c>
      <c r="M1029" s="29">
        <v>46119</v>
      </c>
      <c r="N1029" s="30" t="str">
        <f>VLOOKUP(Query1[[#This Row],[company_name]],'Org Mapping'!$B:$I,8,FALSE)</f>
        <v>Jawad Ulla Khan</v>
      </c>
      <c r="O1029" s="30" t="str">
        <f>TEXT(Query1[[#This Row],[last_work_day]],"mmm'yy")</f>
        <v>Mar'26</v>
      </c>
    </row>
    <row r="1030" spans="1:15" hidden="1" x14ac:dyDescent="0.35">
      <c r="A1030" s="30" t="s">
        <v>2343</v>
      </c>
      <c r="B1030" s="30" t="s">
        <v>39</v>
      </c>
      <c r="C1030" s="30" t="s">
        <v>2917</v>
      </c>
      <c r="D1030">
        <v>2</v>
      </c>
      <c r="E1030" s="30" t="s">
        <v>2918</v>
      </c>
      <c r="F1030" s="29">
        <v>46097</v>
      </c>
      <c r="G1030">
        <v>53971.66</v>
      </c>
      <c r="H1030">
        <v>3055.66</v>
      </c>
      <c r="I1030" s="30" t="s">
        <v>26</v>
      </c>
      <c r="J1030" s="30" t="s">
        <v>40</v>
      </c>
      <c r="K1030">
        <v>6</v>
      </c>
      <c r="L1030" s="29">
        <v>46157</v>
      </c>
      <c r="M1030" s="29">
        <v>46153</v>
      </c>
      <c r="N1030" s="30" t="str">
        <f>VLOOKUP(Query1[[#This Row],[company_name]],'Org Mapping'!$B:$I,8,FALSE)</f>
        <v>Mehr Hashim</v>
      </c>
      <c r="O1030" s="30" t="str">
        <f>TEXT(Query1[[#This Row],[last_work_day]],"mmm'yy")</f>
        <v>May'26</v>
      </c>
    </row>
    <row r="1031" spans="1:15" hidden="1" x14ac:dyDescent="0.35">
      <c r="A1031" s="30" t="s">
        <v>752</v>
      </c>
      <c r="B1031" s="30" t="s">
        <v>812</v>
      </c>
      <c r="C1031" s="30" t="s">
        <v>845</v>
      </c>
      <c r="D1031">
        <v>2</v>
      </c>
      <c r="E1031" s="30" t="s">
        <v>846</v>
      </c>
      <c r="F1031" s="29">
        <v>46108</v>
      </c>
      <c r="G1031">
        <v>61006</v>
      </c>
      <c r="H1031">
        <v>9306</v>
      </c>
      <c r="I1031" s="30" t="s">
        <v>545</v>
      </c>
      <c r="J1031" s="30" t="s">
        <v>76</v>
      </c>
      <c r="K1031">
        <v>6</v>
      </c>
      <c r="L1031" s="29">
        <v>46136</v>
      </c>
      <c r="M1031" s="29">
        <v>46133</v>
      </c>
      <c r="N1031" s="30" t="str">
        <f>VLOOKUP(Query1[[#This Row],[company_name]],'Org Mapping'!$B:$I,8,FALSE)</f>
        <v>Jawad Ulla Khan</v>
      </c>
      <c r="O1031" s="30" t="str">
        <f>TEXT(Query1[[#This Row],[last_work_day]],"mmm'yy")</f>
        <v>Apr'26</v>
      </c>
    </row>
    <row r="1032" spans="1:15" hidden="1" x14ac:dyDescent="0.35">
      <c r="A1032" s="30" t="s">
        <v>557</v>
      </c>
      <c r="B1032" s="30" t="s">
        <v>89</v>
      </c>
      <c r="C1032" s="30" t="s">
        <v>847</v>
      </c>
      <c r="D1032">
        <v>2</v>
      </c>
      <c r="E1032" s="30" t="s">
        <v>848</v>
      </c>
      <c r="F1032" s="29">
        <v>46106</v>
      </c>
      <c r="G1032">
        <v>50000</v>
      </c>
      <c r="H1032">
        <v>10000</v>
      </c>
      <c r="I1032" s="30" t="s">
        <v>92</v>
      </c>
      <c r="J1032" s="30" t="s">
        <v>76</v>
      </c>
      <c r="K1032">
        <v>6</v>
      </c>
      <c r="L1032" s="29">
        <v>46121</v>
      </c>
      <c r="M1032" s="29">
        <v>46120</v>
      </c>
      <c r="N1032" s="30" t="str">
        <f>VLOOKUP(Query1[[#This Row],[company_name]],'Org Mapping'!$B:$I,8,FALSE)</f>
        <v>Jawad Ulla Khan</v>
      </c>
      <c r="O1032" s="30" t="str">
        <f>TEXT(Query1[[#This Row],[last_work_day]],"mmm'yy")</f>
        <v>Apr'26</v>
      </c>
    </row>
    <row r="1033" spans="1:15" hidden="1" x14ac:dyDescent="0.35">
      <c r="A1033" s="30" t="s">
        <v>557</v>
      </c>
      <c r="B1033" s="30" t="s">
        <v>89</v>
      </c>
      <c r="C1033" s="30" t="s">
        <v>849</v>
      </c>
      <c r="D1033">
        <v>2</v>
      </c>
      <c r="E1033" s="30" t="s">
        <v>850</v>
      </c>
      <c r="F1033" s="29">
        <v>46106</v>
      </c>
      <c r="G1033">
        <v>50000</v>
      </c>
      <c r="H1033">
        <v>10000</v>
      </c>
      <c r="I1033" s="30" t="s">
        <v>92</v>
      </c>
      <c r="J1033" s="30" t="s">
        <v>76</v>
      </c>
      <c r="K1033">
        <v>6</v>
      </c>
      <c r="L1033" s="29">
        <v>46127</v>
      </c>
      <c r="M1033" s="29">
        <v>46128</v>
      </c>
      <c r="N1033" s="30" t="str">
        <f>VLOOKUP(Query1[[#This Row],[company_name]],'Org Mapping'!$B:$I,8,FALSE)</f>
        <v>Jawad Ulla Khan</v>
      </c>
      <c r="O1033" s="30" t="str">
        <f>TEXT(Query1[[#This Row],[last_work_day]],"mmm'yy")</f>
        <v>Apr'26</v>
      </c>
    </row>
    <row r="1034" spans="1:15" hidden="1" x14ac:dyDescent="0.35">
      <c r="A1034" s="30" t="s">
        <v>798</v>
      </c>
      <c r="B1034" s="30" t="s">
        <v>812</v>
      </c>
      <c r="C1034" s="30" t="s">
        <v>851</v>
      </c>
      <c r="D1034">
        <v>2</v>
      </c>
      <c r="E1034" s="30" t="s">
        <v>852</v>
      </c>
      <c r="F1034" s="29">
        <v>46105</v>
      </c>
      <c r="G1034">
        <v>35400</v>
      </c>
      <c r="H1034">
        <v>5400</v>
      </c>
      <c r="I1034" s="30" t="s">
        <v>545</v>
      </c>
      <c r="J1034" s="30" t="s">
        <v>76</v>
      </c>
      <c r="K1034">
        <v>6</v>
      </c>
      <c r="L1034" s="29">
        <v>46146</v>
      </c>
      <c r="M1034" s="29">
        <v>46140</v>
      </c>
      <c r="N1034" s="30" t="str">
        <f>VLOOKUP(Query1[[#This Row],[company_name]],'Org Mapping'!$B:$I,8,FALSE)</f>
        <v>Jawad Ulla Khan</v>
      </c>
      <c r="O1034" s="30" t="str">
        <f>TEXT(Query1[[#This Row],[last_work_day]],"mmm'yy")</f>
        <v>May'26</v>
      </c>
    </row>
    <row r="1035" spans="1:15" hidden="1" x14ac:dyDescent="0.35">
      <c r="A1035" s="30" t="s">
        <v>2908</v>
      </c>
      <c r="B1035" s="30" t="s">
        <v>2909</v>
      </c>
      <c r="C1035" s="30" t="s">
        <v>2919</v>
      </c>
      <c r="D1035">
        <v>1</v>
      </c>
      <c r="E1035" s="30" t="s">
        <v>2920</v>
      </c>
      <c r="F1035" s="29">
        <v>46125</v>
      </c>
      <c r="G1035">
        <v>54054</v>
      </c>
      <c r="H1035">
        <v>7387.33</v>
      </c>
      <c r="I1035" s="30" t="s">
        <v>26</v>
      </c>
      <c r="J1035" s="30" t="s">
        <v>120</v>
      </c>
      <c r="K1035">
        <v>6</v>
      </c>
      <c r="L1035" s="29">
        <v>46125</v>
      </c>
      <c r="M1035" s="29">
        <v>46134</v>
      </c>
      <c r="N1035" s="30" t="str">
        <f>VLOOKUP(Query1[[#This Row],[company_name]],'Org Mapping'!$B:$I,8,FALSE)</f>
        <v>Anuradha</v>
      </c>
      <c r="O1035" s="30" t="str">
        <f>TEXT(Query1[[#This Row],[last_work_day]],"mmm'yy")</f>
        <v>Apr'26</v>
      </c>
    </row>
    <row r="1036" spans="1:15" hidden="1" x14ac:dyDescent="0.35">
      <c r="A1036" s="30" t="s">
        <v>2303</v>
      </c>
      <c r="B1036" s="30" t="s">
        <v>2450</v>
      </c>
      <c r="C1036" s="30" t="s">
        <v>2921</v>
      </c>
      <c r="D1036">
        <v>2</v>
      </c>
      <c r="E1036" s="30" t="s">
        <v>2922</v>
      </c>
      <c r="F1036" s="29">
        <v>46119</v>
      </c>
      <c r="G1036">
        <v>33708</v>
      </c>
      <c r="H1036">
        <v>3708</v>
      </c>
      <c r="I1036" s="30" t="s">
        <v>559</v>
      </c>
      <c r="J1036" s="30" t="s">
        <v>113</v>
      </c>
      <c r="K1036">
        <v>6</v>
      </c>
      <c r="L1036" s="29">
        <v>46160</v>
      </c>
      <c r="M1036" s="29">
        <v>46160</v>
      </c>
      <c r="N1036" s="30" t="str">
        <f>VLOOKUP(Query1[[#This Row],[company_name]],'Org Mapping'!$B:$I,8,FALSE)</f>
        <v>(Sonia/Dikshitha)</v>
      </c>
      <c r="O1036" s="30" t="str">
        <f>TEXT(Query1[[#This Row],[last_work_day]],"mmm'yy")</f>
        <v>May'26</v>
      </c>
    </row>
    <row r="1037" spans="1:15" hidden="1" x14ac:dyDescent="0.35">
      <c r="A1037" s="30" t="s">
        <v>2923</v>
      </c>
      <c r="B1037" s="30" t="s">
        <v>2696</v>
      </c>
      <c r="C1037" s="30" t="s">
        <v>2924</v>
      </c>
      <c r="D1037">
        <v>2</v>
      </c>
      <c r="E1037" s="30" t="s">
        <v>2925</v>
      </c>
      <c r="F1037" s="29">
        <v>46106</v>
      </c>
      <c r="G1037">
        <v>378000</v>
      </c>
      <c r="H1037">
        <v>119666.67</v>
      </c>
      <c r="I1037" s="30" t="s">
        <v>26</v>
      </c>
      <c r="J1037" s="30" t="s">
        <v>257</v>
      </c>
      <c r="K1037">
        <v>6</v>
      </c>
      <c r="L1037" s="29">
        <v>46108</v>
      </c>
      <c r="M1037" s="29">
        <v>46109</v>
      </c>
      <c r="N1037" s="30" t="str">
        <f>VLOOKUP(Query1[[#This Row],[company_name]],'Org Mapping'!$B:$I,8,FALSE)</f>
        <v>Anuradha</v>
      </c>
      <c r="O1037" s="30" t="str">
        <f>TEXT(Query1[[#This Row],[last_work_day]],"mmm'yy")</f>
        <v>Mar'26</v>
      </c>
    </row>
    <row r="1038" spans="1:15" hidden="1" x14ac:dyDescent="0.35">
      <c r="A1038" s="30" t="s">
        <v>557</v>
      </c>
      <c r="B1038" s="30" t="s">
        <v>89</v>
      </c>
      <c r="C1038" s="30" t="s">
        <v>853</v>
      </c>
      <c r="D1038">
        <v>2</v>
      </c>
      <c r="E1038" s="30" t="s">
        <v>854</v>
      </c>
      <c r="F1038" s="29">
        <v>46112</v>
      </c>
      <c r="G1038">
        <v>29500</v>
      </c>
      <c r="H1038">
        <v>4500</v>
      </c>
      <c r="I1038" s="30" t="s">
        <v>545</v>
      </c>
      <c r="J1038" s="30" t="s">
        <v>76</v>
      </c>
      <c r="K1038">
        <v>6</v>
      </c>
      <c r="L1038" s="29">
        <v>46148</v>
      </c>
      <c r="M1038" s="29">
        <v>46146</v>
      </c>
      <c r="N1038" s="30" t="str">
        <f>VLOOKUP(Query1[[#This Row],[company_name]],'Org Mapping'!$B:$I,8,FALSE)</f>
        <v>Jawad Ulla Khan</v>
      </c>
      <c r="O1038" s="30" t="str">
        <f>TEXT(Query1[[#This Row],[last_work_day]],"mmm'yy")</f>
        <v>May'26</v>
      </c>
    </row>
    <row r="1039" spans="1:15" hidden="1" x14ac:dyDescent="0.35">
      <c r="A1039" s="30" t="s">
        <v>2115</v>
      </c>
      <c r="B1039" s="30" t="s">
        <v>446</v>
      </c>
      <c r="C1039" s="30" t="s">
        <v>2926</v>
      </c>
      <c r="D1039">
        <v>2</v>
      </c>
      <c r="E1039" s="30" t="s">
        <v>2927</v>
      </c>
      <c r="F1039" s="29">
        <v>46118</v>
      </c>
      <c r="G1039">
        <v>404318.25</v>
      </c>
      <c r="H1039">
        <v>54318.25</v>
      </c>
      <c r="I1039" s="30" t="s">
        <v>37</v>
      </c>
      <c r="J1039" s="30" t="s">
        <v>102</v>
      </c>
      <c r="K1039">
        <v>6</v>
      </c>
      <c r="L1039" s="29">
        <v>46171</v>
      </c>
      <c r="M1039" s="29">
        <v>46163</v>
      </c>
      <c r="N1039" s="30" t="str">
        <f>VLOOKUP(Query1[[#This Row],[company_name]],'Org Mapping'!$B:$I,8,FALSE)</f>
        <v>Mehr Hashim</v>
      </c>
      <c r="O1039" s="30" t="str">
        <f>TEXT(Query1[[#This Row],[last_work_day]],"mmm'yy")</f>
        <v>May'26</v>
      </c>
    </row>
    <row r="1040" spans="1:15" hidden="1" x14ac:dyDescent="0.35">
      <c r="A1040" s="30" t="s">
        <v>2928</v>
      </c>
      <c r="B1040" s="30" t="s">
        <v>293</v>
      </c>
      <c r="C1040" s="30" t="s">
        <v>2929</v>
      </c>
      <c r="D1040">
        <v>2</v>
      </c>
      <c r="E1040" s="30" t="s">
        <v>2930</v>
      </c>
      <c r="F1040" s="29">
        <v>46125</v>
      </c>
      <c r="G1040">
        <v>139960</v>
      </c>
      <c r="H1040">
        <v>27460</v>
      </c>
      <c r="I1040" s="30" t="s">
        <v>16</v>
      </c>
      <c r="J1040" s="30" t="s">
        <v>855</v>
      </c>
      <c r="K1040">
        <v>6</v>
      </c>
      <c r="L1040" s="29">
        <v>46147</v>
      </c>
      <c r="M1040" s="29">
        <v>46140</v>
      </c>
      <c r="N1040" s="30" t="str">
        <f>VLOOKUP(Query1[[#This Row],[company_name]],'Org Mapping'!$B:$I,8,FALSE)</f>
        <v>Deepak Desai</v>
      </c>
      <c r="O1040" s="30" t="str">
        <f>TEXT(Query1[[#This Row],[last_work_day]],"mmm'yy")</f>
        <v>May'26</v>
      </c>
    </row>
    <row r="1041" spans="1:15" hidden="1" x14ac:dyDescent="0.35">
      <c r="A1041" s="30" t="s">
        <v>2931</v>
      </c>
      <c r="B1041" s="30" t="s">
        <v>293</v>
      </c>
      <c r="C1041" s="30" t="s">
        <v>2932</v>
      </c>
      <c r="D1041">
        <v>2</v>
      </c>
      <c r="E1041" s="30" t="s">
        <v>2933</v>
      </c>
      <c r="F1041" s="29">
        <v>46122</v>
      </c>
      <c r="G1041">
        <v>160000</v>
      </c>
      <c r="H1041">
        <v>30834</v>
      </c>
      <c r="I1041" s="30" t="s">
        <v>26</v>
      </c>
      <c r="J1041" s="30" t="s">
        <v>855</v>
      </c>
      <c r="K1041">
        <v>6</v>
      </c>
      <c r="L1041" s="29">
        <v>46164</v>
      </c>
      <c r="M1041" s="29">
        <v>46163</v>
      </c>
      <c r="N1041" s="30" t="str">
        <f>VLOOKUP(Query1[[#This Row],[company_name]],'Org Mapping'!$B:$I,8,FALSE)</f>
        <v>Deepak Desai</v>
      </c>
      <c r="O1041" s="30" t="str">
        <f>TEXT(Query1[[#This Row],[last_work_day]],"mmm'yy")</f>
        <v>May'26</v>
      </c>
    </row>
    <row r="1042" spans="1:15" hidden="1" x14ac:dyDescent="0.35">
      <c r="A1042" s="30" t="s">
        <v>98</v>
      </c>
      <c r="B1042" s="30" t="s">
        <v>89</v>
      </c>
      <c r="C1042" s="30" t="s">
        <v>856</v>
      </c>
      <c r="D1042">
        <v>2</v>
      </c>
      <c r="E1042" s="30" t="s">
        <v>857</v>
      </c>
      <c r="F1042" s="29">
        <v>46121</v>
      </c>
      <c r="G1042">
        <v>27105</v>
      </c>
      <c r="H1042">
        <v>4134</v>
      </c>
      <c r="I1042" s="30" t="s">
        <v>559</v>
      </c>
      <c r="J1042" s="30" t="s">
        <v>76</v>
      </c>
      <c r="K1042">
        <v>6</v>
      </c>
      <c r="L1042" s="29">
        <v>46121</v>
      </c>
      <c r="M1042" s="29">
        <v>46133</v>
      </c>
      <c r="N1042" s="30" t="str">
        <f>VLOOKUP(Query1[[#This Row],[company_name]],'Org Mapping'!$B:$I,8,FALSE)</f>
        <v>Jawad Ulla Khan</v>
      </c>
      <c r="O1042" s="30" t="str">
        <f>TEXT(Query1[[#This Row],[last_work_day]],"mmm'yy")</f>
        <v>Apr'26</v>
      </c>
    </row>
    <row r="1043" spans="1:15" hidden="1" x14ac:dyDescent="0.35">
      <c r="A1043" s="30" t="s">
        <v>98</v>
      </c>
      <c r="B1043" s="30" t="s">
        <v>89</v>
      </c>
      <c r="C1043" s="30" t="s">
        <v>858</v>
      </c>
      <c r="D1043">
        <v>2</v>
      </c>
      <c r="E1043" s="30" t="s">
        <v>859</v>
      </c>
      <c r="F1043" s="29">
        <v>46121</v>
      </c>
      <c r="G1043">
        <v>27105.78</v>
      </c>
      <c r="H1043">
        <v>4134.78</v>
      </c>
      <c r="I1043" s="30" t="s">
        <v>92</v>
      </c>
      <c r="J1043" s="30" t="s">
        <v>76</v>
      </c>
      <c r="K1043">
        <v>6</v>
      </c>
      <c r="L1043" s="29">
        <v>46142</v>
      </c>
      <c r="M1043" s="29">
        <v>46164</v>
      </c>
      <c r="N1043" s="30" t="str">
        <f>VLOOKUP(Query1[[#This Row],[company_name]],'Org Mapping'!$B:$I,8,FALSE)</f>
        <v>Jawad Ulla Khan</v>
      </c>
      <c r="O1043" s="30" t="str">
        <f>TEXT(Query1[[#This Row],[last_work_day]],"mmm'yy")</f>
        <v>Apr'26</v>
      </c>
    </row>
    <row r="1044" spans="1:15" hidden="1" x14ac:dyDescent="0.35">
      <c r="A1044" s="30" t="s">
        <v>1404</v>
      </c>
      <c r="B1044" s="30" t="s">
        <v>860</v>
      </c>
      <c r="C1044" s="30" t="s">
        <v>2934</v>
      </c>
      <c r="D1044">
        <v>2</v>
      </c>
      <c r="E1044" s="30" t="s">
        <v>2935</v>
      </c>
      <c r="F1044" s="29">
        <v>46125</v>
      </c>
      <c r="G1044">
        <v>310800</v>
      </c>
      <c r="H1044">
        <v>60800</v>
      </c>
      <c r="I1044" s="30" t="s">
        <v>559</v>
      </c>
      <c r="J1044" s="30" t="s">
        <v>49</v>
      </c>
      <c r="K1044">
        <v>6</v>
      </c>
      <c r="L1044" s="29">
        <v>46142</v>
      </c>
      <c r="M1044" s="29">
        <v>46140</v>
      </c>
      <c r="N1044" s="30" t="str">
        <f>VLOOKUP(Query1[[#This Row],[company_name]],'Org Mapping'!$B:$I,8,FALSE)</f>
        <v>Mehr Hashim</v>
      </c>
      <c r="O1044" s="30" t="str">
        <f>TEXT(Query1[[#This Row],[last_work_day]],"mmm'yy")</f>
        <v>Apr'26</v>
      </c>
    </row>
    <row r="1045" spans="1:15" hidden="1" x14ac:dyDescent="0.35">
      <c r="A1045" s="30" t="s">
        <v>550</v>
      </c>
      <c r="B1045" s="30" t="s">
        <v>812</v>
      </c>
      <c r="C1045" s="30" t="s">
        <v>2936</v>
      </c>
      <c r="D1045">
        <v>2</v>
      </c>
      <c r="E1045" s="30" t="s">
        <v>2937</v>
      </c>
      <c r="F1045" s="29">
        <v>46128</v>
      </c>
      <c r="G1045">
        <v>37090</v>
      </c>
      <c r="H1045">
        <v>12090</v>
      </c>
      <c r="I1045" s="30" t="s">
        <v>92</v>
      </c>
      <c r="J1045" s="30" t="s">
        <v>537</v>
      </c>
      <c r="K1045">
        <v>6</v>
      </c>
      <c r="L1045" s="29">
        <v>46175</v>
      </c>
      <c r="M1045" s="29">
        <v>46175</v>
      </c>
      <c r="N1045" s="30" t="str">
        <f>VLOOKUP(Query1[[#This Row],[company_name]],'Org Mapping'!$B:$I,8,FALSE)</f>
        <v>UHG/Lenovo</v>
      </c>
      <c r="O1045" s="30" t="str">
        <f>TEXT(Query1[[#This Row],[last_work_day]],"mmm'yy")</f>
        <v>Jun'26</v>
      </c>
    </row>
    <row r="1046" spans="1:15" hidden="1" x14ac:dyDescent="0.35">
      <c r="A1046" s="30" t="s">
        <v>1911</v>
      </c>
      <c r="B1046" s="30" t="s">
        <v>39</v>
      </c>
      <c r="C1046" s="30" t="s">
        <v>2938</v>
      </c>
      <c r="D1046">
        <v>2</v>
      </c>
      <c r="E1046" s="30" t="s">
        <v>2939</v>
      </c>
      <c r="F1046" s="29">
        <v>46128</v>
      </c>
      <c r="G1046">
        <v>39750</v>
      </c>
      <c r="H1046">
        <v>2250</v>
      </c>
      <c r="I1046" s="30" t="s">
        <v>92</v>
      </c>
      <c r="J1046" s="30" t="s">
        <v>31</v>
      </c>
      <c r="K1046">
        <v>6</v>
      </c>
      <c r="L1046" s="29">
        <v>46134</v>
      </c>
      <c r="M1046" s="29">
        <v>46135</v>
      </c>
      <c r="N1046" s="30" t="str">
        <f>VLOOKUP(Query1[[#This Row],[company_name]],'Org Mapping'!$B:$I,8,FALSE)</f>
        <v>Mehr Hashim</v>
      </c>
      <c r="O1046" s="30" t="str">
        <f>TEXT(Query1[[#This Row],[last_work_day]],"mmm'yy")</f>
        <v>Apr'26</v>
      </c>
    </row>
    <row r="1047" spans="1:15" hidden="1" x14ac:dyDescent="0.35">
      <c r="A1047" s="30" t="s">
        <v>2940</v>
      </c>
      <c r="B1047" s="30" t="s">
        <v>89</v>
      </c>
      <c r="C1047" s="30" t="s">
        <v>2941</v>
      </c>
      <c r="D1047">
        <v>2</v>
      </c>
      <c r="E1047" s="30" t="s">
        <v>2942</v>
      </c>
      <c r="F1047" s="29">
        <v>46128</v>
      </c>
      <c r="G1047">
        <v>50050.35</v>
      </c>
      <c r="H1047">
        <v>2383.35</v>
      </c>
      <c r="I1047" s="30" t="s">
        <v>21</v>
      </c>
      <c r="J1047" s="30" t="s">
        <v>861</v>
      </c>
      <c r="K1047">
        <v>6</v>
      </c>
      <c r="L1047" s="29">
        <v>46155</v>
      </c>
      <c r="M1047" s="29">
        <v>46142</v>
      </c>
      <c r="N1047" s="30" t="str">
        <f>VLOOKUP(Query1[[#This Row],[company_name]],'Org Mapping'!$B:$I,8,FALSE)</f>
        <v>Jawad Ulla Khan</v>
      </c>
      <c r="O1047" s="30" t="str">
        <f>TEXT(Query1[[#This Row],[last_work_day]],"mmm'yy")</f>
        <v>May'26</v>
      </c>
    </row>
    <row r="1048" spans="1:15" hidden="1" x14ac:dyDescent="0.35">
      <c r="A1048" s="30" t="s">
        <v>2430</v>
      </c>
      <c r="B1048" s="30" t="s">
        <v>39</v>
      </c>
      <c r="C1048" s="30" t="s">
        <v>2943</v>
      </c>
      <c r="D1048">
        <v>2</v>
      </c>
      <c r="E1048" s="30" t="s">
        <v>2944</v>
      </c>
      <c r="F1048" s="29">
        <v>46135</v>
      </c>
      <c r="G1048">
        <v>70666.66</v>
      </c>
      <c r="H1048">
        <v>3999.99</v>
      </c>
      <c r="I1048" s="30" t="s">
        <v>26</v>
      </c>
      <c r="J1048" s="30" t="s">
        <v>31</v>
      </c>
      <c r="K1048">
        <v>6</v>
      </c>
      <c r="L1048" s="29">
        <v>46142</v>
      </c>
      <c r="M1048" s="29">
        <v>46142</v>
      </c>
      <c r="N1048" s="30" t="str">
        <f>VLOOKUP(Query1[[#This Row],[company_name]],'Org Mapping'!$B:$I,8,FALSE)</f>
        <v>Mehr Hashim</v>
      </c>
      <c r="O1048" s="30" t="str">
        <f>TEXT(Query1[[#This Row],[last_work_day]],"mmm'yy")</f>
        <v>Apr'26</v>
      </c>
    </row>
    <row r="1049" spans="1:15" hidden="1" x14ac:dyDescent="0.35">
      <c r="A1049" s="30" t="s">
        <v>809</v>
      </c>
      <c r="B1049" s="30" t="s">
        <v>43</v>
      </c>
      <c r="C1049" s="30" t="s">
        <v>2945</v>
      </c>
      <c r="D1049">
        <v>2</v>
      </c>
      <c r="E1049" s="30" t="s">
        <v>2946</v>
      </c>
      <c r="F1049" s="29">
        <v>46128</v>
      </c>
      <c r="G1049">
        <v>32025</v>
      </c>
      <c r="H1049">
        <v>1525</v>
      </c>
      <c r="I1049" s="30" t="s">
        <v>21</v>
      </c>
      <c r="J1049" s="30" t="s">
        <v>861</v>
      </c>
      <c r="K1049">
        <v>6</v>
      </c>
      <c r="L1049" s="29">
        <v>46148</v>
      </c>
      <c r="M1049" s="29">
        <v>46148</v>
      </c>
      <c r="N1049" s="30" t="str">
        <f>VLOOKUP(Query1[[#This Row],[company_name]],'Org Mapping'!$B:$I,8,FALSE)</f>
        <v>Jawad Ulla Khan</v>
      </c>
      <c r="O1049" s="30" t="str">
        <f>TEXT(Query1[[#This Row],[last_work_day]],"mmm'yy")</f>
        <v>May'26</v>
      </c>
    </row>
    <row r="1050" spans="1:15" hidden="1" x14ac:dyDescent="0.35">
      <c r="A1050" s="30" t="s">
        <v>151</v>
      </c>
      <c r="B1050" s="30" t="s">
        <v>89</v>
      </c>
      <c r="C1050" s="30" t="s">
        <v>2947</v>
      </c>
      <c r="D1050">
        <v>2</v>
      </c>
      <c r="E1050" s="30" t="s">
        <v>2948</v>
      </c>
      <c r="F1050" s="29">
        <v>46128</v>
      </c>
      <c r="G1050">
        <v>32025</v>
      </c>
      <c r="H1050">
        <v>1525</v>
      </c>
      <c r="I1050" s="30" t="s">
        <v>26</v>
      </c>
      <c r="J1050" s="30" t="s">
        <v>861</v>
      </c>
      <c r="K1050">
        <v>6</v>
      </c>
      <c r="L1050" s="29">
        <v>46150</v>
      </c>
      <c r="M1050" s="29">
        <v>46142</v>
      </c>
      <c r="N1050" s="30" t="str">
        <f>VLOOKUP(Query1[[#This Row],[company_name]],'Org Mapping'!$B:$I,8,FALSE)</f>
        <v>Jawad Ulla Khan</v>
      </c>
      <c r="O1050" s="30" t="str">
        <f>TEXT(Query1[[#This Row],[last_work_day]],"mmm'yy")</f>
        <v>May'26</v>
      </c>
    </row>
    <row r="1051" spans="1:15" hidden="1" x14ac:dyDescent="0.35">
      <c r="A1051" s="30" t="s">
        <v>390</v>
      </c>
      <c r="B1051" s="30" t="s">
        <v>89</v>
      </c>
      <c r="C1051" s="30" t="s">
        <v>2949</v>
      </c>
      <c r="D1051">
        <v>2</v>
      </c>
      <c r="E1051" s="30" t="s">
        <v>2950</v>
      </c>
      <c r="F1051" s="29">
        <v>46128</v>
      </c>
      <c r="G1051">
        <v>37188</v>
      </c>
      <c r="H1051">
        <v>1771</v>
      </c>
      <c r="I1051" s="30" t="s">
        <v>26</v>
      </c>
      <c r="J1051" s="30" t="s">
        <v>861</v>
      </c>
      <c r="K1051">
        <v>6</v>
      </c>
      <c r="L1051" s="29">
        <v>46142</v>
      </c>
      <c r="M1051" s="29">
        <v>46142</v>
      </c>
      <c r="N1051" s="30" t="str">
        <f>VLOOKUP(Query1[[#This Row],[company_name]],'Org Mapping'!$B:$I,8,FALSE)</f>
        <v>Jawad Ulla Khan</v>
      </c>
      <c r="O1051" s="30" t="str">
        <f>TEXT(Query1[[#This Row],[last_work_day]],"mmm'yy")</f>
        <v>Apr'26</v>
      </c>
    </row>
    <row r="1052" spans="1:15" hidden="1" x14ac:dyDescent="0.35">
      <c r="A1052" s="30" t="s">
        <v>752</v>
      </c>
      <c r="B1052" s="30" t="s">
        <v>812</v>
      </c>
      <c r="C1052" s="30" t="s">
        <v>2951</v>
      </c>
      <c r="D1052">
        <v>2</v>
      </c>
      <c r="E1052" s="30" t="s">
        <v>2952</v>
      </c>
      <c r="F1052" s="29">
        <v>46128</v>
      </c>
      <c r="G1052">
        <v>28875</v>
      </c>
      <c r="H1052">
        <v>1375</v>
      </c>
      <c r="I1052" s="30" t="s">
        <v>26</v>
      </c>
      <c r="J1052" s="30" t="s">
        <v>861</v>
      </c>
      <c r="K1052">
        <v>6</v>
      </c>
      <c r="L1052" s="29">
        <v>46146</v>
      </c>
      <c r="M1052" s="29">
        <v>46142</v>
      </c>
      <c r="N1052" s="30" t="str">
        <f>VLOOKUP(Query1[[#This Row],[company_name]],'Org Mapping'!$B:$I,8,FALSE)</f>
        <v>Jawad Ulla Khan</v>
      </c>
      <c r="O1052" s="30" t="str">
        <f>TEXT(Query1[[#This Row],[last_work_day]],"mmm'yy")</f>
        <v>May'26</v>
      </c>
    </row>
    <row r="1053" spans="1:15" hidden="1" x14ac:dyDescent="0.35">
      <c r="A1053" s="30" t="s">
        <v>1554</v>
      </c>
      <c r="B1053" s="30" t="s">
        <v>126</v>
      </c>
      <c r="C1053" s="30" t="s">
        <v>2953</v>
      </c>
      <c r="D1053">
        <v>2</v>
      </c>
      <c r="E1053" s="30" t="s">
        <v>2954</v>
      </c>
      <c r="F1053" s="29">
        <v>46132</v>
      </c>
      <c r="G1053">
        <v>175500</v>
      </c>
      <c r="H1053">
        <v>42167</v>
      </c>
      <c r="I1053" s="30" t="s">
        <v>91</v>
      </c>
      <c r="J1053" s="30" t="s">
        <v>361</v>
      </c>
      <c r="K1053">
        <v>6</v>
      </c>
      <c r="L1053" s="29">
        <v>46170</v>
      </c>
      <c r="M1053" s="29">
        <v>46169</v>
      </c>
      <c r="N1053" s="30" t="str">
        <f>VLOOKUP(Query1[[#This Row],[company_name]],'Org Mapping'!$B:$I,8,FALSE)</f>
        <v>Prathap Sagar</v>
      </c>
      <c r="O1053" s="30" t="str">
        <f>TEXT(Query1[[#This Row],[last_work_day]],"mmm'yy")</f>
        <v>May'26</v>
      </c>
    </row>
    <row r="1054" spans="1:15" hidden="1" x14ac:dyDescent="0.35">
      <c r="A1054" s="30" t="s">
        <v>2186</v>
      </c>
      <c r="B1054" s="30" t="s">
        <v>2450</v>
      </c>
      <c r="C1054" s="30" t="s">
        <v>2955</v>
      </c>
      <c r="D1054">
        <v>1</v>
      </c>
      <c r="E1054" s="30" t="s">
        <v>2956</v>
      </c>
      <c r="F1054" s="29">
        <v>46142</v>
      </c>
      <c r="G1054">
        <v>63725</v>
      </c>
      <c r="H1054">
        <v>9559</v>
      </c>
      <c r="I1054" s="30" t="s">
        <v>545</v>
      </c>
      <c r="J1054" s="30" t="s">
        <v>113</v>
      </c>
      <c r="K1054">
        <v>6</v>
      </c>
      <c r="L1054" s="29">
        <v>46174</v>
      </c>
      <c r="M1054" s="29">
        <v>46175</v>
      </c>
      <c r="N1054" s="30" t="str">
        <f>VLOOKUP(Query1[[#This Row],[company_name]],'Org Mapping'!$B:$I,8,FALSE)</f>
        <v>(Sonia/Dikshitha)</v>
      </c>
      <c r="O1054" s="30" t="str">
        <f>TEXT(Query1[[#This Row],[last_work_day]],"mmm'yy")</f>
        <v>Jun'26</v>
      </c>
    </row>
    <row r="1055" spans="1:15" hidden="1" x14ac:dyDescent="0.35">
      <c r="A1055" s="30" t="s">
        <v>809</v>
      </c>
      <c r="B1055" s="30" t="s">
        <v>43</v>
      </c>
      <c r="C1055" s="30" t="s">
        <v>862</v>
      </c>
      <c r="D1055">
        <v>6</v>
      </c>
      <c r="E1055" s="30" t="s">
        <v>863</v>
      </c>
      <c r="F1055" s="29">
        <v>46139</v>
      </c>
      <c r="G1055">
        <v>41925</v>
      </c>
      <c r="H1055">
        <v>6091.67</v>
      </c>
      <c r="I1055" s="30" t="s">
        <v>92</v>
      </c>
      <c r="J1055" s="30" t="s">
        <v>17</v>
      </c>
      <c r="K1055">
        <v>6</v>
      </c>
      <c r="L1055" s="29">
        <v>46139</v>
      </c>
      <c r="M1055" s="29">
        <v>46142</v>
      </c>
      <c r="N1055" s="30" t="str">
        <f>VLOOKUP(Query1[[#This Row],[company_name]],'Org Mapping'!$B:$I,8,FALSE)</f>
        <v>Jawad Ulla Khan</v>
      </c>
      <c r="O1055" s="30" t="str">
        <f>TEXT(Query1[[#This Row],[last_work_day]],"mmm'yy")</f>
        <v>Apr'26</v>
      </c>
    </row>
    <row r="1056" spans="1:15" hidden="1" x14ac:dyDescent="0.35">
      <c r="A1056" s="30" t="s">
        <v>2957</v>
      </c>
      <c r="B1056" s="30" t="s">
        <v>2696</v>
      </c>
      <c r="C1056" s="30" t="s">
        <v>2958</v>
      </c>
      <c r="D1056">
        <v>2</v>
      </c>
      <c r="E1056" s="30" t="s">
        <v>2959</v>
      </c>
      <c r="F1056" s="29">
        <v>46142</v>
      </c>
      <c r="G1056">
        <v>394800</v>
      </c>
      <c r="H1056">
        <v>94800</v>
      </c>
      <c r="I1056" s="30" t="s">
        <v>559</v>
      </c>
      <c r="J1056" s="30" t="s">
        <v>257</v>
      </c>
      <c r="K1056">
        <v>6</v>
      </c>
      <c r="L1056" s="29">
        <v>46142</v>
      </c>
      <c r="M1056" s="29">
        <v>46174</v>
      </c>
      <c r="N1056" s="30" t="str">
        <f>VLOOKUP(Query1[[#This Row],[company_name]],'Org Mapping'!$B:$I,8,FALSE)</f>
        <v>Anuradha</v>
      </c>
      <c r="O1056" s="30" t="str">
        <f>TEXT(Query1[[#This Row],[last_work_day]],"mmm'yy")</f>
        <v>Apr'26</v>
      </c>
    </row>
    <row r="1057" spans="1:15" hidden="1" x14ac:dyDescent="0.35">
      <c r="A1057" s="30" t="s">
        <v>2824</v>
      </c>
      <c r="B1057" s="30" t="s">
        <v>2696</v>
      </c>
      <c r="C1057" s="30" t="s">
        <v>2960</v>
      </c>
      <c r="D1057">
        <v>2</v>
      </c>
      <c r="E1057" s="30" t="s">
        <v>2961</v>
      </c>
      <c r="F1057" s="29">
        <v>46142</v>
      </c>
      <c r="G1057">
        <v>291194.40000000002</v>
      </c>
      <c r="H1057">
        <v>82861.399999999994</v>
      </c>
      <c r="I1057" s="30" t="s">
        <v>559</v>
      </c>
      <c r="J1057" s="30" t="s">
        <v>568</v>
      </c>
      <c r="K1057">
        <v>6</v>
      </c>
      <c r="L1057" s="29">
        <v>46164</v>
      </c>
      <c r="M1057" s="29">
        <v>46164</v>
      </c>
      <c r="N1057" s="30" t="str">
        <f>VLOOKUP(Query1[[#This Row],[company_name]],'Org Mapping'!$B:$I,8,FALSE)</f>
        <v>Anuradha</v>
      </c>
      <c r="O1057" s="30" t="str">
        <f>TEXT(Query1[[#This Row],[last_work_day]],"mmm'yy")</f>
        <v>May'26</v>
      </c>
    </row>
    <row r="1058" spans="1:15" hidden="1" x14ac:dyDescent="0.35">
      <c r="A1058" s="30" t="s">
        <v>2824</v>
      </c>
      <c r="B1058" s="30" t="s">
        <v>2696</v>
      </c>
      <c r="C1058" s="30" t="s">
        <v>2962</v>
      </c>
      <c r="D1058">
        <v>2</v>
      </c>
      <c r="E1058" s="30" t="s">
        <v>2963</v>
      </c>
      <c r="F1058" s="29">
        <v>46142</v>
      </c>
      <c r="G1058">
        <v>300048</v>
      </c>
      <c r="H1058">
        <v>116715</v>
      </c>
      <c r="I1058" s="30" t="s">
        <v>26</v>
      </c>
      <c r="J1058" s="30" t="s">
        <v>257</v>
      </c>
      <c r="K1058">
        <v>6</v>
      </c>
      <c r="L1058" s="29">
        <v>46174</v>
      </c>
      <c r="M1058" s="29">
        <v>46174</v>
      </c>
      <c r="N1058" s="30" t="str">
        <f>VLOOKUP(Query1[[#This Row],[company_name]],'Org Mapping'!$B:$I,8,FALSE)</f>
        <v>Anuradha</v>
      </c>
      <c r="O1058" s="30" t="str">
        <f>TEXT(Query1[[#This Row],[last_work_day]],"mmm'yy")</f>
        <v>Jun'26</v>
      </c>
    </row>
    <row r="1059" spans="1:15" hidden="1" x14ac:dyDescent="0.35">
      <c r="A1059" s="30" t="s">
        <v>817</v>
      </c>
      <c r="B1059" s="30" t="s">
        <v>812</v>
      </c>
      <c r="C1059" s="30" t="s">
        <v>1018</v>
      </c>
      <c r="D1059">
        <v>2</v>
      </c>
      <c r="E1059" s="30" t="s">
        <v>1019</v>
      </c>
      <c r="F1059" s="29">
        <v>46169</v>
      </c>
      <c r="G1059">
        <v>50700</v>
      </c>
      <c r="H1059">
        <v>7366.67</v>
      </c>
      <c r="I1059" s="30" t="s">
        <v>92</v>
      </c>
      <c r="J1059" s="30" t="s">
        <v>17</v>
      </c>
      <c r="K1059">
        <v>6</v>
      </c>
      <c r="L1059" s="29">
        <v>46175</v>
      </c>
      <c r="M1059" s="29">
        <v>46175</v>
      </c>
      <c r="N1059" s="30" t="str">
        <f>VLOOKUP(Query1[[#This Row],[company_name]],'Org Mapping'!$B:$I,8,FALSE)</f>
        <v>Jawad Ulla Khan</v>
      </c>
      <c r="O1059" s="30" t="str">
        <f>TEXT(Query1[[#This Row],[last_work_day]],"mmm'yy")</f>
        <v>Jun'26</v>
      </c>
    </row>
    <row r="1060" spans="1:15" hidden="1" x14ac:dyDescent="0.35"/>
    <row r="1061" spans="1:15" hidden="1" x14ac:dyDescent="0.35"/>
    <row r="1062" spans="1:15" hidden="1" x14ac:dyDescent="0.35"/>
    <row r="1063" spans="1:15" hidden="1" x14ac:dyDescent="0.35"/>
    <row r="1064" spans="1:15" hidden="1" x14ac:dyDescent="0.35"/>
    <row r="1065" spans="1:15" hidden="1" x14ac:dyDescent="0.35"/>
    <row r="1066" spans="1:15" hidden="1" x14ac:dyDescent="0.35"/>
    <row r="1067" spans="1:15" hidden="1" x14ac:dyDescent="0.35"/>
    <row r="1068" spans="1:15" hidden="1" x14ac:dyDescent="0.35"/>
    <row r="1069" spans="1:15" hidden="1" x14ac:dyDescent="0.35"/>
    <row r="1070" spans="1:15" hidden="1" x14ac:dyDescent="0.35"/>
    <row r="1071" spans="1:15" hidden="1" x14ac:dyDescent="0.35"/>
    <row r="1072" spans="1:15" hidden="1" x14ac:dyDescent="0.35"/>
    <row r="1073" hidden="1" x14ac:dyDescent="0.35"/>
    <row r="1074" hidden="1" x14ac:dyDescent="0.35"/>
    <row r="1075" hidden="1" x14ac:dyDescent="0.35"/>
    <row r="1076" hidden="1" x14ac:dyDescent="0.35"/>
    <row r="1077" hidden="1" x14ac:dyDescent="0.35"/>
    <row r="1078" hidden="1" x14ac:dyDescent="0.35"/>
    <row r="1079" hidden="1" x14ac:dyDescent="0.35"/>
    <row r="1080" hidden="1" x14ac:dyDescent="0.35"/>
    <row r="1081" hidden="1" x14ac:dyDescent="0.35"/>
    <row r="1082" hidden="1" x14ac:dyDescent="0.35"/>
    <row r="1083" hidden="1" x14ac:dyDescent="0.35"/>
    <row r="1084" hidden="1" x14ac:dyDescent="0.35"/>
    <row r="1085" hidden="1" x14ac:dyDescent="0.35"/>
    <row r="1086" hidden="1" x14ac:dyDescent="0.35"/>
    <row r="1087" hidden="1" x14ac:dyDescent="0.35"/>
    <row r="1088" hidden="1" x14ac:dyDescent="0.35"/>
    <row r="1089" hidden="1" x14ac:dyDescent="0.35"/>
    <row r="1090" hidden="1" x14ac:dyDescent="0.35"/>
    <row r="1091" hidden="1" x14ac:dyDescent="0.35"/>
    <row r="1092" hidden="1" x14ac:dyDescent="0.35"/>
    <row r="1093" hidden="1" x14ac:dyDescent="0.35"/>
    <row r="1094" hidden="1" x14ac:dyDescent="0.35"/>
    <row r="1095" hidden="1" x14ac:dyDescent="0.35"/>
    <row r="1096" hidden="1" x14ac:dyDescent="0.35"/>
    <row r="1097" hidden="1" x14ac:dyDescent="0.35"/>
    <row r="1098" hidden="1" x14ac:dyDescent="0.35"/>
    <row r="1099" hidden="1" x14ac:dyDescent="0.35"/>
    <row r="1100" hidden="1" x14ac:dyDescent="0.35"/>
    <row r="1101" hidden="1" x14ac:dyDescent="0.35"/>
    <row r="1102" hidden="1" x14ac:dyDescent="0.35"/>
    <row r="1103" hidden="1" x14ac:dyDescent="0.35"/>
    <row r="1104" hidden="1" x14ac:dyDescent="0.35"/>
    <row r="1105" hidden="1" x14ac:dyDescent="0.35"/>
    <row r="1106" hidden="1" x14ac:dyDescent="0.35"/>
    <row r="1107" hidden="1" x14ac:dyDescent="0.35"/>
    <row r="1108" hidden="1" x14ac:dyDescent="0.35"/>
    <row r="1109" hidden="1" x14ac:dyDescent="0.35"/>
    <row r="1110" hidden="1" x14ac:dyDescent="0.35"/>
    <row r="1111" hidden="1" x14ac:dyDescent="0.35"/>
    <row r="1112" hidden="1" x14ac:dyDescent="0.35"/>
    <row r="1113" hidden="1" x14ac:dyDescent="0.35"/>
    <row r="1114" hidden="1" x14ac:dyDescent="0.35"/>
    <row r="1115" hidden="1" x14ac:dyDescent="0.35"/>
    <row r="1116" hidden="1" x14ac:dyDescent="0.35"/>
    <row r="1117" hidden="1" x14ac:dyDescent="0.35"/>
    <row r="1118" hidden="1" x14ac:dyDescent="0.35"/>
    <row r="1119" hidden="1" x14ac:dyDescent="0.35"/>
    <row r="1120" hidden="1" x14ac:dyDescent="0.35"/>
    <row r="1121" hidden="1" x14ac:dyDescent="0.35"/>
    <row r="1122" hidden="1" x14ac:dyDescent="0.35"/>
    <row r="1123" hidden="1" x14ac:dyDescent="0.35"/>
    <row r="1124" hidden="1" x14ac:dyDescent="0.35"/>
    <row r="1125" hidden="1" x14ac:dyDescent="0.35"/>
    <row r="1126" hidden="1" x14ac:dyDescent="0.35"/>
    <row r="1127" hidden="1" x14ac:dyDescent="0.35"/>
    <row r="1128" hidden="1" x14ac:dyDescent="0.35"/>
    <row r="1129" hidden="1" x14ac:dyDescent="0.35"/>
    <row r="1130" hidden="1" x14ac:dyDescent="0.35"/>
    <row r="1131" hidden="1" x14ac:dyDescent="0.35"/>
    <row r="1132" hidden="1" x14ac:dyDescent="0.35"/>
    <row r="1133" hidden="1" x14ac:dyDescent="0.35"/>
    <row r="1134" hidden="1" x14ac:dyDescent="0.35"/>
    <row r="1135" hidden="1" x14ac:dyDescent="0.35"/>
    <row r="1136" hidden="1" x14ac:dyDescent="0.35"/>
    <row r="1137" hidden="1" x14ac:dyDescent="0.35"/>
    <row r="1138" hidden="1" x14ac:dyDescent="0.35"/>
    <row r="1139" hidden="1" x14ac:dyDescent="0.35"/>
    <row r="1140" hidden="1" x14ac:dyDescent="0.35"/>
    <row r="1141" hidden="1" x14ac:dyDescent="0.35"/>
    <row r="1142" hidden="1" x14ac:dyDescent="0.35"/>
    <row r="1143" hidden="1" x14ac:dyDescent="0.35"/>
    <row r="1144" hidden="1" x14ac:dyDescent="0.35"/>
    <row r="1145" hidden="1" x14ac:dyDescent="0.35"/>
    <row r="1146" hidden="1" x14ac:dyDescent="0.35"/>
    <row r="1147" hidden="1" x14ac:dyDescent="0.35"/>
    <row r="1148" hidden="1" x14ac:dyDescent="0.35"/>
    <row r="1149" hidden="1" x14ac:dyDescent="0.35"/>
    <row r="1150" hidden="1" x14ac:dyDescent="0.35"/>
    <row r="1151" hidden="1" x14ac:dyDescent="0.35"/>
    <row r="1152" hidden="1" x14ac:dyDescent="0.35"/>
    <row r="1153" hidden="1" x14ac:dyDescent="0.35"/>
    <row r="1154" hidden="1" x14ac:dyDescent="0.35"/>
    <row r="1155" hidden="1" x14ac:dyDescent="0.35"/>
    <row r="1156" hidden="1" x14ac:dyDescent="0.35"/>
    <row r="1157" hidden="1" x14ac:dyDescent="0.35"/>
    <row r="1158" hidden="1" x14ac:dyDescent="0.35"/>
    <row r="1159" hidden="1" x14ac:dyDescent="0.35"/>
    <row r="1160" hidden="1" x14ac:dyDescent="0.35"/>
    <row r="1161" hidden="1" x14ac:dyDescent="0.35"/>
    <row r="1162" hidden="1" x14ac:dyDescent="0.35"/>
    <row r="1163" hidden="1" x14ac:dyDescent="0.35"/>
    <row r="1164" hidden="1" x14ac:dyDescent="0.35"/>
    <row r="1165" hidden="1" x14ac:dyDescent="0.35"/>
    <row r="1166" hidden="1" x14ac:dyDescent="0.35"/>
    <row r="1167" hidden="1" x14ac:dyDescent="0.35"/>
    <row r="1168" hidden="1" x14ac:dyDescent="0.35"/>
    <row r="1169" hidden="1" x14ac:dyDescent="0.35"/>
    <row r="1170" hidden="1" x14ac:dyDescent="0.35"/>
    <row r="1171" hidden="1" x14ac:dyDescent="0.35"/>
    <row r="1172" hidden="1" x14ac:dyDescent="0.35"/>
    <row r="1173" hidden="1" x14ac:dyDescent="0.35"/>
    <row r="1174" hidden="1" x14ac:dyDescent="0.35"/>
    <row r="1175" hidden="1" x14ac:dyDescent="0.35"/>
    <row r="1176" hidden="1" x14ac:dyDescent="0.35"/>
    <row r="1177" hidden="1" x14ac:dyDescent="0.35"/>
    <row r="1178" hidden="1" x14ac:dyDescent="0.35"/>
    <row r="1179" hidden="1" x14ac:dyDescent="0.35"/>
    <row r="1180" hidden="1" x14ac:dyDescent="0.35"/>
    <row r="1181" hidden="1" x14ac:dyDescent="0.35"/>
    <row r="1182" hidden="1" x14ac:dyDescent="0.35"/>
    <row r="1183" hidden="1" x14ac:dyDescent="0.35"/>
    <row r="1184" hidden="1" x14ac:dyDescent="0.35"/>
    <row r="1185" hidden="1" x14ac:dyDescent="0.35"/>
    <row r="1186" hidden="1" x14ac:dyDescent="0.35"/>
    <row r="1187" hidden="1" x14ac:dyDescent="0.35"/>
    <row r="1188" hidden="1" x14ac:dyDescent="0.35"/>
    <row r="1189" hidden="1" x14ac:dyDescent="0.35"/>
    <row r="1190" hidden="1" x14ac:dyDescent="0.35"/>
    <row r="1191" hidden="1" x14ac:dyDescent="0.35"/>
    <row r="1192" hidden="1" x14ac:dyDescent="0.35"/>
    <row r="1193" hidden="1" x14ac:dyDescent="0.35"/>
    <row r="1194" hidden="1" x14ac:dyDescent="0.35"/>
    <row r="1195" hidden="1" x14ac:dyDescent="0.35"/>
    <row r="1196" hidden="1" x14ac:dyDescent="0.35"/>
    <row r="1197" hidden="1" x14ac:dyDescent="0.35"/>
    <row r="1198" hidden="1" x14ac:dyDescent="0.35"/>
    <row r="1199" hidden="1" x14ac:dyDescent="0.35"/>
    <row r="1200" hidden="1" x14ac:dyDescent="0.35"/>
    <row r="1201" hidden="1" x14ac:dyDescent="0.35"/>
    <row r="1202" hidden="1" x14ac:dyDescent="0.35"/>
    <row r="1203" hidden="1" x14ac:dyDescent="0.35"/>
    <row r="1204" hidden="1" x14ac:dyDescent="0.35"/>
    <row r="1205" hidden="1" x14ac:dyDescent="0.35"/>
    <row r="1206" hidden="1" x14ac:dyDescent="0.35"/>
    <row r="1207" hidden="1" x14ac:dyDescent="0.35"/>
    <row r="1208" hidden="1" x14ac:dyDescent="0.35"/>
    <row r="1209" hidden="1" x14ac:dyDescent="0.35"/>
    <row r="1210" hidden="1" x14ac:dyDescent="0.35"/>
    <row r="1211" hidden="1" x14ac:dyDescent="0.35"/>
    <row r="1212" hidden="1" x14ac:dyDescent="0.35"/>
    <row r="1213" hidden="1" x14ac:dyDescent="0.35"/>
    <row r="1214" hidden="1" x14ac:dyDescent="0.35"/>
    <row r="1215" hidden="1" x14ac:dyDescent="0.35"/>
    <row r="1216" hidden="1" x14ac:dyDescent="0.35"/>
    <row r="1217" hidden="1" x14ac:dyDescent="0.35"/>
    <row r="1218" hidden="1" x14ac:dyDescent="0.35"/>
    <row r="1219" hidden="1" x14ac:dyDescent="0.35"/>
    <row r="1220" hidden="1" x14ac:dyDescent="0.35"/>
    <row r="1221" hidden="1" x14ac:dyDescent="0.35"/>
    <row r="1222" hidden="1" x14ac:dyDescent="0.35"/>
    <row r="1223" hidden="1" x14ac:dyDescent="0.35"/>
    <row r="1224" hidden="1" x14ac:dyDescent="0.35"/>
    <row r="1225" hidden="1" x14ac:dyDescent="0.35"/>
    <row r="1226" hidden="1" x14ac:dyDescent="0.35"/>
    <row r="1227" hidden="1" x14ac:dyDescent="0.35"/>
    <row r="1228" hidden="1" x14ac:dyDescent="0.35"/>
    <row r="1229" hidden="1" x14ac:dyDescent="0.35"/>
    <row r="1230" hidden="1" x14ac:dyDescent="0.35"/>
    <row r="1231" hidden="1" x14ac:dyDescent="0.35"/>
    <row r="1232" hidden="1" x14ac:dyDescent="0.35"/>
    <row r="1233" hidden="1" x14ac:dyDescent="0.35"/>
    <row r="1234" hidden="1" x14ac:dyDescent="0.35"/>
    <row r="1235" hidden="1" x14ac:dyDescent="0.35"/>
    <row r="1236" hidden="1" x14ac:dyDescent="0.35"/>
    <row r="1237" hidden="1" x14ac:dyDescent="0.35"/>
    <row r="1238" hidden="1" x14ac:dyDescent="0.35"/>
    <row r="1239" hidden="1" x14ac:dyDescent="0.35"/>
    <row r="1240" hidden="1" x14ac:dyDescent="0.35"/>
    <row r="1241" hidden="1" x14ac:dyDescent="0.35"/>
    <row r="1242" hidden="1" x14ac:dyDescent="0.35"/>
    <row r="1243" hidden="1" x14ac:dyDescent="0.35"/>
    <row r="1244" hidden="1" x14ac:dyDescent="0.35"/>
    <row r="1245" hidden="1" x14ac:dyDescent="0.35"/>
    <row r="1246" hidden="1" x14ac:dyDescent="0.35"/>
    <row r="1247" hidden="1" x14ac:dyDescent="0.35"/>
    <row r="1248" hidden="1" x14ac:dyDescent="0.35"/>
    <row r="1249" hidden="1" x14ac:dyDescent="0.35"/>
    <row r="1250" hidden="1" x14ac:dyDescent="0.35"/>
    <row r="1251" hidden="1" x14ac:dyDescent="0.35"/>
    <row r="1252" hidden="1" x14ac:dyDescent="0.35"/>
    <row r="1253" hidden="1" x14ac:dyDescent="0.35"/>
    <row r="1254" hidden="1" x14ac:dyDescent="0.35"/>
    <row r="1255" hidden="1" x14ac:dyDescent="0.35"/>
    <row r="1256" hidden="1" x14ac:dyDescent="0.35"/>
    <row r="1257" hidden="1" x14ac:dyDescent="0.35"/>
    <row r="1258" hidden="1" x14ac:dyDescent="0.35"/>
    <row r="1259" hidden="1" x14ac:dyDescent="0.35"/>
    <row r="1260" hidden="1" x14ac:dyDescent="0.35"/>
    <row r="1261" hidden="1" x14ac:dyDescent="0.35"/>
    <row r="1262" hidden="1" x14ac:dyDescent="0.35"/>
    <row r="1263" hidden="1" x14ac:dyDescent="0.35"/>
    <row r="1264" hidden="1" x14ac:dyDescent="0.35"/>
    <row r="1265" hidden="1" x14ac:dyDescent="0.35"/>
    <row r="1266" hidden="1" x14ac:dyDescent="0.35"/>
    <row r="1267" hidden="1" x14ac:dyDescent="0.35"/>
    <row r="1268" hidden="1" x14ac:dyDescent="0.35"/>
    <row r="1269" hidden="1" x14ac:dyDescent="0.35"/>
    <row r="1270" hidden="1" x14ac:dyDescent="0.35"/>
    <row r="1271" hidden="1" x14ac:dyDescent="0.35"/>
    <row r="1272" hidden="1" x14ac:dyDescent="0.35"/>
    <row r="1273" hidden="1" x14ac:dyDescent="0.35"/>
    <row r="1274" hidden="1" x14ac:dyDescent="0.35"/>
    <row r="1275" hidden="1" x14ac:dyDescent="0.35"/>
    <row r="1276" hidden="1" x14ac:dyDescent="0.35"/>
    <row r="1277" hidden="1" x14ac:dyDescent="0.35"/>
    <row r="1278" hidden="1" x14ac:dyDescent="0.35"/>
    <row r="1279" hidden="1" x14ac:dyDescent="0.35"/>
    <row r="1280" hidden="1" x14ac:dyDescent="0.35"/>
    <row r="1281" hidden="1" x14ac:dyDescent="0.35"/>
    <row r="1282" hidden="1" x14ac:dyDescent="0.35"/>
    <row r="1283" hidden="1" x14ac:dyDescent="0.35"/>
    <row r="1284" hidden="1" x14ac:dyDescent="0.35"/>
    <row r="1285" hidden="1" x14ac:dyDescent="0.35"/>
    <row r="1286" hidden="1" x14ac:dyDescent="0.35"/>
    <row r="1287" hidden="1" x14ac:dyDescent="0.35"/>
    <row r="1288" hidden="1" x14ac:dyDescent="0.35"/>
    <row r="1289" hidden="1" x14ac:dyDescent="0.35"/>
    <row r="1290" hidden="1" x14ac:dyDescent="0.35"/>
    <row r="1291" hidden="1" x14ac:dyDescent="0.35"/>
    <row r="1292" hidden="1" x14ac:dyDescent="0.35"/>
    <row r="1293" hidden="1" x14ac:dyDescent="0.35"/>
    <row r="1294" hidden="1" x14ac:dyDescent="0.35"/>
    <row r="1295" hidden="1" x14ac:dyDescent="0.35"/>
    <row r="1296" hidden="1" x14ac:dyDescent="0.35"/>
    <row r="1297" hidden="1" x14ac:dyDescent="0.35"/>
    <row r="1298" hidden="1" x14ac:dyDescent="0.35"/>
    <row r="1299" hidden="1" x14ac:dyDescent="0.35"/>
    <row r="1300" hidden="1" x14ac:dyDescent="0.35"/>
    <row r="1301" hidden="1" x14ac:dyDescent="0.35"/>
    <row r="1302" hidden="1" x14ac:dyDescent="0.35"/>
    <row r="1303" hidden="1" x14ac:dyDescent="0.35"/>
    <row r="1304" hidden="1" x14ac:dyDescent="0.35"/>
    <row r="1305" hidden="1" x14ac:dyDescent="0.35"/>
    <row r="1306" hidden="1" x14ac:dyDescent="0.35"/>
    <row r="1307" hidden="1" x14ac:dyDescent="0.35"/>
    <row r="1308" hidden="1" x14ac:dyDescent="0.35"/>
    <row r="1309" hidden="1" x14ac:dyDescent="0.35"/>
    <row r="1310" hidden="1" x14ac:dyDescent="0.35"/>
    <row r="1311" hidden="1" x14ac:dyDescent="0.35"/>
    <row r="1312" hidden="1" x14ac:dyDescent="0.35"/>
    <row r="1313" hidden="1" x14ac:dyDescent="0.35"/>
    <row r="1314" hidden="1" x14ac:dyDescent="0.35"/>
    <row r="1315" hidden="1" x14ac:dyDescent="0.35"/>
    <row r="1316" hidden="1" x14ac:dyDescent="0.35"/>
    <row r="1317" hidden="1" x14ac:dyDescent="0.35"/>
    <row r="1318" hidden="1" x14ac:dyDescent="0.35"/>
    <row r="1319" hidden="1" x14ac:dyDescent="0.35"/>
    <row r="1320" hidden="1" x14ac:dyDescent="0.35"/>
    <row r="1321" hidden="1" x14ac:dyDescent="0.35"/>
    <row r="1322" hidden="1" x14ac:dyDescent="0.35"/>
    <row r="1323" hidden="1" x14ac:dyDescent="0.35"/>
    <row r="1324" hidden="1" x14ac:dyDescent="0.35"/>
    <row r="1325" hidden="1" x14ac:dyDescent="0.35"/>
    <row r="1326" hidden="1" x14ac:dyDescent="0.35"/>
    <row r="1327" hidden="1" x14ac:dyDescent="0.35"/>
    <row r="1328" hidden="1" x14ac:dyDescent="0.35"/>
    <row r="1329" hidden="1" x14ac:dyDescent="0.35"/>
    <row r="1330" hidden="1" x14ac:dyDescent="0.35"/>
    <row r="1331" hidden="1" x14ac:dyDescent="0.35"/>
    <row r="1332" hidden="1" x14ac:dyDescent="0.35"/>
    <row r="1333" hidden="1" x14ac:dyDescent="0.35"/>
    <row r="1334" hidden="1" x14ac:dyDescent="0.35"/>
    <row r="1335" hidden="1" x14ac:dyDescent="0.35"/>
    <row r="1336" hidden="1" x14ac:dyDescent="0.35"/>
    <row r="1337" hidden="1" x14ac:dyDescent="0.35"/>
    <row r="1338" hidden="1" x14ac:dyDescent="0.35"/>
    <row r="1339" hidden="1" x14ac:dyDescent="0.35"/>
    <row r="1340" hidden="1" x14ac:dyDescent="0.35"/>
    <row r="1341" hidden="1" x14ac:dyDescent="0.35"/>
    <row r="1342" hidden="1" x14ac:dyDescent="0.35"/>
    <row r="1343" hidden="1" x14ac:dyDescent="0.35"/>
    <row r="1344" hidden="1" x14ac:dyDescent="0.35"/>
    <row r="1345" hidden="1" x14ac:dyDescent="0.35"/>
    <row r="1346" hidden="1" x14ac:dyDescent="0.35"/>
    <row r="1347" hidden="1" x14ac:dyDescent="0.35"/>
    <row r="1348" hidden="1" x14ac:dyDescent="0.35"/>
    <row r="1349" hidden="1" x14ac:dyDescent="0.35"/>
    <row r="1350" hidden="1" x14ac:dyDescent="0.35"/>
    <row r="1351" hidden="1" x14ac:dyDescent="0.35"/>
    <row r="1352" hidden="1" x14ac:dyDescent="0.35"/>
    <row r="1353" hidden="1" x14ac:dyDescent="0.35"/>
    <row r="1354" hidden="1" x14ac:dyDescent="0.35"/>
    <row r="1355" hidden="1" x14ac:dyDescent="0.35"/>
    <row r="1356" hidden="1" x14ac:dyDescent="0.35"/>
    <row r="1357" hidden="1" x14ac:dyDescent="0.35"/>
    <row r="1358" hidden="1" x14ac:dyDescent="0.35"/>
    <row r="1359" hidden="1" x14ac:dyDescent="0.35"/>
    <row r="1360" hidden="1" x14ac:dyDescent="0.35"/>
    <row r="1361" hidden="1" x14ac:dyDescent="0.35"/>
    <row r="1362" hidden="1" x14ac:dyDescent="0.35"/>
    <row r="1363" hidden="1" x14ac:dyDescent="0.35"/>
    <row r="1364" hidden="1" x14ac:dyDescent="0.35"/>
    <row r="1365" hidden="1" x14ac:dyDescent="0.35"/>
    <row r="1366" hidden="1" x14ac:dyDescent="0.35"/>
    <row r="1367" hidden="1" x14ac:dyDescent="0.35"/>
    <row r="1368" hidden="1" x14ac:dyDescent="0.35"/>
    <row r="1369" hidden="1" x14ac:dyDescent="0.35"/>
    <row r="1370" hidden="1" x14ac:dyDescent="0.35"/>
    <row r="1371" hidden="1" x14ac:dyDescent="0.35"/>
    <row r="1372" hidden="1" x14ac:dyDescent="0.35"/>
    <row r="1373" hidden="1" x14ac:dyDescent="0.35"/>
    <row r="1374" hidden="1" x14ac:dyDescent="0.35"/>
    <row r="1375" hidden="1" x14ac:dyDescent="0.35"/>
    <row r="1376" hidden="1" x14ac:dyDescent="0.35"/>
    <row r="1377" hidden="1" x14ac:dyDescent="0.35"/>
    <row r="1378" hidden="1" x14ac:dyDescent="0.35"/>
    <row r="1379" hidden="1" x14ac:dyDescent="0.35"/>
    <row r="1380" hidden="1" x14ac:dyDescent="0.35"/>
    <row r="1381" hidden="1" x14ac:dyDescent="0.35"/>
    <row r="1382" hidden="1" x14ac:dyDescent="0.35"/>
    <row r="1383" hidden="1" x14ac:dyDescent="0.35"/>
    <row r="1384" hidden="1" x14ac:dyDescent="0.35"/>
    <row r="1385" hidden="1" x14ac:dyDescent="0.35"/>
    <row r="1386" hidden="1" x14ac:dyDescent="0.35"/>
    <row r="1387" hidden="1" x14ac:dyDescent="0.35"/>
    <row r="1388" hidden="1" x14ac:dyDescent="0.35"/>
    <row r="1389" hidden="1" x14ac:dyDescent="0.35"/>
    <row r="1390" hidden="1" x14ac:dyDescent="0.35"/>
    <row r="1391" hidden="1" x14ac:dyDescent="0.35"/>
    <row r="1392" hidden="1" x14ac:dyDescent="0.35"/>
    <row r="1393" hidden="1" x14ac:dyDescent="0.35"/>
    <row r="1394" hidden="1" x14ac:dyDescent="0.35"/>
    <row r="1395" hidden="1" x14ac:dyDescent="0.35"/>
    <row r="1396" hidden="1" x14ac:dyDescent="0.35"/>
    <row r="1397" hidden="1" x14ac:dyDescent="0.35"/>
    <row r="1398" hidden="1" x14ac:dyDescent="0.35"/>
    <row r="1399" hidden="1" x14ac:dyDescent="0.35"/>
    <row r="1400" hidden="1" x14ac:dyDescent="0.35"/>
    <row r="1401" hidden="1" x14ac:dyDescent="0.35"/>
    <row r="1402" hidden="1" x14ac:dyDescent="0.35"/>
    <row r="1403" hidden="1" x14ac:dyDescent="0.35"/>
    <row r="1404" hidden="1" x14ac:dyDescent="0.35"/>
    <row r="1405" hidden="1" x14ac:dyDescent="0.35"/>
    <row r="1406" hidden="1" x14ac:dyDescent="0.35"/>
    <row r="1407" hidden="1" x14ac:dyDescent="0.35"/>
    <row r="1408" hidden="1" x14ac:dyDescent="0.35"/>
    <row r="1409" hidden="1" x14ac:dyDescent="0.35"/>
    <row r="1410" hidden="1" x14ac:dyDescent="0.35"/>
    <row r="1411" hidden="1" x14ac:dyDescent="0.35"/>
    <row r="1412" hidden="1" x14ac:dyDescent="0.35"/>
    <row r="1413" hidden="1" x14ac:dyDescent="0.35"/>
    <row r="1414" hidden="1" x14ac:dyDescent="0.35"/>
    <row r="1415" hidden="1" x14ac:dyDescent="0.35"/>
    <row r="1416" hidden="1" x14ac:dyDescent="0.35"/>
    <row r="1417" hidden="1" x14ac:dyDescent="0.35"/>
    <row r="1418" hidden="1" x14ac:dyDescent="0.35"/>
    <row r="1419" hidden="1" x14ac:dyDescent="0.35"/>
    <row r="1420" hidden="1" x14ac:dyDescent="0.35"/>
    <row r="1421" hidden="1" x14ac:dyDescent="0.35"/>
    <row r="1422" hidden="1" x14ac:dyDescent="0.35"/>
    <row r="1423" hidden="1" x14ac:dyDescent="0.35"/>
    <row r="1424" hidden="1" x14ac:dyDescent="0.35"/>
    <row r="1425" hidden="1" x14ac:dyDescent="0.35"/>
    <row r="1426" hidden="1" x14ac:dyDescent="0.35"/>
    <row r="1427" hidden="1" x14ac:dyDescent="0.35"/>
    <row r="1428" hidden="1" x14ac:dyDescent="0.35"/>
    <row r="1429" hidden="1" x14ac:dyDescent="0.35"/>
    <row r="1430" hidden="1" x14ac:dyDescent="0.35"/>
    <row r="1431" hidden="1" x14ac:dyDescent="0.35"/>
    <row r="1432" hidden="1" x14ac:dyDescent="0.35"/>
    <row r="1433" hidden="1" x14ac:dyDescent="0.35"/>
    <row r="1434" hidden="1" x14ac:dyDescent="0.35"/>
    <row r="1435" hidden="1" x14ac:dyDescent="0.35"/>
    <row r="1436" hidden="1" x14ac:dyDescent="0.35"/>
    <row r="1437" hidden="1" x14ac:dyDescent="0.35"/>
    <row r="1438" hidden="1" x14ac:dyDescent="0.35"/>
    <row r="1439" hidden="1" x14ac:dyDescent="0.35"/>
    <row r="1440" hidden="1" x14ac:dyDescent="0.35"/>
    <row r="1441" hidden="1" x14ac:dyDescent="0.35"/>
    <row r="1442" hidden="1" x14ac:dyDescent="0.35"/>
    <row r="1443" hidden="1" x14ac:dyDescent="0.35"/>
    <row r="1444" hidden="1" x14ac:dyDescent="0.35"/>
    <row r="1445" hidden="1" x14ac:dyDescent="0.35"/>
    <row r="1446" hidden="1" x14ac:dyDescent="0.35"/>
    <row r="1447" hidden="1" x14ac:dyDescent="0.35"/>
    <row r="1448" hidden="1" x14ac:dyDescent="0.35"/>
    <row r="1449" hidden="1" x14ac:dyDescent="0.35"/>
    <row r="1450" hidden="1" x14ac:dyDescent="0.35"/>
    <row r="1451" hidden="1" x14ac:dyDescent="0.35"/>
    <row r="1452" hidden="1" x14ac:dyDescent="0.35"/>
    <row r="1453" hidden="1" x14ac:dyDescent="0.35"/>
    <row r="1454" hidden="1" x14ac:dyDescent="0.35"/>
    <row r="1455" hidden="1" x14ac:dyDescent="0.35"/>
    <row r="1456" hidden="1" x14ac:dyDescent="0.35"/>
    <row r="1457" hidden="1" x14ac:dyDescent="0.35"/>
    <row r="1458" hidden="1" x14ac:dyDescent="0.35"/>
    <row r="1459" hidden="1" x14ac:dyDescent="0.35"/>
    <row r="1460" hidden="1" x14ac:dyDescent="0.35"/>
    <row r="1461" hidden="1" x14ac:dyDescent="0.35"/>
    <row r="1462" hidden="1" x14ac:dyDescent="0.35"/>
    <row r="1463" hidden="1" x14ac:dyDescent="0.35"/>
    <row r="1464" hidden="1" x14ac:dyDescent="0.35"/>
    <row r="1465" hidden="1" x14ac:dyDescent="0.35"/>
    <row r="1466" hidden="1" x14ac:dyDescent="0.35"/>
    <row r="1467" hidden="1" x14ac:dyDescent="0.35"/>
    <row r="1468" hidden="1" x14ac:dyDescent="0.35"/>
    <row r="1469" hidden="1" x14ac:dyDescent="0.35"/>
    <row r="1470" hidden="1" x14ac:dyDescent="0.35"/>
    <row r="1471" hidden="1" x14ac:dyDescent="0.35"/>
    <row r="1472" hidden="1" x14ac:dyDescent="0.35"/>
    <row r="1473" hidden="1" x14ac:dyDescent="0.35"/>
    <row r="1474" hidden="1" x14ac:dyDescent="0.35"/>
    <row r="1475" hidden="1" x14ac:dyDescent="0.35"/>
    <row r="1476" hidden="1" x14ac:dyDescent="0.35"/>
    <row r="1477" hidden="1" x14ac:dyDescent="0.35"/>
    <row r="1478" hidden="1" x14ac:dyDescent="0.35"/>
    <row r="1479" hidden="1" x14ac:dyDescent="0.35"/>
    <row r="1480" hidden="1" x14ac:dyDescent="0.35"/>
    <row r="1481" hidden="1" x14ac:dyDescent="0.35"/>
    <row r="1482" hidden="1" x14ac:dyDescent="0.35"/>
    <row r="1483" hidden="1" x14ac:dyDescent="0.35"/>
    <row r="1484" hidden="1" x14ac:dyDescent="0.35"/>
    <row r="1485" hidden="1" x14ac:dyDescent="0.35"/>
    <row r="1486" hidden="1" x14ac:dyDescent="0.35"/>
    <row r="1487" hidden="1" x14ac:dyDescent="0.35"/>
    <row r="1488" hidden="1" x14ac:dyDescent="0.35"/>
    <row r="1489" hidden="1" x14ac:dyDescent="0.35"/>
    <row r="1490" hidden="1" x14ac:dyDescent="0.35"/>
    <row r="1491" hidden="1" x14ac:dyDescent="0.35"/>
    <row r="1492" hidden="1" x14ac:dyDescent="0.35"/>
    <row r="1493" hidden="1" x14ac:dyDescent="0.35"/>
    <row r="1494" hidden="1" x14ac:dyDescent="0.35"/>
    <row r="1495" hidden="1" x14ac:dyDescent="0.35"/>
    <row r="1496" hidden="1" x14ac:dyDescent="0.35"/>
    <row r="1497" hidden="1" x14ac:dyDescent="0.35"/>
    <row r="1498" hidden="1" x14ac:dyDescent="0.35"/>
    <row r="1499" hidden="1" x14ac:dyDescent="0.35"/>
    <row r="1500" hidden="1" x14ac:dyDescent="0.35"/>
    <row r="1501" hidden="1" x14ac:dyDescent="0.35"/>
    <row r="1502" hidden="1" x14ac:dyDescent="0.35"/>
    <row r="1503" hidden="1" x14ac:dyDescent="0.35"/>
    <row r="1504" hidden="1" x14ac:dyDescent="0.35"/>
    <row r="1505" hidden="1" x14ac:dyDescent="0.35"/>
    <row r="1506" hidden="1" x14ac:dyDescent="0.35"/>
    <row r="1507" hidden="1" x14ac:dyDescent="0.35"/>
    <row r="1508" hidden="1" x14ac:dyDescent="0.35"/>
    <row r="1509" hidden="1" x14ac:dyDescent="0.35"/>
    <row r="1510" hidden="1" x14ac:dyDescent="0.35"/>
    <row r="1511" hidden="1" x14ac:dyDescent="0.35"/>
    <row r="1512" hidden="1" x14ac:dyDescent="0.35"/>
    <row r="1513" hidden="1" x14ac:dyDescent="0.35"/>
    <row r="1514" hidden="1" x14ac:dyDescent="0.35"/>
    <row r="1515" hidden="1" x14ac:dyDescent="0.35"/>
    <row r="1516" hidden="1" x14ac:dyDescent="0.35"/>
    <row r="1517" hidden="1" x14ac:dyDescent="0.35"/>
    <row r="1518" hidden="1" x14ac:dyDescent="0.35"/>
    <row r="1519" hidden="1" x14ac:dyDescent="0.35"/>
    <row r="1520" hidden="1" x14ac:dyDescent="0.35"/>
    <row r="1521" hidden="1" x14ac:dyDescent="0.35"/>
    <row r="1522" hidden="1" x14ac:dyDescent="0.35"/>
    <row r="1523" hidden="1" x14ac:dyDescent="0.35"/>
    <row r="1524" hidden="1" x14ac:dyDescent="0.35"/>
    <row r="1525" hidden="1" x14ac:dyDescent="0.35"/>
    <row r="1526" hidden="1" x14ac:dyDescent="0.35"/>
    <row r="1527" hidden="1" x14ac:dyDescent="0.35"/>
    <row r="1528" hidden="1" x14ac:dyDescent="0.35"/>
    <row r="1529" hidden="1" x14ac:dyDescent="0.35"/>
    <row r="1530" hidden="1" x14ac:dyDescent="0.35"/>
    <row r="1531" hidden="1" x14ac:dyDescent="0.35"/>
    <row r="1532" hidden="1" x14ac:dyDescent="0.35"/>
    <row r="1533" hidden="1" x14ac:dyDescent="0.35"/>
    <row r="1534" hidden="1" x14ac:dyDescent="0.35"/>
    <row r="1535" hidden="1" x14ac:dyDescent="0.35"/>
    <row r="1536" hidden="1" x14ac:dyDescent="0.35"/>
    <row r="1537" hidden="1" x14ac:dyDescent="0.35"/>
    <row r="1538" hidden="1" x14ac:dyDescent="0.35"/>
    <row r="1539" hidden="1" x14ac:dyDescent="0.35"/>
    <row r="1540" hidden="1" x14ac:dyDescent="0.35"/>
    <row r="1541" hidden="1" x14ac:dyDescent="0.35"/>
    <row r="1542" hidden="1" x14ac:dyDescent="0.35"/>
    <row r="1543" hidden="1" x14ac:dyDescent="0.35"/>
    <row r="1544" hidden="1" x14ac:dyDescent="0.35"/>
    <row r="1545" hidden="1" x14ac:dyDescent="0.35"/>
    <row r="1546" hidden="1" x14ac:dyDescent="0.35"/>
    <row r="1547" hidden="1" x14ac:dyDescent="0.35"/>
    <row r="1548" hidden="1" x14ac:dyDescent="0.35"/>
    <row r="1549" hidden="1" x14ac:dyDescent="0.35"/>
    <row r="1550" hidden="1" x14ac:dyDescent="0.35"/>
    <row r="1551" hidden="1" x14ac:dyDescent="0.35"/>
    <row r="1552" hidden="1" x14ac:dyDescent="0.35"/>
    <row r="1553" hidden="1" x14ac:dyDescent="0.35"/>
    <row r="1554" hidden="1" x14ac:dyDescent="0.35"/>
    <row r="1555" hidden="1" x14ac:dyDescent="0.35"/>
    <row r="1556" hidden="1" x14ac:dyDescent="0.35"/>
    <row r="1557" hidden="1" x14ac:dyDescent="0.35"/>
    <row r="1558" hidden="1" x14ac:dyDescent="0.35"/>
    <row r="1559" hidden="1" x14ac:dyDescent="0.35"/>
    <row r="1560" hidden="1" x14ac:dyDescent="0.35"/>
    <row r="1561" hidden="1" x14ac:dyDescent="0.35"/>
    <row r="1562" hidden="1" x14ac:dyDescent="0.35"/>
    <row r="1563" hidden="1" x14ac:dyDescent="0.35"/>
    <row r="1564" hidden="1" x14ac:dyDescent="0.35"/>
    <row r="1565" hidden="1" x14ac:dyDescent="0.35"/>
    <row r="1566" hidden="1" x14ac:dyDescent="0.35"/>
    <row r="1567" hidden="1" x14ac:dyDescent="0.35"/>
    <row r="1568" hidden="1" x14ac:dyDescent="0.35"/>
    <row r="1569" hidden="1" x14ac:dyDescent="0.35"/>
    <row r="1570" hidden="1" x14ac:dyDescent="0.35"/>
    <row r="1571" hidden="1" x14ac:dyDescent="0.35"/>
    <row r="1572" hidden="1" x14ac:dyDescent="0.35"/>
    <row r="1573" hidden="1" x14ac:dyDescent="0.35"/>
    <row r="1574" hidden="1" x14ac:dyDescent="0.35"/>
    <row r="1575" hidden="1" x14ac:dyDescent="0.35"/>
    <row r="1576" hidden="1" x14ac:dyDescent="0.35"/>
    <row r="1577" hidden="1" x14ac:dyDescent="0.35"/>
    <row r="1578" hidden="1" x14ac:dyDescent="0.35"/>
    <row r="1579" hidden="1" x14ac:dyDescent="0.35"/>
    <row r="1580" hidden="1" x14ac:dyDescent="0.35"/>
    <row r="1581" hidden="1" x14ac:dyDescent="0.35"/>
    <row r="1582" hidden="1" x14ac:dyDescent="0.35"/>
    <row r="1583" hidden="1" x14ac:dyDescent="0.35"/>
    <row r="1584" hidden="1" x14ac:dyDescent="0.35"/>
    <row r="1585" hidden="1" x14ac:dyDescent="0.35"/>
    <row r="1586" hidden="1" x14ac:dyDescent="0.35"/>
    <row r="1587" hidden="1" x14ac:dyDescent="0.35"/>
    <row r="1588" hidden="1" x14ac:dyDescent="0.35"/>
    <row r="1589" hidden="1" x14ac:dyDescent="0.35"/>
    <row r="1590" hidden="1" x14ac:dyDescent="0.35"/>
    <row r="1591" hidden="1" x14ac:dyDescent="0.35"/>
    <row r="1592" hidden="1" x14ac:dyDescent="0.35"/>
    <row r="1593" hidden="1" x14ac:dyDescent="0.35"/>
    <row r="1594" hidden="1" x14ac:dyDescent="0.35"/>
    <row r="1595" hidden="1" x14ac:dyDescent="0.35"/>
    <row r="1596" hidden="1" x14ac:dyDescent="0.35"/>
    <row r="1597" hidden="1" x14ac:dyDescent="0.35"/>
    <row r="1598" hidden="1" x14ac:dyDescent="0.35"/>
    <row r="1599" hidden="1" x14ac:dyDescent="0.35"/>
    <row r="1600" hidden="1" x14ac:dyDescent="0.35"/>
    <row r="1601" hidden="1" x14ac:dyDescent="0.35"/>
    <row r="1602" hidden="1" x14ac:dyDescent="0.35"/>
    <row r="1603" hidden="1" x14ac:dyDescent="0.35"/>
    <row r="1604" hidden="1" x14ac:dyDescent="0.35"/>
    <row r="1605" hidden="1" x14ac:dyDescent="0.35"/>
    <row r="1606" hidden="1" x14ac:dyDescent="0.35"/>
    <row r="1607" hidden="1" x14ac:dyDescent="0.35"/>
    <row r="1608" hidden="1" x14ac:dyDescent="0.35"/>
    <row r="1609" hidden="1" x14ac:dyDescent="0.35"/>
    <row r="1610" hidden="1" x14ac:dyDescent="0.35"/>
    <row r="1611" hidden="1" x14ac:dyDescent="0.35"/>
    <row r="1612" hidden="1" x14ac:dyDescent="0.35"/>
    <row r="1613" hidden="1" x14ac:dyDescent="0.35"/>
    <row r="1614" hidden="1" x14ac:dyDescent="0.35"/>
    <row r="1615" hidden="1" x14ac:dyDescent="0.35"/>
    <row r="1616" hidden="1" x14ac:dyDescent="0.35"/>
    <row r="1617" hidden="1" x14ac:dyDescent="0.35"/>
    <row r="1618" hidden="1" x14ac:dyDescent="0.35"/>
    <row r="1619" hidden="1" x14ac:dyDescent="0.35"/>
    <row r="1620" hidden="1" x14ac:dyDescent="0.35"/>
    <row r="1621" hidden="1" x14ac:dyDescent="0.35"/>
    <row r="1622" hidden="1" x14ac:dyDescent="0.35"/>
    <row r="1623" hidden="1" x14ac:dyDescent="0.35"/>
    <row r="1624" hidden="1" x14ac:dyDescent="0.35"/>
    <row r="1625" hidden="1" x14ac:dyDescent="0.35"/>
    <row r="1626" hidden="1" x14ac:dyDescent="0.35"/>
    <row r="1627" hidden="1" x14ac:dyDescent="0.35"/>
    <row r="1628" hidden="1" x14ac:dyDescent="0.35"/>
    <row r="1629" hidden="1" x14ac:dyDescent="0.35"/>
    <row r="1630" hidden="1" x14ac:dyDescent="0.35"/>
    <row r="1631" hidden="1" x14ac:dyDescent="0.35"/>
    <row r="1632" hidden="1" x14ac:dyDescent="0.35"/>
    <row r="1633" hidden="1" x14ac:dyDescent="0.35"/>
    <row r="1634" hidden="1" x14ac:dyDescent="0.35"/>
    <row r="1635" hidden="1" x14ac:dyDescent="0.35"/>
    <row r="1636" hidden="1" x14ac:dyDescent="0.35"/>
    <row r="1637" hidden="1" x14ac:dyDescent="0.35"/>
    <row r="1638" hidden="1" x14ac:dyDescent="0.35"/>
    <row r="1639" hidden="1" x14ac:dyDescent="0.35"/>
    <row r="1640" hidden="1" x14ac:dyDescent="0.35"/>
    <row r="1641" hidden="1" x14ac:dyDescent="0.35"/>
    <row r="1642" hidden="1" x14ac:dyDescent="0.35"/>
    <row r="1643" hidden="1" x14ac:dyDescent="0.35"/>
    <row r="1644" hidden="1" x14ac:dyDescent="0.35"/>
    <row r="1645" hidden="1" x14ac:dyDescent="0.35"/>
    <row r="1646" hidden="1" x14ac:dyDescent="0.35"/>
    <row r="1647" hidden="1" x14ac:dyDescent="0.35"/>
    <row r="1648" hidden="1" x14ac:dyDescent="0.35"/>
    <row r="1649" hidden="1" x14ac:dyDescent="0.35"/>
    <row r="1650" hidden="1" x14ac:dyDescent="0.35"/>
    <row r="1651" hidden="1" x14ac:dyDescent="0.35"/>
    <row r="1652" hidden="1" x14ac:dyDescent="0.35"/>
    <row r="1653" hidden="1" x14ac:dyDescent="0.35"/>
    <row r="1654" hidden="1" x14ac:dyDescent="0.35"/>
    <row r="1655" hidden="1" x14ac:dyDescent="0.35"/>
    <row r="1656" hidden="1" x14ac:dyDescent="0.35"/>
    <row r="1657" hidden="1" x14ac:dyDescent="0.35"/>
    <row r="1658" hidden="1" x14ac:dyDescent="0.35"/>
    <row r="1659" hidden="1" x14ac:dyDescent="0.35"/>
    <row r="1660" hidden="1" x14ac:dyDescent="0.35"/>
    <row r="1661" hidden="1" x14ac:dyDescent="0.35"/>
    <row r="1662" hidden="1" x14ac:dyDescent="0.35"/>
    <row r="1663" hidden="1" x14ac:dyDescent="0.35"/>
    <row r="1664" hidden="1" x14ac:dyDescent="0.35"/>
    <row r="1665" hidden="1" x14ac:dyDescent="0.35"/>
    <row r="1666" hidden="1" x14ac:dyDescent="0.35"/>
    <row r="1667" hidden="1" x14ac:dyDescent="0.35"/>
    <row r="1668" hidden="1" x14ac:dyDescent="0.35"/>
    <row r="1669" hidden="1" x14ac:dyDescent="0.35"/>
    <row r="1670" hidden="1" x14ac:dyDescent="0.35"/>
    <row r="1671" hidden="1" x14ac:dyDescent="0.35"/>
    <row r="1672" hidden="1" x14ac:dyDescent="0.35"/>
    <row r="1673" hidden="1" x14ac:dyDescent="0.35"/>
    <row r="1674" hidden="1" x14ac:dyDescent="0.35"/>
    <row r="1675" hidden="1" x14ac:dyDescent="0.35"/>
    <row r="1676" hidden="1" x14ac:dyDescent="0.35"/>
    <row r="1677" hidden="1" x14ac:dyDescent="0.35"/>
    <row r="1678" hidden="1" x14ac:dyDescent="0.35"/>
    <row r="1679" hidden="1" x14ac:dyDescent="0.35"/>
    <row r="1680" hidden="1" x14ac:dyDescent="0.35"/>
    <row r="1681" hidden="1" x14ac:dyDescent="0.35"/>
    <row r="1682" hidden="1" x14ac:dyDescent="0.35"/>
    <row r="1683" hidden="1" x14ac:dyDescent="0.35"/>
    <row r="1684" hidden="1" x14ac:dyDescent="0.35"/>
    <row r="1685" hidden="1" x14ac:dyDescent="0.35"/>
    <row r="1686" hidden="1" x14ac:dyDescent="0.35"/>
    <row r="1687" hidden="1" x14ac:dyDescent="0.35"/>
    <row r="1688" hidden="1" x14ac:dyDescent="0.35"/>
    <row r="1689" hidden="1" x14ac:dyDescent="0.35"/>
    <row r="1690" hidden="1" x14ac:dyDescent="0.35"/>
    <row r="1691" hidden="1" x14ac:dyDescent="0.35"/>
    <row r="1692" hidden="1" x14ac:dyDescent="0.35"/>
    <row r="1693" hidden="1" x14ac:dyDescent="0.35"/>
    <row r="1694" hidden="1" x14ac:dyDescent="0.35"/>
    <row r="1695" hidden="1" x14ac:dyDescent="0.35"/>
    <row r="1696" hidden="1" x14ac:dyDescent="0.35"/>
    <row r="1697" hidden="1" x14ac:dyDescent="0.35"/>
    <row r="1698" hidden="1" x14ac:dyDescent="0.35"/>
    <row r="1699" hidden="1" x14ac:dyDescent="0.35"/>
    <row r="1700" hidden="1" x14ac:dyDescent="0.35"/>
    <row r="1701" hidden="1" x14ac:dyDescent="0.35"/>
    <row r="1702" hidden="1" x14ac:dyDescent="0.35"/>
    <row r="1703" hidden="1" x14ac:dyDescent="0.35"/>
    <row r="1704" hidden="1" x14ac:dyDescent="0.35"/>
    <row r="1705" hidden="1" x14ac:dyDescent="0.35"/>
    <row r="1706" hidden="1" x14ac:dyDescent="0.35"/>
    <row r="1707" hidden="1" x14ac:dyDescent="0.35"/>
    <row r="1708" hidden="1" x14ac:dyDescent="0.35"/>
    <row r="1709" hidden="1" x14ac:dyDescent="0.35"/>
    <row r="1710" hidden="1" x14ac:dyDescent="0.35"/>
    <row r="1711" hidden="1" x14ac:dyDescent="0.35"/>
    <row r="1712" hidden="1" x14ac:dyDescent="0.35"/>
    <row r="1713" hidden="1" x14ac:dyDescent="0.35"/>
    <row r="1714" hidden="1" x14ac:dyDescent="0.35"/>
    <row r="1715" hidden="1" x14ac:dyDescent="0.35"/>
    <row r="1716" hidden="1" x14ac:dyDescent="0.35"/>
    <row r="1717" hidden="1" x14ac:dyDescent="0.35"/>
    <row r="1718" hidden="1" x14ac:dyDescent="0.35"/>
    <row r="1719" hidden="1" x14ac:dyDescent="0.35"/>
    <row r="1720" hidden="1" x14ac:dyDescent="0.35"/>
    <row r="1721" hidden="1" x14ac:dyDescent="0.35"/>
    <row r="1722" hidden="1" x14ac:dyDescent="0.35"/>
    <row r="1723" hidden="1" x14ac:dyDescent="0.35"/>
    <row r="1724" hidden="1" x14ac:dyDescent="0.35"/>
    <row r="1725" hidden="1" x14ac:dyDescent="0.35"/>
    <row r="1726" hidden="1" x14ac:dyDescent="0.35"/>
    <row r="1727" hidden="1" x14ac:dyDescent="0.35"/>
    <row r="1728" hidden="1" x14ac:dyDescent="0.35"/>
    <row r="1729" hidden="1" x14ac:dyDescent="0.35"/>
    <row r="1730" hidden="1" x14ac:dyDescent="0.35"/>
    <row r="1731" hidden="1" x14ac:dyDescent="0.35"/>
    <row r="1732" hidden="1" x14ac:dyDescent="0.35"/>
    <row r="1733" hidden="1" x14ac:dyDescent="0.35"/>
    <row r="1734" hidden="1" x14ac:dyDescent="0.35"/>
    <row r="1735" hidden="1" x14ac:dyDescent="0.35"/>
    <row r="1736" hidden="1" x14ac:dyDescent="0.35"/>
    <row r="1737" hidden="1" x14ac:dyDescent="0.35"/>
    <row r="1738" hidden="1" x14ac:dyDescent="0.35"/>
    <row r="1739" hidden="1" x14ac:dyDescent="0.35"/>
    <row r="1740" hidden="1" x14ac:dyDescent="0.35"/>
    <row r="1741" hidden="1" x14ac:dyDescent="0.35"/>
    <row r="1742" hidden="1" x14ac:dyDescent="0.35"/>
    <row r="1743" hidden="1" x14ac:dyDescent="0.35"/>
    <row r="1744" hidden="1" x14ac:dyDescent="0.35"/>
    <row r="1745" hidden="1" x14ac:dyDescent="0.35"/>
    <row r="1746" hidden="1" x14ac:dyDescent="0.35"/>
    <row r="1747" hidden="1" x14ac:dyDescent="0.35"/>
    <row r="1748" hidden="1" x14ac:dyDescent="0.35"/>
    <row r="1749" hidden="1" x14ac:dyDescent="0.35"/>
    <row r="1750" hidden="1" x14ac:dyDescent="0.35"/>
    <row r="1751" hidden="1" x14ac:dyDescent="0.35"/>
    <row r="1752" hidden="1" x14ac:dyDescent="0.35"/>
    <row r="1753" hidden="1" x14ac:dyDescent="0.35"/>
    <row r="1754" hidden="1" x14ac:dyDescent="0.35"/>
    <row r="1755" hidden="1" x14ac:dyDescent="0.35"/>
    <row r="1756" hidden="1" x14ac:dyDescent="0.35"/>
    <row r="1757" hidden="1" x14ac:dyDescent="0.35"/>
    <row r="1758" hidden="1" x14ac:dyDescent="0.35"/>
    <row r="1759" hidden="1" x14ac:dyDescent="0.35"/>
    <row r="1760" hidden="1" x14ac:dyDescent="0.35"/>
    <row r="1761" hidden="1" x14ac:dyDescent="0.35"/>
    <row r="1762" hidden="1" x14ac:dyDescent="0.35"/>
    <row r="1763" hidden="1" x14ac:dyDescent="0.35"/>
    <row r="1764" hidden="1" x14ac:dyDescent="0.35"/>
    <row r="1765" hidden="1" x14ac:dyDescent="0.35"/>
    <row r="1766" hidden="1" x14ac:dyDescent="0.35"/>
    <row r="1767" hidden="1" x14ac:dyDescent="0.35"/>
    <row r="1768" hidden="1" x14ac:dyDescent="0.35"/>
    <row r="1769" hidden="1" x14ac:dyDescent="0.35"/>
    <row r="1770" hidden="1" x14ac:dyDescent="0.35"/>
    <row r="1771" hidden="1" x14ac:dyDescent="0.35"/>
    <row r="1772" hidden="1" x14ac:dyDescent="0.35"/>
    <row r="1773" hidden="1" x14ac:dyDescent="0.35"/>
    <row r="1774" hidden="1" x14ac:dyDescent="0.35"/>
    <row r="1775" hidden="1" x14ac:dyDescent="0.35"/>
    <row r="1776" hidden="1" x14ac:dyDescent="0.35"/>
    <row r="1777" hidden="1" x14ac:dyDescent="0.35"/>
    <row r="1778" hidden="1" x14ac:dyDescent="0.35"/>
    <row r="1779" hidden="1" x14ac:dyDescent="0.35"/>
    <row r="1780" hidden="1" x14ac:dyDescent="0.35"/>
    <row r="1781" hidden="1" x14ac:dyDescent="0.35"/>
    <row r="1782" hidden="1" x14ac:dyDescent="0.35"/>
    <row r="1783" hidden="1" x14ac:dyDescent="0.35"/>
    <row r="1784" hidden="1" x14ac:dyDescent="0.35"/>
    <row r="1785" hidden="1" x14ac:dyDescent="0.35"/>
    <row r="1786" hidden="1" x14ac:dyDescent="0.35"/>
    <row r="1787" hidden="1" x14ac:dyDescent="0.35"/>
    <row r="1788" hidden="1" x14ac:dyDescent="0.35"/>
    <row r="1789" hidden="1" x14ac:dyDescent="0.35"/>
    <row r="1790" hidden="1" x14ac:dyDescent="0.35"/>
    <row r="1791" hidden="1" x14ac:dyDescent="0.35"/>
    <row r="1792" hidden="1" x14ac:dyDescent="0.35"/>
    <row r="1793" hidden="1" x14ac:dyDescent="0.35"/>
    <row r="1794" hidden="1" x14ac:dyDescent="0.35"/>
    <row r="1795" hidden="1" x14ac:dyDescent="0.35"/>
    <row r="1796" hidden="1" x14ac:dyDescent="0.35"/>
    <row r="1797" hidden="1" x14ac:dyDescent="0.35"/>
    <row r="1798" hidden="1" x14ac:dyDescent="0.35"/>
    <row r="1799" hidden="1" x14ac:dyDescent="0.35"/>
    <row r="1800" hidden="1" x14ac:dyDescent="0.35"/>
    <row r="1801" hidden="1" x14ac:dyDescent="0.35"/>
    <row r="1802" hidden="1" x14ac:dyDescent="0.35"/>
    <row r="1803" hidden="1" x14ac:dyDescent="0.35"/>
    <row r="1804" hidden="1" x14ac:dyDescent="0.35"/>
    <row r="1805" hidden="1" x14ac:dyDescent="0.35"/>
    <row r="1806" hidden="1" x14ac:dyDescent="0.35"/>
    <row r="1807" hidden="1" x14ac:dyDescent="0.35"/>
    <row r="1808" hidden="1" x14ac:dyDescent="0.35"/>
    <row r="1809" hidden="1" x14ac:dyDescent="0.35"/>
    <row r="1810" hidden="1" x14ac:dyDescent="0.35"/>
    <row r="1811" hidden="1" x14ac:dyDescent="0.35"/>
    <row r="1812" hidden="1" x14ac:dyDescent="0.35"/>
    <row r="1813" hidden="1" x14ac:dyDescent="0.35"/>
    <row r="1814" hidden="1" x14ac:dyDescent="0.35"/>
    <row r="1815" hidden="1" x14ac:dyDescent="0.35"/>
    <row r="1816" hidden="1" x14ac:dyDescent="0.35"/>
    <row r="1817" hidden="1" x14ac:dyDescent="0.35"/>
    <row r="1818" hidden="1" x14ac:dyDescent="0.35"/>
    <row r="1819" hidden="1" x14ac:dyDescent="0.35"/>
    <row r="1820" hidden="1" x14ac:dyDescent="0.35"/>
    <row r="1821" hidden="1" x14ac:dyDescent="0.35"/>
    <row r="1822" hidden="1" x14ac:dyDescent="0.35"/>
    <row r="1823" hidden="1" x14ac:dyDescent="0.35"/>
    <row r="1824" hidden="1" x14ac:dyDescent="0.35"/>
    <row r="1825" hidden="1" x14ac:dyDescent="0.35"/>
    <row r="1826" hidden="1" x14ac:dyDescent="0.35"/>
    <row r="1827" hidden="1" x14ac:dyDescent="0.35"/>
    <row r="1828" hidden="1" x14ac:dyDescent="0.35"/>
    <row r="1829" hidden="1" x14ac:dyDescent="0.35"/>
    <row r="1830" hidden="1" x14ac:dyDescent="0.35"/>
    <row r="1831" hidden="1" x14ac:dyDescent="0.35"/>
    <row r="1832" hidden="1" x14ac:dyDescent="0.35"/>
    <row r="1833" hidden="1" x14ac:dyDescent="0.35"/>
    <row r="1834" hidden="1" x14ac:dyDescent="0.35"/>
    <row r="1835" hidden="1" x14ac:dyDescent="0.35"/>
    <row r="1836" hidden="1" x14ac:dyDescent="0.35"/>
    <row r="1837" hidden="1" x14ac:dyDescent="0.35"/>
    <row r="1838" hidden="1" x14ac:dyDescent="0.35"/>
    <row r="1839" hidden="1" x14ac:dyDescent="0.35"/>
    <row r="1840" hidden="1" x14ac:dyDescent="0.35"/>
    <row r="1841" hidden="1" x14ac:dyDescent="0.35"/>
    <row r="1842" hidden="1" x14ac:dyDescent="0.35"/>
    <row r="1843" hidden="1" x14ac:dyDescent="0.35"/>
    <row r="1844" hidden="1" x14ac:dyDescent="0.35"/>
    <row r="1845" hidden="1" x14ac:dyDescent="0.35"/>
    <row r="1846" hidden="1" x14ac:dyDescent="0.35"/>
    <row r="1847" hidden="1" x14ac:dyDescent="0.35"/>
    <row r="1848" hidden="1" x14ac:dyDescent="0.35"/>
    <row r="1849" hidden="1" x14ac:dyDescent="0.35"/>
    <row r="1850" hidden="1" x14ac:dyDescent="0.35"/>
    <row r="1851" hidden="1" x14ac:dyDescent="0.35"/>
    <row r="1852" hidden="1" x14ac:dyDescent="0.35"/>
    <row r="1853" hidden="1" x14ac:dyDescent="0.35"/>
    <row r="1854" hidden="1" x14ac:dyDescent="0.35"/>
    <row r="1855" hidden="1" x14ac:dyDescent="0.35"/>
    <row r="1856" hidden="1" x14ac:dyDescent="0.35"/>
    <row r="1857" hidden="1" x14ac:dyDescent="0.35"/>
    <row r="1858" hidden="1" x14ac:dyDescent="0.35"/>
    <row r="1859" hidden="1" x14ac:dyDescent="0.35"/>
    <row r="1860" hidden="1" x14ac:dyDescent="0.35"/>
    <row r="1861" hidden="1" x14ac:dyDescent="0.35"/>
    <row r="1862" hidden="1" x14ac:dyDescent="0.35"/>
    <row r="1863" hidden="1" x14ac:dyDescent="0.35"/>
    <row r="1864" hidden="1" x14ac:dyDescent="0.35"/>
    <row r="1865" hidden="1" x14ac:dyDescent="0.35"/>
    <row r="1866" hidden="1" x14ac:dyDescent="0.35"/>
    <row r="1867" hidden="1" x14ac:dyDescent="0.35"/>
    <row r="1868" hidden="1" x14ac:dyDescent="0.35"/>
    <row r="1869" hidden="1" x14ac:dyDescent="0.35"/>
    <row r="1870" hidden="1" x14ac:dyDescent="0.35"/>
    <row r="1871" hidden="1" x14ac:dyDescent="0.35"/>
    <row r="1872" hidden="1" x14ac:dyDescent="0.35"/>
    <row r="1873" hidden="1" x14ac:dyDescent="0.35"/>
    <row r="1874" hidden="1" x14ac:dyDescent="0.35"/>
    <row r="1875" hidden="1" x14ac:dyDescent="0.35"/>
    <row r="1876" hidden="1" x14ac:dyDescent="0.35"/>
    <row r="1877" hidden="1" x14ac:dyDescent="0.35"/>
    <row r="1878" hidden="1" x14ac:dyDescent="0.35"/>
    <row r="1879" hidden="1" x14ac:dyDescent="0.35"/>
    <row r="1880" hidden="1" x14ac:dyDescent="0.35"/>
    <row r="1881" hidden="1" x14ac:dyDescent="0.35"/>
    <row r="1882" hidden="1" x14ac:dyDescent="0.35"/>
    <row r="1883" hidden="1" x14ac:dyDescent="0.35"/>
    <row r="1884" hidden="1" x14ac:dyDescent="0.35"/>
    <row r="1885" hidden="1" x14ac:dyDescent="0.35"/>
    <row r="1886" hidden="1" x14ac:dyDescent="0.35"/>
    <row r="1887" hidden="1" x14ac:dyDescent="0.35"/>
    <row r="1888" hidden="1" x14ac:dyDescent="0.35"/>
    <row r="1889" hidden="1" x14ac:dyDescent="0.35"/>
    <row r="1890" hidden="1" x14ac:dyDescent="0.35"/>
    <row r="1891" hidden="1" x14ac:dyDescent="0.35"/>
    <row r="1892" hidden="1" x14ac:dyDescent="0.35"/>
    <row r="1893" hidden="1" x14ac:dyDescent="0.35"/>
    <row r="1894" hidden="1" x14ac:dyDescent="0.35"/>
    <row r="1895" hidden="1" x14ac:dyDescent="0.35"/>
    <row r="1896" hidden="1" x14ac:dyDescent="0.35"/>
    <row r="1897" hidden="1" x14ac:dyDescent="0.35"/>
    <row r="1898" hidden="1" x14ac:dyDescent="0.35"/>
    <row r="1899" hidden="1" x14ac:dyDescent="0.35"/>
    <row r="1900" hidden="1" x14ac:dyDescent="0.35"/>
    <row r="1901" hidden="1" x14ac:dyDescent="0.35"/>
    <row r="1902" hidden="1" x14ac:dyDescent="0.35"/>
    <row r="1903" hidden="1" x14ac:dyDescent="0.35"/>
    <row r="1904" hidden="1" x14ac:dyDescent="0.35"/>
    <row r="1905" hidden="1" x14ac:dyDescent="0.35"/>
    <row r="1906" hidden="1" x14ac:dyDescent="0.35"/>
    <row r="1907" hidden="1" x14ac:dyDescent="0.35"/>
    <row r="1908" hidden="1" x14ac:dyDescent="0.35"/>
    <row r="1909" hidden="1" x14ac:dyDescent="0.35"/>
    <row r="1910" hidden="1" x14ac:dyDescent="0.35"/>
    <row r="1911" hidden="1" x14ac:dyDescent="0.35"/>
    <row r="1912" hidden="1" x14ac:dyDescent="0.35"/>
    <row r="1913" hidden="1" x14ac:dyDescent="0.35"/>
    <row r="1914" hidden="1" x14ac:dyDescent="0.35"/>
    <row r="1915" hidden="1" x14ac:dyDescent="0.35"/>
    <row r="1916" hidden="1" x14ac:dyDescent="0.35"/>
    <row r="1917" hidden="1" x14ac:dyDescent="0.35"/>
    <row r="1918" hidden="1" x14ac:dyDescent="0.35"/>
    <row r="1919" hidden="1" x14ac:dyDescent="0.35"/>
    <row r="1920" hidden="1" x14ac:dyDescent="0.35"/>
    <row r="1921" hidden="1" x14ac:dyDescent="0.35"/>
    <row r="1922" hidden="1" x14ac:dyDescent="0.35"/>
    <row r="1923" hidden="1" x14ac:dyDescent="0.35"/>
    <row r="1924" hidden="1" x14ac:dyDescent="0.35"/>
    <row r="1925" hidden="1" x14ac:dyDescent="0.35"/>
    <row r="1926" hidden="1" x14ac:dyDescent="0.35"/>
    <row r="1927" hidden="1" x14ac:dyDescent="0.35"/>
    <row r="1928" hidden="1" x14ac:dyDescent="0.35"/>
    <row r="1929" hidden="1" x14ac:dyDescent="0.35"/>
    <row r="1930" hidden="1" x14ac:dyDescent="0.35"/>
    <row r="1931" hidden="1" x14ac:dyDescent="0.35"/>
    <row r="1932" hidden="1" x14ac:dyDescent="0.35"/>
    <row r="1933" hidden="1" x14ac:dyDescent="0.35"/>
    <row r="1934" hidden="1" x14ac:dyDescent="0.35"/>
    <row r="1935" hidden="1" x14ac:dyDescent="0.35"/>
    <row r="1936" hidden="1" x14ac:dyDescent="0.35"/>
    <row r="1937" hidden="1" x14ac:dyDescent="0.35"/>
    <row r="1938" hidden="1" x14ac:dyDescent="0.35"/>
    <row r="1939" hidden="1" x14ac:dyDescent="0.35"/>
    <row r="1940" hidden="1" x14ac:dyDescent="0.35"/>
    <row r="1941" hidden="1" x14ac:dyDescent="0.35"/>
    <row r="1942" hidden="1" x14ac:dyDescent="0.35"/>
    <row r="1943" hidden="1" x14ac:dyDescent="0.35"/>
    <row r="1944" hidden="1" x14ac:dyDescent="0.35"/>
    <row r="1945" hidden="1" x14ac:dyDescent="0.35"/>
    <row r="1946" hidden="1" x14ac:dyDescent="0.35"/>
    <row r="1947" hidden="1" x14ac:dyDescent="0.35"/>
    <row r="1948" hidden="1" x14ac:dyDescent="0.35"/>
    <row r="1949" hidden="1" x14ac:dyDescent="0.35"/>
    <row r="1950" hidden="1" x14ac:dyDescent="0.35"/>
    <row r="1951" hidden="1" x14ac:dyDescent="0.35"/>
    <row r="1952" hidden="1" x14ac:dyDescent="0.35"/>
    <row r="1953" hidden="1" x14ac:dyDescent="0.35"/>
    <row r="1954" hidden="1" x14ac:dyDescent="0.35"/>
    <row r="1955" hidden="1" x14ac:dyDescent="0.35"/>
    <row r="1956" hidden="1" x14ac:dyDescent="0.35"/>
    <row r="1957" hidden="1" x14ac:dyDescent="0.35"/>
    <row r="1958" hidden="1" x14ac:dyDescent="0.35"/>
    <row r="1959" hidden="1" x14ac:dyDescent="0.35"/>
    <row r="1960" hidden="1" x14ac:dyDescent="0.35"/>
    <row r="1961" hidden="1" x14ac:dyDescent="0.35"/>
    <row r="1962" hidden="1" x14ac:dyDescent="0.35"/>
    <row r="1963" hidden="1" x14ac:dyDescent="0.35"/>
    <row r="1964" hidden="1" x14ac:dyDescent="0.35"/>
    <row r="1965" hidden="1" x14ac:dyDescent="0.35"/>
    <row r="1966" hidden="1" x14ac:dyDescent="0.35"/>
    <row r="1967" hidden="1" x14ac:dyDescent="0.35"/>
    <row r="1968" hidden="1" x14ac:dyDescent="0.35"/>
    <row r="1969" hidden="1" x14ac:dyDescent="0.35"/>
    <row r="1970" hidden="1" x14ac:dyDescent="0.35"/>
    <row r="1971" hidden="1" x14ac:dyDescent="0.35"/>
    <row r="1972" hidden="1" x14ac:dyDescent="0.35"/>
    <row r="1973" hidden="1" x14ac:dyDescent="0.35"/>
    <row r="1974" hidden="1" x14ac:dyDescent="0.35"/>
    <row r="1975" hidden="1" x14ac:dyDescent="0.35"/>
    <row r="1976" hidden="1" x14ac:dyDescent="0.35"/>
    <row r="1977" hidden="1" x14ac:dyDescent="0.35"/>
    <row r="1978" hidden="1" x14ac:dyDescent="0.35"/>
    <row r="1979" hidden="1" x14ac:dyDescent="0.35"/>
    <row r="1980" hidden="1" x14ac:dyDescent="0.35"/>
    <row r="1981" hidden="1" x14ac:dyDescent="0.35"/>
    <row r="1982" hidden="1" x14ac:dyDescent="0.35"/>
    <row r="1983" hidden="1" x14ac:dyDescent="0.35"/>
    <row r="1984" hidden="1" x14ac:dyDescent="0.35"/>
    <row r="1985" hidden="1" x14ac:dyDescent="0.35"/>
    <row r="1986" hidden="1" x14ac:dyDescent="0.35"/>
    <row r="1987" hidden="1" x14ac:dyDescent="0.35"/>
    <row r="1988" hidden="1" x14ac:dyDescent="0.35"/>
    <row r="1989" hidden="1" x14ac:dyDescent="0.35"/>
    <row r="1990" hidden="1" x14ac:dyDescent="0.35"/>
    <row r="1991" hidden="1" x14ac:dyDescent="0.35"/>
    <row r="1992" hidden="1" x14ac:dyDescent="0.35"/>
    <row r="1993" hidden="1" x14ac:dyDescent="0.35"/>
    <row r="1994" hidden="1" x14ac:dyDescent="0.35"/>
    <row r="1995" hidden="1" x14ac:dyDescent="0.35"/>
    <row r="1996" hidden="1" x14ac:dyDescent="0.35"/>
    <row r="1997" hidden="1" x14ac:dyDescent="0.35"/>
    <row r="1998" hidden="1" x14ac:dyDescent="0.35"/>
    <row r="1999" hidden="1" x14ac:dyDescent="0.35"/>
    <row r="2000" hidden="1" x14ac:dyDescent="0.35"/>
    <row r="2001" hidden="1" x14ac:dyDescent="0.35"/>
    <row r="2002" hidden="1" x14ac:dyDescent="0.35"/>
    <row r="2003" hidden="1" x14ac:dyDescent="0.35"/>
    <row r="2004" hidden="1" x14ac:dyDescent="0.35"/>
    <row r="2005" hidden="1" x14ac:dyDescent="0.35"/>
    <row r="2006" hidden="1" x14ac:dyDescent="0.35"/>
    <row r="2007" hidden="1" x14ac:dyDescent="0.35"/>
    <row r="2008" hidden="1" x14ac:dyDescent="0.35"/>
    <row r="2009" hidden="1" x14ac:dyDescent="0.35"/>
    <row r="2010" hidden="1" x14ac:dyDescent="0.35"/>
    <row r="2011" hidden="1" x14ac:dyDescent="0.35"/>
    <row r="2012" hidden="1" x14ac:dyDescent="0.35"/>
    <row r="2013" hidden="1" x14ac:dyDescent="0.35"/>
    <row r="2014" hidden="1" x14ac:dyDescent="0.35"/>
    <row r="2015" hidden="1" x14ac:dyDescent="0.35"/>
    <row r="2016" hidden="1" x14ac:dyDescent="0.35"/>
    <row r="2017" hidden="1" x14ac:dyDescent="0.35"/>
    <row r="2018" hidden="1" x14ac:dyDescent="0.35"/>
    <row r="2019" hidden="1" x14ac:dyDescent="0.35"/>
    <row r="2020" hidden="1" x14ac:dyDescent="0.35"/>
    <row r="2021" hidden="1" x14ac:dyDescent="0.35"/>
    <row r="2022" hidden="1" x14ac:dyDescent="0.35"/>
    <row r="2023" hidden="1" x14ac:dyDescent="0.35"/>
    <row r="2024" hidden="1" x14ac:dyDescent="0.35"/>
    <row r="2025" hidden="1" x14ac:dyDescent="0.35"/>
    <row r="2026" hidden="1" x14ac:dyDescent="0.35"/>
    <row r="2027" hidden="1" x14ac:dyDescent="0.35"/>
    <row r="2028" hidden="1" x14ac:dyDescent="0.35"/>
    <row r="2029" hidden="1" x14ac:dyDescent="0.35"/>
    <row r="2030" hidden="1" x14ac:dyDescent="0.35"/>
    <row r="2031" hidden="1" x14ac:dyDescent="0.35"/>
    <row r="2032" hidden="1" x14ac:dyDescent="0.35"/>
    <row r="2033" hidden="1" x14ac:dyDescent="0.35"/>
    <row r="2034" hidden="1" x14ac:dyDescent="0.35"/>
    <row r="2035" hidden="1" x14ac:dyDescent="0.35"/>
    <row r="2036" hidden="1" x14ac:dyDescent="0.35"/>
    <row r="2037" hidden="1" x14ac:dyDescent="0.35"/>
    <row r="2038" hidden="1" x14ac:dyDescent="0.35"/>
    <row r="2039" hidden="1" x14ac:dyDescent="0.35"/>
    <row r="2040" hidden="1" x14ac:dyDescent="0.35"/>
    <row r="2041" hidden="1" x14ac:dyDescent="0.35"/>
    <row r="2042" hidden="1" x14ac:dyDescent="0.35"/>
    <row r="2043" hidden="1" x14ac:dyDescent="0.35"/>
    <row r="2044" hidden="1" x14ac:dyDescent="0.35"/>
    <row r="2045" hidden="1" x14ac:dyDescent="0.35"/>
    <row r="2046" hidden="1" x14ac:dyDescent="0.35"/>
    <row r="2047" hidden="1" x14ac:dyDescent="0.35"/>
    <row r="2048" hidden="1" x14ac:dyDescent="0.35"/>
    <row r="2049" hidden="1" x14ac:dyDescent="0.35"/>
    <row r="2050" hidden="1" x14ac:dyDescent="0.35"/>
    <row r="2051" hidden="1" x14ac:dyDescent="0.35"/>
    <row r="2052" hidden="1" x14ac:dyDescent="0.35"/>
    <row r="2053" hidden="1" x14ac:dyDescent="0.35"/>
    <row r="2054" hidden="1" x14ac:dyDescent="0.35"/>
    <row r="2055" hidden="1" x14ac:dyDescent="0.35"/>
    <row r="2056" hidden="1" x14ac:dyDescent="0.35"/>
    <row r="2057" hidden="1" x14ac:dyDescent="0.35"/>
    <row r="2058" hidden="1" x14ac:dyDescent="0.35"/>
    <row r="2059" hidden="1" x14ac:dyDescent="0.35"/>
    <row r="2060" hidden="1" x14ac:dyDescent="0.35"/>
    <row r="2061" hidden="1" x14ac:dyDescent="0.35"/>
    <row r="2062" hidden="1" x14ac:dyDescent="0.35"/>
    <row r="2063" hidden="1" x14ac:dyDescent="0.35"/>
    <row r="2064" hidden="1" x14ac:dyDescent="0.35"/>
    <row r="2065" hidden="1" x14ac:dyDescent="0.35"/>
    <row r="2066" hidden="1" x14ac:dyDescent="0.35"/>
    <row r="2067" hidden="1" x14ac:dyDescent="0.35"/>
    <row r="2068" hidden="1" x14ac:dyDescent="0.35"/>
    <row r="2069" hidden="1" x14ac:dyDescent="0.35"/>
    <row r="2070" hidden="1" x14ac:dyDescent="0.35"/>
    <row r="2071" hidden="1" x14ac:dyDescent="0.35"/>
    <row r="2072" hidden="1" x14ac:dyDescent="0.35"/>
    <row r="2073" hidden="1" x14ac:dyDescent="0.35"/>
    <row r="2074" hidden="1" x14ac:dyDescent="0.35"/>
    <row r="2075" hidden="1" x14ac:dyDescent="0.35"/>
    <row r="2076" hidden="1" x14ac:dyDescent="0.35"/>
    <row r="2077" hidden="1" x14ac:dyDescent="0.35"/>
    <row r="2078" hidden="1" x14ac:dyDescent="0.35"/>
    <row r="2079" hidden="1" x14ac:dyDescent="0.35"/>
    <row r="2080" hidden="1" x14ac:dyDescent="0.35"/>
    <row r="2081" hidden="1" x14ac:dyDescent="0.35"/>
    <row r="2082" hidden="1" x14ac:dyDescent="0.35"/>
    <row r="2083" hidden="1" x14ac:dyDescent="0.35"/>
    <row r="2084" hidden="1" x14ac:dyDescent="0.35"/>
    <row r="2085" hidden="1" x14ac:dyDescent="0.35"/>
    <row r="2086" hidden="1" x14ac:dyDescent="0.35"/>
    <row r="2087" hidden="1" x14ac:dyDescent="0.35"/>
    <row r="2088" hidden="1" x14ac:dyDescent="0.35"/>
    <row r="2089" hidden="1" x14ac:dyDescent="0.35"/>
    <row r="2090" hidden="1" x14ac:dyDescent="0.35"/>
    <row r="2091" hidden="1" x14ac:dyDescent="0.35"/>
    <row r="2092" hidden="1" x14ac:dyDescent="0.35"/>
    <row r="2093" hidden="1" x14ac:dyDescent="0.35"/>
    <row r="2094" hidden="1" x14ac:dyDescent="0.35"/>
    <row r="2095" hidden="1" x14ac:dyDescent="0.35"/>
    <row r="2096" hidden="1" x14ac:dyDescent="0.35"/>
    <row r="2097" hidden="1" x14ac:dyDescent="0.35"/>
    <row r="2098" hidden="1" x14ac:dyDescent="0.35"/>
    <row r="2099" hidden="1" x14ac:dyDescent="0.35"/>
    <row r="2100" hidden="1" x14ac:dyDescent="0.35"/>
    <row r="2101" hidden="1" x14ac:dyDescent="0.35"/>
    <row r="2102" hidden="1" x14ac:dyDescent="0.35"/>
    <row r="2103" hidden="1" x14ac:dyDescent="0.35"/>
    <row r="2104" hidden="1" x14ac:dyDescent="0.35"/>
    <row r="2105" hidden="1" x14ac:dyDescent="0.35"/>
    <row r="2106" hidden="1" x14ac:dyDescent="0.35"/>
    <row r="2107" hidden="1" x14ac:dyDescent="0.35"/>
    <row r="2108" hidden="1" x14ac:dyDescent="0.35"/>
    <row r="2109" hidden="1" x14ac:dyDescent="0.35"/>
    <row r="2110" hidden="1" x14ac:dyDescent="0.35"/>
    <row r="2111" hidden="1" x14ac:dyDescent="0.35"/>
    <row r="2112" hidden="1" x14ac:dyDescent="0.35"/>
    <row r="2113" hidden="1" x14ac:dyDescent="0.35"/>
    <row r="2114" hidden="1" x14ac:dyDescent="0.35"/>
    <row r="2115" hidden="1" x14ac:dyDescent="0.35"/>
    <row r="2116" hidden="1" x14ac:dyDescent="0.35"/>
    <row r="2117" hidden="1" x14ac:dyDescent="0.35"/>
    <row r="2118" hidden="1" x14ac:dyDescent="0.35"/>
    <row r="2119" hidden="1" x14ac:dyDescent="0.35"/>
    <row r="2120" hidden="1" x14ac:dyDescent="0.35"/>
    <row r="2121" hidden="1" x14ac:dyDescent="0.35"/>
    <row r="2122" hidden="1" x14ac:dyDescent="0.35"/>
    <row r="2123" hidden="1" x14ac:dyDescent="0.35"/>
    <row r="2124" hidden="1" x14ac:dyDescent="0.35"/>
    <row r="2125" hidden="1" x14ac:dyDescent="0.35"/>
    <row r="2126" hidden="1" x14ac:dyDescent="0.35"/>
    <row r="2127" hidden="1" x14ac:dyDescent="0.35"/>
    <row r="2128" hidden="1" x14ac:dyDescent="0.35"/>
    <row r="2129" hidden="1" x14ac:dyDescent="0.35"/>
    <row r="2130" hidden="1" x14ac:dyDescent="0.35"/>
    <row r="2131" hidden="1" x14ac:dyDescent="0.35"/>
    <row r="2132" hidden="1" x14ac:dyDescent="0.35"/>
    <row r="2133" hidden="1" x14ac:dyDescent="0.35"/>
    <row r="2134" hidden="1" x14ac:dyDescent="0.35"/>
    <row r="2135" hidden="1" x14ac:dyDescent="0.35"/>
    <row r="2136" hidden="1" x14ac:dyDescent="0.35"/>
    <row r="2137" hidden="1" x14ac:dyDescent="0.35"/>
    <row r="2138" hidden="1" x14ac:dyDescent="0.35"/>
    <row r="2139" hidden="1" x14ac:dyDescent="0.35"/>
    <row r="2140" hidden="1" x14ac:dyDescent="0.35"/>
    <row r="2141" hidden="1" x14ac:dyDescent="0.35"/>
    <row r="2142" hidden="1" x14ac:dyDescent="0.35"/>
    <row r="2143" hidden="1" x14ac:dyDescent="0.35"/>
    <row r="2144" hidden="1" x14ac:dyDescent="0.35"/>
    <row r="2145" hidden="1" x14ac:dyDescent="0.35"/>
    <row r="2146" hidden="1" x14ac:dyDescent="0.35"/>
    <row r="2147" hidden="1" x14ac:dyDescent="0.35"/>
    <row r="2148" hidden="1" x14ac:dyDescent="0.35"/>
    <row r="2149" hidden="1" x14ac:dyDescent="0.35"/>
    <row r="2150" hidden="1" x14ac:dyDescent="0.35"/>
    <row r="2151" hidden="1" x14ac:dyDescent="0.35"/>
    <row r="2152" hidden="1" x14ac:dyDescent="0.35"/>
    <row r="2153" hidden="1" x14ac:dyDescent="0.35"/>
    <row r="2154" hidden="1" x14ac:dyDescent="0.35"/>
    <row r="2155" hidden="1" x14ac:dyDescent="0.35"/>
    <row r="2156" hidden="1" x14ac:dyDescent="0.35"/>
    <row r="2157" hidden="1" x14ac:dyDescent="0.35"/>
    <row r="2158" hidden="1" x14ac:dyDescent="0.35"/>
    <row r="2159" hidden="1" x14ac:dyDescent="0.35"/>
    <row r="2160" hidden="1" x14ac:dyDescent="0.35"/>
    <row r="2161" hidden="1" x14ac:dyDescent="0.35"/>
    <row r="2162" hidden="1" x14ac:dyDescent="0.35"/>
    <row r="2163" hidden="1" x14ac:dyDescent="0.35"/>
    <row r="2164" hidden="1" x14ac:dyDescent="0.35"/>
    <row r="2165" hidden="1" x14ac:dyDescent="0.35"/>
    <row r="2166" hidden="1" x14ac:dyDescent="0.35"/>
    <row r="2167" hidden="1" x14ac:dyDescent="0.35"/>
    <row r="2168" hidden="1" x14ac:dyDescent="0.35"/>
    <row r="2169" hidden="1" x14ac:dyDescent="0.35"/>
    <row r="2170" hidden="1" x14ac:dyDescent="0.35"/>
    <row r="2171" hidden="1" x14ac:dyDescent="0.35"/>
    <row r="2172" hidden="1" x14ac:dyDescent="0.35"/>
    <row r="2173" hidden="1" x14ac:dyDescent="0.35"/>
    <row r="2174" hidden="1" x14ac:dyDescent="0.35"/>
    <row r="2175" hidden="1" x14ac:dyDescent="0.35"/>
    <row r="2176" hidden="1" x14ac:dyDescent="0.35"/>
    <row r="2177" hidden="1" x14ac:dyDescent="0.35"/>
    <row r="2178" hidden="1" x14ac:dyDescent="0.35"/>
    <row r="2179" hidden="1" x14ac:dyDescent="0.35"/>
    <row r="2180" hidden="1" x14ac:dyDescent="0.35"/>
    <row r="2181" hidden="1" x14ac:dyDescent="0.35"/>
    <row r="2182" hidden="1" x14ac:dyDescent="0.35"/>
    <row r="2183" hidden="1" x14ac:dyDescent="0.35"/>
    <row r="2184" hidden="1" x14ac:dyDescent="0.35"/>
    <row r="2185" hidden="1" x14ac:dyDescent="0.35"/>
    <row r="2186" hidden="1" x14ac:dyDescent="0.35"/>
    <row r="2187" hidden="1" x14ac:dyDescent="0.35"/>
    <row r="2188" hidden="1" x14ac:dyDescent="0.35"/>
    <row r="2189" hidden="1" x14ac:dyDescent="0.35"/>
    <row r="2190" hidden="1" x14ac:dyDescent="0.35"/>
    <row r="2191" hidden="1" x14ac:dyDescent="0.35"/>
    <row r="2192" hidden="1" x14ac:dyDescent="0.35"/>
    <row r="2193" hidden="1" x14ac:dyDescent="0.35"/>
    <row r="2194" hidden="1" x14ac:dyDescent="0.35"/>
    <row r="2195" hidden="1" x14ac:dyDescent="0.35"/>
    <row r="2196" hidden="1" x14ac:dyDescent="0.35"/>
    <row r="2197" hidden="1" x14ac:dyDescent="0.35"/>
    <row r="2198" hidden="1" x14ac:dyDescent="0.35"/>
    <row r="2199" hidden="1" x14ac:dyDescent="0.35"/>
    <row r="2200" hidden="1" x14ac:dyDescent="0.35"/>
    <row r="2201" hidden="1" x14ac:dyDescent="0.35"/>
    <row r="2202" hidden="1" x14ac:dyDescent="0.35"/>
    <row r="2203" hidden="1" x14ac:dyDescent="0.35"/>
    <row r="2204" hidden="1" x14ac:dyDescent="0.35"/>
    <row r="2205" hidden="1" x14ac:dyDescent="0.35"/>
    <row r="2206" hidden="1" x14ac:dyDescent="0.35"/>
    <row r="2207" hidden="1" x14ac:dyDescent="0.35"/>
    <row r="2208" hidden="1" x14ac:dyDescent="0.35"/>
    <row r="2209" hidden="1" x14ac:dyDescent="0.35"/>
    <row r="2210" hidden="1" x14ac:dyDescent="0.35"/>
    <row r="2211" hidden="1" x14ac:dyDescent="0.35"/>
    <row r="2212" hidden="1" x14ac:dyDescent="0.35"/>
    <row r="2213" hidden="1" x14ac:dyDescent="0.35"/>
    <row r="2214" hidden="1" x14ac:dyDescent="0.35"/>
    <row r="2215" hidden="1" x14ac:dyDescent="0.35"/>
    <row r="2216" hidden="1" x14ac:dyDescent="0.35"/>
    <row r="2217" hidden="1" x14ac:dyDescent="0.35"/>
    <row r="2218" hidden="1" x14ac:dyDescent="0.35"/>
    <row r="2219" hidden="1" x14ac:dyDescent="0.35"/>
    <row r="2220" hidden="1" x14ac:dyDescent="0.35"/>
    <row r="2221" hidden="1" x14ac:dyDescent="0.35"/>
    <row r="2222" hidden="1" x14ac:dyDescent="0.35"/>
    <row r="2223" hidden="1" x14ac:dyDescent="0.35"/>
    <row r="2224" hidden="1" x14ac:dyDescent="0.35"/>
    <row r="2225" hidden="1" x14ac:dyDescent="0.35"/>
    <row r="2226" hidden="1" x14ac:dyDescent="0.35"/>
    <row r="2227" hidden="1" x14ac:dyDescent="0.35"/>
    <row r="2228" hidden="1" x14ac:dyDescent="0.35"/>
    <row r="2229" hidden="1" x14ac:dyDescent="0.35"/>
    <row r="2230" hidden="1" x14ac:dyDescent="0.35"/>
    <row r="2231" hidden="1" x14ac:dyDescent="0.35"/>
    <row r="2232" hidden="1" x14ac:dyDescent="0.35"/>
    <row r="2233" hidden="1" x14ac:dyDescent="0.35"/>
    <row r="2234" hidden="1" x14ac:dyDescent="0.35"/>
    <row r="2235" hidden="1" x14ac:dyDescent="0.35"/>
    <row r="2236" hidden="1" x14ac:dyDescent="0.35"/>
    <row r="2237" hidden="1" x14ac:dyDescent="0.35"/>
    <row r="2238" hidden="1" x14ac:dyDescent="0.35"/>
    <row r="2239" hidden="1" x14ac:dyDescent="0.35"/>
    <row r="2240" hidden="1" x14ac:dyDescent="0.35"/>
    <row r="2241" hidden="1" x14ac:dyDescent="0.35"/>
    <row r="2242" hidden="1" x14ac:dyDescent="0.35"/>
    <row r="2243" hidden="1" x14ac:dyDescent="0.35"/>
    <row r="2244" hidden="1" x14ac:dyDescent="0.35"/>
    <row r="2245" hidden="1" x14ac:dyDescent="0.35"/>
    <row r="2246" hidden="1" x14ac:dyDescent="0.35"/>
    <row r="2247" hidden="1" x14ac:dyDescent="0.35"/>
    <row r="2248" hidden="1" x14ac:dyDescent="0.35"/>
    <row r="2249" hidden="1" x14ac:dyDescent="0.35"/>
    <row r="2250" hidden="1" x14ac:dyDescent="0.35"/>
    <row r="2251" hidden="1" x14ac:dyDescent="0.35"/>
    <row r="2252" hidden="1" x14ac:dyDescent="0.35"/>
    <row r="2253" hidden="1" x14ac:dyDescent="0.35"/>
    <row r="2254" hidden="1" x14ac:dyDescent="0.35"/>
    <row r="2255" hidden="1" x14ac:dyDescent="0.35"/>
    <row r="2256" hidden="1" x14ac:dyDescent="0.35"/>
    <row r="2257" hidden="1" x14ac:dyDescent="0.35"/>
    <row r="2258" hidden="1" x14ac:dyDescent="0.35"/>
    <row r="2259" hidden="1" x14ac:dyDescent="0.35"/>
    <row r="2260" hidden="1" x14ac:dyDescent="0.35"/>
    <row r="2261" hidden="1" x14ac:dyDescent="0.35"/>
    <row r="2262" hidden="1" x14ac:dyDescent="0.35"/>
    <row r="2263" hidden="1" x14ac:dyDescent="0.35"/>
    <row r="2264" hidden="1" x14ac:dyDescent="0.35"/>
    <row r="2265" hidden="1" x14ac:dyDescent="0.35"/>
    <row r="2266" hidden="1" x14ac:dyDescent="0.35"/>
    <row r="2267" hidden="1" x14ac:dyDescent="0.35"/>
    <row r="2268" hidden="1" x14ac:dyDescent="0.35"/>
    <row r="2269" hidden="1" x14ac:dyDescent="0.35"/>
    <row r="2270" hidden="1" x14ac:dyDescent="0.35"/>
    <row r="2271" hidden="1" x14ac:dyDescent="0.35"/>
    <row r="2272" hidden="1" x14ac:dyDescent="0.35"/>
    <row r="2273" hidden="1" x14ac:dyDescent="0.35"/>
    <row r="2274" hidden="1" x14ac:dyDescent="0.35"/>
    <row r="2275" hidden="1" x14ac:dyDescent="0.35"/>
    <row r="2276" hidden="1" x14ac:dyDescent="0.35"/>
    <row r="2277" hidden="1" x14ac:dyDescent="0.35"/>
    <row r="2278" hidden="1" x14ac:dyDescent="0.35"/>
    <row r="2279" hidden="1" x14ac:dyDescent="0.35"/>
    <row r="2280" hidden="1" x14ac:dyDescent="0.35"/>
    <row r="2281" hidden="1" x14ac:dyDescent="0.35"/>
    <row r="2282" hidden="1" x14ac:dyDescent="0.35"/>
    <row r="2283" hidden="1" x14ac:dyDescent="0.35"/>
    <row r="2284" hidden="1" x14ac:dyDescent="0.35"/>
    <row r="2285" hidden="1" x14ac:dyDescent="0.35"/>
    <row r="2286" hidden="1" x14ac:dyDescent="0.35"/>
    <row r="2287" hidden="1" x14ac:dyDescent="0.35"/>
    <row r="2288" hidden="1" x14ac:dyDescent="0.35"/>
    <row r="2289" hidden="1" x14ac:dyDescent="0.35"/>
    <row r="2290" hidden="1" x14ac:dyDescent="0.35"/>
    <row r="2291" hidden="1" x14ac:dyDescent="0.35"/>
    <row r="2292" hidden="1" x14ac:dyDescent="0.35"/>
    <row r="2293" hidden="1" x14ac:dyDescent="0.35"/>
    <row r="2294" hidden="1" x14ac:dyDescent="0.35"/>
    <row r="2295" hidden="1" x14ac:dyDescent="0.35"/>
    <row r="2296" hidden="1" x14ac:dyDescent="0.35"/>
    <row r="2297" hidden="1" x14ac:dyDescent="0.35"/>
    <row r="2298" hidden="1" x14ac:dyDescent="0.35"/>
    <row r="2299" hidden="1" x14ac:dyDescent="0.35"/>
    <row r="2300" hidden="1" x14ac:dyDescent="0.35"/>
    <row r="2301" hidden="1" x14ac:dyDescent="0.35"/>
    <row r="2302" hidden="1" x14ac:dyDescent="0.35"/>
    <row r="2303" hidden="1" x14ac:dyDescent="0.35"/>
    <row r="2304" hidden="1" x14ac:dyDescent="0.35"/>
    <row r="2305" hidden="1" x14ac:dyDescent="0.35"/>
    <row r="2306" hidden="1" x14ac:dyDescent="0.35"/>
    <row r="2307" hidden="1" x14ac:dyDescent="0.35"/>
    <row r="2308" hidden="1" x14ac:dyDescent="0.35"/>
    <row r="2309" hidden="1" x14ac:dyDescent="0.35"/>
    <row r="2310" hidden="1" x14ac:dyDescent="0.35"/>
    <row r="2311" hidden="1" x14ac:dyDescent="0.35"/>
    <row r="2312" hidden="1" x14ac:dyDescent="0.35"/>
    <row r="2313" hidden="1" x14ac:dyDescent="0.35"/>
    <row r="2314" hidden="1" x14ac:dyDescent="0.35"/>
    <row r="2315" hidden="1" x14ac:dyDescent="0.35"/>
    <row r="2316" hidden="1" x14ac:dyDescent="0.35"/>
    <row r="2317" hidden="1" x14ac:dyDescent="0.35"/>
    <row r="2318" hidden="1" x14ac:dyDescent="0.35"/>
    <row r="2319" hidden="1" x14ac:dyDescent="0.35"/>
    <row r="2320" hidden="1" x14ac:dyDescent="0.35"/>
    <row r="2321" hidden="1" x14ac:dyDescent="0.35"/>
    <row r="2322" hidden="1" x14ac:dyDescent="0.35"/>
    <row r="2323" hidden="1" x14ac:dyDescent="0.35"/>
    <row r="2324" hidden="1" x14ac:dyDescent="0.35"/>
    <row r="2325" hidden="1" x14ac:dyDescent="0.35"/>
    <row r="2326" hidden="1" x14ac:dyDescent="0.35"/>
    <row r="2327" hidden="1" x14ac:dyDescent="0.35"/>
    <row r="2328" hidden="1" x14ac:dyDescent="0.35"/>
    <row r="2329" hidden="1" x14ac:dyDescent="0.35"/>
    <row r="2330" hidden="1" x14ac:dyDescent="0.35"/>
    <row r="2331" hidden="1" x14ac:dyDescent="0.35"/>
    <row r="2332" hidden="1" x14ac:dyDescent="0.35"/>
    <row r="2333" hidden="1" x14ac:dyDescent="0.35"/>
    <row r="2334" hidden="1" x14ac:dyDescent="0.35"/>
    <row r="2335" hidden="1" x14ac:dyDescent="0.35"/>
    <row r="2336" hidden="1" x14ac:dyDescent="0.35"/>
    <row r="2337" hidden="1" x14ac:dyDescent="0.35"/>
    <row r="2338" hidden="1" x14ac:dyDescent="0.35"/>
    <row r="2339" hidden="1" x14ac:dyDescent="0.35"/>
    <row r="2340" hidden="1" x14ac:dyDescent="0.35"/>
    <row r="2341" hidden="1" x14ac:dyDescent="0.35"/>
    <row r="2342" hidden="1" x14ac:dyDescent="0.35"/>
    <row r="2343" hidden="1" x14ac:dyDescent="0.35"/>
    <row r="2344" hidden="1" x14ac:dyDescent="0.35"/>
    <row r="2345" hidden="1" x14ac:dyDescent="0.35"/>
    <row r="2346" hidden="1" x14ac:dyDescent="0.35"/>
    <row r="2347" hidden="1" x14ac:dyDescent="0.35"/>
    <row r="2348" hidden="1" x14ac:dyDescent="0.35"/>
    <row r="2349" hidden="1" x14ac:dyDescent="0.35"/>
    <row r="2350" hidden="1" x14ac:dyDescent="0.35"/>
    <row r="2351" hidden="1" x14ac:dyDescent="0.35"/>
    <row r="2352" hidden="1" x14ac:dyDescent="0.35"/>
    <row r="2353" hidden="1" x14ac:dyDescent="0.35"/>
    <row r="2354" hidden="1" x14ac:dyDescent="0.35"/>
    <row r="2355" hidden="1" x14ac:dyDescent="0.35"/>
    <row r="2356" hidden="1" x14ac:dyDescent="0.35"/>
    <row r="2357" hidden="1" x14ac:dyDescent="0.35"/>
    <row r="2358" hidden="1" x14ac:dyDescent="0.35"/>
    <row r="2359" hidden="1" x14ac:dyDescent="0.35"/>
    <row r="2360" hidden="1" x14ac:dyDescent="0.35"/>
    <row r="2361" hidden="1" x14ac:dyDescent="0.35"/>
    <row r="2362" hidden="1" x14ac:dyDescent="0.35"/>
    <row r="2363" hidden="1" x14ac:dyDescent="0.35"/>
    <row r="2364" hidden="1" x14ac:dyDescent="0.35"/>
    <row r="2365" hidden="1" x14ac:dyDescent="0.35"/>
    <row r="2366" hidden="1" x14ac:dyDescent="0.35"/>
    <row r="2367" hidden="1" x14ac:dyDescent="0.35"/>
    <row r="2368" hidden="1" x14ac:dyDescent="0.35"/>
    <row r="2369" hidden="1" x14ac:dyDescent="0.35"/>
    <row r="2370" hidden="1" x14ac:dyDescent="0.35"/>
    <row r="2371" hidden="1" x14ac:dyDescent="0.35"/>
    <row r="2372" hidden="1" x14ac:dyDescent="0.35"/>
    <row r="2373" hidden="1" x14ac:dyDescent="0.35"/>
    <row r="2374" hidden="1" x14ac:dyDescent="0.35"/>
    <row r="2375" hidden="1" x14ac:dyDescent="0.35"/>
    <row r="2376" hidden="1" x14ac:dyDescent="0.35"/>
    <row r="2377" hidden="1" x14ac:dyDescent="0.35"/>
    <row r="2378" hidden="1" x14ac:dyDescent="0.35"/>
    <row r="2379" hidden="1" x14ac:dyDescent="0.35"/>
    <row r="2380" hidden="1" x14ac:dyDescent="0.35"/>
    <row r="2381" hidden="1" x14ac:dyDescent="0.35"/>
    <row r="2382" hidden="1" x14ac:dyDescent="0.35"/>
    <row r="2383" hidden="1" x14ac:dyDescent="0.35"/>
    <row r="2384" hidden="1" x14ac:dyDescent="0.35"/>
    <row r="2385" hidden="1" x14ac:dyDescent="0.35"/>
    <row r="2386" hidden="1" x14ac:dyDescent="0.35"/>
    <row r="2387" hidden="1" x14ac:dyDescent="0.35"/>
    <row r="2388" hidden="1" x14ac:dyDescent="0.35"/>
    <row r="2389" hidden="1" x14ac:dyDescent="0.35"/>
    <row r="2390" hidden="1" x14ac:dyDescent="0.35"/>
    <row r="2391" hidden="1" x14ac:dyDescent="0.35"/>
    <row r="2392" hidden="1" x14ac:dyDescent="0.35"/>
    <row r="2393" hidden="1" x14ac:dyDescent="0.35"/>
    <row r="2394" hidden="1" x14ac:dyDescent="0.35"/>
    <row r="2395" hidden="1" x14ac:dyDescent="0.35"/>
    <row r="2396" hidden="1" x14ac:dyDescent="0.35"/>
    <row r="2397" hidden="1" x14ac:dyDescent="0.35"/>
    <row r="2398" hidden="1" x14ac:dyDescent="0.35"/>
    <row r="2399" hidden="1" x14ac:dyDescent="0.35"/>
    <row r="2400" hidden="1" x14ac:dyDescent="0.35"/>
    <row r="2401" hidden="1" x14ac:dyDescent="0.35"/>
    <row r="2402" hidden="1" x14ac:dyDescent="0.35"/>
    <row r="2403" hidden="1" x14ac:dyDescent="0.35"/>
    <row r="2404" hidden="1" x14ac:dyDescent="0.35"/>
    <row r="2405" hidden="1" x14ac:dyDescent="0.35"/>
    <row r="2406" hidden="1" x14ac:dyDescent="0.35"/>
    <row r="2407" hidden="1" x14ac:dyDescent="0.35"/>
    <row r="2408" hidden="1" x14ac:dyDescent="0.35"/>
    <row r="2409" hidden="1" x14ac:dyDescent="0.35"/>
    <row r="2410" hidden="1" x14ac:dyDescent="0.35"/>
    <row r="2411" hidden="1" x14ac:dyDescent="0.35"/>
    <row r="2412" hidden="1" x14ac:dyDescent="0.35"/>
    <row r="2413" hidden="1" x14ac:dyDescent="0.35"/>
    <row r="2414" hidden="1" x14ac:dyDescent="0.35"/>
    <row r="2415" hidden="1" x14ac:dyDescent="0.35"/>
    <row r="2416" hidden="1" x14ac:dyDescent="0.35"/>
    <row r="2417" hidden="1" x14ac:dyDescent="0.35"/>
    <row r="2418" hidden="1" x14ac:dyDescent="0.35"/>
    <row r="2419" hidden="1" x14ac:dyDescent="0.35"/>
    <row r="2420" hidden="1" x14ac:dyDescent="0.35"/>
    <row r="2421" hidden="1" x14ac:dyDescent="0.35"/>
    <row r="2422" hidden="1" x14ac:dyDescent="0.35"/>
    <row r="2423" hidden="1" x14ac:dyDescent="0.35"/>
    <row r="2424" hidden="1" x14ac:dyDescent="0.35"/>
    <row r="2425" hidden="1" x14ac:dyDescent="0.35"/>
    <row r="2426" hidden="1" x14ac:dyDescent="0.35"/>
    <row r="2427" hidden="1" x14ac:dyDescent="0.35"/>
    <row r="2428" hidden="1" x14ac:dyDescent="0.35"/>
    <row r="2429" hidden="1" x14ac:dyDescent="0.35"/>
    <row r="2430" hidden="1" x14ac:dyDescent="0.35"/>
    <row r="2431" hidden="1" x14ac:dyDescent="0.35"/>
    <row r="2432" hidden="1" x14ac:dyDescent="0.35"/>
    <row r="2433" hidden="1" x14ac:dyDescent="0.35"/>
    <row r="2434" hidden="1" x14ac:dyDescent="0.35"/>
    <row r="2435" hidden="1" x14ac:dyDescent="0.35"/>
    <row r="2436" hidden="1" x14ac:dyDescent="0.35"/>
    <row r="2437" hidden="1" x14ac:dyDescent="0.35"/>
    <row r="2438" hidden="1" x14ac:dyDescent="0.35"/>
    <row r="2439" hidden="1" x14ac:dyDescent="0.35"/>
    <row r="2440" hidden="1" x14ac:dyDescent="0.35"/>
    <row r="2441" hidden="1" x14ac:dyDescent="0.35"/>
    <row r="2442" hidden="1" x14ac:dyDescent="0.35"/>
    <row r="2443" hidden="1" x14ac:dyDescent="0.35"/>
    <row r="2444" hidden="1" x14ac:dyDescent="0.35"/>
    <row r="2445" hidden="1" x14ac:dyDescent="0.35"/>
    <row r="2446" hidden="1" x14ac:dyDescent="0.35"/>
    <row r="2447" hidden="1" x14ac:dyDescent="0.35"/>
    <row r="2448" hidden="1" x14ac:dyDescent="0.35"/>
    <row r="2449" hidden="1" x14ac:dyDescent="0.35"/>
    <row r="2450" hidden="1" x14ac:dyDescent="0.35"/>
    <row r="2451" hidden="1" x14ac:dyDescent="0.35"/>
    <row r="2452" hidden="1" x14ac:dyDescent="0.35"/>
    <row r="2453" hidden="1" x14ac:dyDescent="0.35"/>
    <row r="2454" hidden="1" x14ac:dyDescent="0.35"/>
    <row r="2455" hidden="1" x14ac:dyDescent="0.35"/>
    <row r="2456" hidden="1" x14ac:dyDescent="0.35"/>
    <row r="2457" hidden="1" x14ac:dyDescent="0.35"/>
    <row r="2458" hidden="1" x14ac:dyDescent="0.35"/>
    <row r="2459" hidden="1" x14ac:dyDescent="0.35"/>
    <row r="2460" hidden="1" x14ac:dyDescent="0.35"/>
    <row r="2461" hidden="1" x14ac:dyDescent="0.35"/>
    <row r="2462" hidden="1" x14ac:dyDescent="0.35"/>
    <row r="2463" hidden="1" x14ac:dyDescent="0.35"/>
    <row r="2464" hidden="1" x14ac:dyDescent="0.35"/>
    <row r="2465" hidden="1" x14ac:dyDescent="0.35"/>
    <row r="2466" hidden="1" x14ac:dyDescent="0.35"/>
    <row r="2467" hidden="1" x14ac:dyDescent="0.35"/>
    <row r="2468" hidden="1" x14ac:dyDescent="0.35"/>
    <row r="2469" hidden="1" x14ac:dyDescent="0.35"/>
    <row r="2470" hidden="1" x14ac:dyDescent="0.35"/>
    <row r="2471" hidden="1" x14ac:dyDescent="0.35"/>
    <row r="2472" hidden="1" x14ac:dyDescent="0.35"/>
    <row r="2473" hidden="1" x14ac:dyDescent="0.35"/>
    <row r="2474" hidden="1" x14ac:dyDescent="0.35"/>
    <row r="2475" hidden="1" x14ac:dyDescent="0.35"/>
    <row r="2476" hidden="1" x14ac:dyDescent="0.35"/>
    <row r="2477" hidden="1" x14ac:dyDescent="0.35"/>
    <row r="2478" hidden="1" x14ac:dyDescent="0.35"/>
    <row r="2479" hidden="1" x14ac:dyDescent="0.35"/>
    <row r="2480" hidden="1" x14ac:dyDescent="0.35"/>
    <row r="2481" hidden="1" x14ac:dyDescent="0.35"/>
    <row r="2482" hidden="1" x14ac:dyDescent="0.35"/>
    <row r="2483" hidden="1" x14ac:dyDescent="0.35"/>
    <row r="2484" hidden="1" x14ac:dyDescent="0.35"/>
    <row r="2485" hidden="1" x14ac:dyDescent="0.35"/>
    <row r="2486" hidden="1" x14ac:dyDescent="0.35"/>
    <row r="2487" hidden="1" x14ac:dyDescent="0.35"/>
    <row r="2488" hidden="1" x14ac:dyDescent="0.35"/>
    <row r="2489" hidden="1" x14ac:dyDescent="0.35"/>
    <row r="2490" hidden="1" x14ac:dyDescent="0.35"/>
    <row r="2491" hidden="1" x14ac:dyDescent="0.35"/>
    <row r="2492" hidden="1" x14ac:dyDescent="0.35"/>
    <row r="2493" hidden="1" x14ac:dyDescent="0.35"/>
    <row r="2494" hidden="1" x14ac:dyDescent="0.35"/>
    <row r="2495" hidden="1" x14ac:dyDescent="0.35"/>
    <row r="2496" hidden="1" x14ac:dyDescent="0.35"/>
    <row r="2497" hidden="1" x14ac:dyDescent="0.35"/>
    <row r="2498" hidden="1" x14ac:dyDescent="0.35"/>
    <row r="2499" hidden="1" x14ac:dyDescent="0.35"/>
    <row r="2500" hidden="1" x14ac:dyDescent="0.35"/>
    <row r="2501" hidden="1" x14ac:dyDescent="0.35"/>
    <row r="2502" hidden="1" x14ac:dyDescent="0.35"/>
    <row r="2503" hidden="1" x14ac:dyDescent="0.35"/>
    <row r="2504" hidden="1" x14ac:dyDescent="0.35"/>
    <row r="2505" hidden="1" x14ac:dyDescent="0.35"/>
    <row r="2506" hidden="1" x14ac:dyDescent="0.35"/>
    <row r="2507" hidden="1" x14ac:dyDescent="0.35"/>
    <row r="2508" hidden="1" x14ac:dyDescent="0.35"/>
    <row r="2509" hidden="1" x14ac:dyDescent="0.35"/>
    <row r="2510" hidden="1" x14ac:dyDescent="0.35"/>
    <row r="2511" hidden="1" x14ac:dyDescent="0.35"/>
    <row r="2512" hidden="1" x14ac:dyDescent="0.35"/>
    <row r="2513" hidden="1" x14ac:dyDescent="0.35"/>
    <row r="2514" hidden="1" x14ac:dyDescent="0.35"/>
    <row r="2515" hidden="1" x14ac:dyDescent="0.35"/>
    <row r="2516" hidden="1" x14ac:dyDescent="0.35"/>
    <row r="2517" hidden="1" x14ac:dyDescent="0.35"/>
    <row r="2518" hidden="1" x14ac:dyDescent="0.35"/>
    <row r="2519" hidden="1" x14ac:dyDescent="0.35"/>
    <row r="2520" hidden="1" x14ac:dyDescent="0.35"/>
    <row r="2521" hidden="1" x14ac:dyDescent="0.35"/>
    <row r="2522" hidden="1" x14ac:dyDescent="0.35"/>
    <row r="2523" hidden="1" x14ac:dyDescent="0.35"/>
    <row r="2524" hidden="1" x14ac:dyDescent="0.35"/>
    <row r="2525" hidden="1" x14ac:dyDescent="0.35"/>
    <row r="2526" hidden="1" x14ac:dyDescent="0.35"/>
    <row r="2527" hidden="1" x14ac:dyDescent="0.35"/>
    <row r="2528" hidden="1" x14ac:dyDescent="0.35"/>
    <row r="2529" hidden="1" x14ac:dyDescent="0.35"/>
    <row r="2530" hidden="1" x14ac:dyDescent="0.35"/>
    <row r="2531" hidden="1" x14ac:dyDescent="0.35"/>
    <row r="2532" hidden="1" x14ac:dyDescent="0.35"/>
    <row r="2533" hidden="1" x14ac:dyDescent="0.35"/>
    <row r="2534" hidden="1" x14ac:dyDescent="0.35"/>
    <row r="2535" hidden="1" x14ac:dyDescent="0.35"/>
    <row r="2536" hidden="1" x14ac:dyDescent="0.35"/>
    <row r="2537" hidden="1" x14ac:dyDescent="0.35"/>
    <row r="2538" hidden="1" x14ac:dyDescent="0.35"/>
    <row r="2539" hidden="1" x14ac:dyDescent="0.35"/>
    <row r="2540" hidden="1" x14ac:dyDescent="0.35"/>
    <row r="2541" hidden="1" x14ac:dyDescent="0.35"/>
    <row r="2542" hidden="1" x14ac:dyDescent="0.35"/>
    <row r="2543" hidden="1" x14ac:dyDescent="0.35"/>
    <row r="2544" hidden="1" x14ac:dyDescent="0.35"/>
    <row r="2545" hidden="1" x14ac:dyDescent="0.35"/>
    <row r="2546" hidden="1" x14ac:dyDescent="0.35"/>
    <row r="2547" hidden="1" x14ac:dyDescent="0.35"/>
    <row r="2548" hidden="1" x14ac:dyDescent="0.35"/>
    <row r="2549" hidden="1" x14ac:dyDescent="0.35"/>
    <row r="2550" hidden="1" x14ac:dyDescent="0.35"/>
    <row r="2551" hidden="1" x14ac:dyDescent="0.35"/>
    <row r="2552" hidden="1" x14ac:dyDescent="0.35"/>
    <row r="2553" hidden="1" x14ac:dyDescent="0.35"/>
    <row r="2554" hidden="1" x14ac:dyDescent="0.35"/>
    <row r="2555" hidden="1" x14ac:dyDescent="0.35"/>
    <row r="2556" hidden="1" x14ac:dyDescent="0.35"/>
    <row r="2557" hidden="1" x14ac:dyDescent="0.35"/>
    <row r="2558" hidden="1" x14ac:dyDescent="0.35"/>
    <row r="2559" hidden="1" x14ac:dyDescent="0.35"/>
    <row r="2560" hidden="1" x14ac:dyDescent="0.35"/>
    <row r="2561" hidden="1" x14ac:dyDescent="0.35"/>
    <row r="2562" hidden="1" x14ac:dyDescent="0.35"/>
    <row r="2563" hidden="1" x14ac:dyDescent="0.35"/>
    <row r="2564" hidden="1" x14ac:dyDescent="0.35"/>
    <row r="2565" hidden="1" x14ac:dyDescent="0.35"/>
    <row r="2566" hidden="1" x14ac:dyDescent="0.35"/>
    <row r="2567" hidden="1" x14ac:dyDescent="0.35"/>
    <row r="2568" hidden="1" x14ac:dyDescent="0.35"/>
    <row r="2569" hidden="1" x14ac:dyDescent="0.35"/>
    <row r="2570" hidden="1" x14ac:dyDescent="0.35"/>
    <row r="2571" hidden="1" x14ac:dyDescent="0.35"/>
    <row r="2572" hidden="1" x14ac:dyDescent="0.35"/>
    <row r="2573" hidden="1" x14ac:dyDescent="0.35"/>
    <row r="2574" hidden="1" x14ac:dyDescent="0.35"/>
    <row r="2575" hidden="1" x14ac:dyDescent="0.35"/>
    <row r="2576" hidden="1" x14ac:dyDescent="0.35"/>
    <row r="2577" hidden="1" x14ac:dyDescent="0.35"/>
    <row r="2578" hidden="1" x14ac:dyDescent="0.35"/>
    <row r="2579" hidden="1" x14ac:dyDescent="0.35"/>
    <row r="2580" hidden="1" x14ac:dyDescent="0.35"/>
    <row r="2581" hidden="1" x14ac:dyDescent="0.35"/>
    <row r="2582" hidden="1" x14ac:dyDescent="0.35"/>
    <row r="2583" hidden="1" x14ac:dyDescent="0.35"/>
    <row r="2584" hidden="1" x14ac:dyDescent="0.35"/>
    <row r="2585" hidden="1" x14ac:dyDescent="0.35"/>
    <row r="2586" hidden="1" x14ac:dyDescent="0.35"/>
    <row r="2587" hidden="1" x14ac:dyDescent="0.35"/>
    <row r="2588" hidden="1" x14ac:dyDescent="0.35"/>
    <row r="2589" hidden="1" x14ac:dyDescent="0.35"/>
    <row r="2590" hidden="1" x14ac:dyDescent="0.35"/>
    <row r="2591" hidden="1" x14ac:dyDescent="0.35"/>
    <row r="2592" hidden="1" x14ac:dyDescent="0.35"/>
    <row r="2593" hidden="1" x14ac:dyDescent="0.35"/>
    <row r="2594" hidden="1" x14ac:dyDescent="0.35"/>
    <row r="2595" hidden="1" x14ac:dyDescent="0.35"/>
    <row r="2596" hidden="1" x14ac:dyDescent="0.35"/>
    <row r="2597" hidden="1" x14ac:dyDescent="0.35"/>
    <row r="2598" hidden="1" x14ac:dyDescent="0.35"/>
    <row r="2599" hidden="1" x14ac:dyDescent="0.35"/>
    <row r="2600" hidden="1" x14ac:dyDescent="0.35"/>
    <row r="2601" hidden="1" x14ac:dyDescent="0.35"/>
    <row r="2602" hidden="1" x14ac:dyDescent="0.35"/>
    <row r="2603" hidden="1" x14ac:dyDescent="0.35"/>
    <row r="2604" hidden="1" x14ac:dyDescent="0.35"/>
    <row r="2605" hidden="1" x14ac:dyDescent="0.35"/>
    <row r="2606" hidden="1" x14ac:dyDescent="0.35"/>
    <row r="2607" hidden="1" x14ac:dyDescent="0.35"/>
    <row r="2608" hidden="1" x14ac:dyDescent="0.35"/>
    <row r="2609" hidden="1" x14ac:dyDescent="0.35"/>
    <row r="2610" hidden="1" x14ac:dyDescent="0.35"/>
    <row r="2611" hidden="1" x14ac:dyDescent="0.35"/>
    <row r="2612" hidden="1" x14ac:dyDescent="0.35"/>
    <row r="2613" hidden="1" x14ac:dyDescent="0.35"/>
    <row r="2614" hidden="1" x14ac:dyDescent="0.35"/>
    <row r="2615" hidden="1" x14ac:dyDescent="0.35"/>
    <row r="2616" hidden="1" x14ac:dyDescent="0.35"/>
    <row r="2617" hidden="1" x14ac:dyDescent="0.35"/>
    <row r="2618" hidden="1" x14ac:dyDescent="0.35"/>
    <row r="2619" hidden="1" x14ac:dyDescent="0.35"/>
    <row r="2620" hidden="1" x14ac:dyDescent="0.35"/>
    <row r="2621" hidden="1" x14ac:dyDescent="0.35"/>
    <row r="2622" hidden="1" x14ac:dyDescent="0.35"/>
    <row r="2623" hidden="1" x14ac:dyDescent="0.35"/>
    <row r="2624" hidden="1" x14ac:dyDescent="0.35"/>
    <row r="2625" hidden="1" x14ac:dyDescent="0.35"/>
    <row r="2626" hidden="1" x14ac:dyDescent="0.35"/>
    <row r="2627" hidden="1" x14ac:dyDescent="0.35"/>
    <row r="2628" hidden="1" x14ac:dyDescent="0.35"/>
    <row r="2629" hidden="1" x14ac:dyDescent="0.35"/>
    <row r="2630" hidden="1" x14ac:dyDescent="0.35"/>
    <row r="2631" hidden="1" x14ac:dyDescent="0.35"/>
    <row r="2632" hidden="1" x14ac:dyDescent="0.35"/>
    <row r="2633" hidden="1" x14ac:dyDescent="0.35"/>
    <row r="2634" hidden="1" x14ac:dyDescent="0.35"/>
    <row r="2635" hidden="1" x14ac:dyDescent="0.35"/>
    <row r="2636" hidden="1" x14ac:dyDescent="0.35"/>
    <row r="2637" hidden="1" x14ac:dyDescent="0.35"/>
    <row r="2638" hidden="1" x14ac:dyDescent="0.35"/>
    <row r="2639" hidden="1" x14ac:dyDescent="0.35"/>
    <row r="2640" hidden="1" x14ac:dyDescent="0.35"/>
    <row r="2641" hidden="1" x14ac:dyDescent="0.35"/>
    <row r="2642" hidden="1" x14ac:dyDescent="0.35"/>
    <row r="2643" hidden="1" x14ac:dyDescent="0.35"/>
    <row r="2644" hidden="1" x14ac:dyDescent="0.35"/>
    <row r="2645" hidden="1" x14ac:dyDescent="0.35"/>
    <row r="2646" hidden="1" x14ac:dyDescent="0.35"/>
    <row r="2647" hidden="1" x14ac:dyDescent="0.35"/>
    <row r="2648" hidden="1" x14ac:dyDescent="0.35"/>
    <row r="2649" hidden="1" x14ac:dyDescent="0.35"/>
    <row r="2650" hidden="1" x14ac:dyDescent="0.35"/>
    <row r="2651" hidden="1" x14ac:dyDescent="0.35"/>
    <row r="2652" hidden="1" x14ac:dyDescent="0.35"/>
    <row r="2653" hidden="1" x14ac:dyDescent="0.35"/>
    <row r="2654" hidden="1" x14ac:dyDescent="0.35"/>
    <row r="2655" hidden="1" x14ac:dyDescent="0.35"/>
    <row r="2656" hidden="1" x14ac:dyDescent="0.35"/>
    <row r="2657" hidden="1" x14ac:dyDescent="0.35"/>
    <row r="2658" hidden="1" x14ac:dyDescent="0.35"/>
    <row r="2659" hidden="1" x14ac:dyDescent="0.35"/>
    <row r="2660" hidden="1" x14ac:dyDescent="0.35"/>
    <row r="2661" hidden="1" x14ac:dyDescent="0.35"/>
    <row r="2662" hidden="1" x14ac:dyDescent="0.35"/>
    <row r="2663" hidden="1" x14ac:dyDescent="0.35"/>
    <row r="2664" hidden="1" x14ac:dyDescent="0.35"/>
    <row r="2665" hidden="1" x14ac:dyDescent="0.35"/>
    <row r="2666" hidden="1" x14ac:dyDescent="0.35"/>
    <row r="2667" hidden="1" x14ac:dyDescent="0.35"/>
    <row r="2668" hidden="1" x14ac:dyDescent="0.35"/>
    <row r="2669" hidden="1" x14ac:dyDescent="0.35"/>
    <row r="2670" hidden="1" x14ac:dyDescent="0.35"/>
    <row r="2671" hidden="1" x14ac:dyDescent="0.35"/>
    <row r="2672" hidden="1" x14ac:dyDescent="0.35"/>
    <row r="2673" hidden="1" x14ac:dyDescent="0.35"/>
    <row r="2674" hidden="1" x14ac:dyDescent="0.35"/>
    <row r="2675" hidden="1" x14ac:dyDescent="0.35"/>
    <row r="2676" hidden="1" x14ac:dyDescent="0.35"/>
    <row r="2677" hidden="1" x14ac:dyDescent="0.35"/>
    <row r="2678" hidden="1" x14ac:dyDescent="0.35"/>
    <row r="2679" hidden="1" x14ac:dyDescent="0.35"/>
    <row r="2680" hidden="1" x14ac:dyDescent="0.35"/>
    <row r="2681" hidden="1" x14ac:dyDescent="0.35"/>
    <row r="2682" hidden="1" x14ac:dyDescent="0.35"/>
    <row r="2683" hidden="1" x14ac:dyDescent="0.35"/>
    <row r="2684" hidden="1" x14ac:dyDescent="0.35"/>
    <row r="2685" hidden="1" x14ac:dyDescent="0.35"/>
    <row r="2686" hidden="1" x14ac:dyDescent="0.35"/>
    <row r="2687" hidden="1" x14ac:dyDescent="0.35"/>
    <row r="2688" hidden="1" x14ac:dyDescent="0.35"/>
    <row r="2689" hidden="1" x14ac:dyDescent="0.35"/>
    <row r="2690" hidden="1" x14ac:dyDescent="0.35"/>
    <row r="2691" hidden="1" x14ac:dyDescent="0.35"/>
    <row r="2692" hidden="1" x14ac:dyDescent="0.35"/>
    <row r="2693" hidden="1" x14ac:dyDescent="0.35"/>
    <row r="2694" hidden="1" x14ac:dyDescent="0.35"/>
    <row r="2695" hidden="1" x14ac:dyDescent="0.35"/>
    <row r="2696" hidden="1" x14ac:dyDescent="0.35"/>
    <row r="2697" hidden="1" x14ac:dyDescent="0.35"/>
    <row r="2698" hidden="1" x14ac:dyDescent="0.35"/>
    <row r="2699" hidden="1" x14ac:dyDescent="0.35"/>
    <row r="2700" hidden="1" x14ac:dyDescent="0.35"/>
    <row r="2701" hidden="1" x14ac:dyDescent="0.35"/>
    <row r="2702" hidden="1" x14ac:dyDescent="0.35"/>
    <row r="2703" hidden="1" x14ac:dyDescent="0.35"/>
    <row r="2704" hidden="1" x14ac:dyDescent="0.35"/>
    <row r="2705" hidden="1" x14ac:dyDescent="0.35"/>
    <row r="2706" hidden="1" x14ac:dyDescent="0.35"/>
    <row r="2707" hidden="1" x14ac:dyDescent="0.35"/>
    <row r="2708" hidden="1" x14ac:dyDescent="0.35"/>
    <row r="2709" hidden="1" x14ac:dyDescent="0.35"/>
    <row r="2710" hidden="1" x14ac:dyDescent="0.35"/>
    <row r="2711" hidden="1" x14ac:dyDescent="0.35"/>
    <row r="2712" hidden="1" x14ac:dyDescent="0.35"/>
    <row r="2713" hidden="1" x14ac:dyDescent="0.35"/>
    <row r="2714" hidden="1" x14ac:dyDescent="0.35"/>
    <row r="2715" hidden="1" x14ac:dyDescent="0.35"/>
    <row r="2716" hidden="1" x14ac:dyDescent="0.35"/>
    <row r="2717" hidden="1" x14ac:dyDescent="0.35"/>
    <row r="2718" hidden="1" x14ac:dyDescent="0.35"/>
    <row r="2719" hidden="1" x14ac:dyDescent="0.35"/>
    <row r="2720" hidden="1" x14ac:dyDescent="0.35"/>
    <row r="2721" hidden="1" x14ac:dyDescent="0.35"/>
    <row r="2722" hidden="1" x14ac:dyDescent="0.35"/>
    <row r="2723" hidden="1" x14ac:dyDescent="0.35"/>
    <row r="2724" hidden="1" x14ac:dyDescent="0.35"/>
    <row r="2725" hidden="1" x14ac:dyDescent="0.35"/>
    <row r="2726" hidden="1" x14ac:dyDescent="0.35"/>
    <row r="2727" hidden="1" x14ac:dyDescent="0.35"/>
    <row r="2728" hidden="1" x14ac:dyDescent="0.35"/>
    <row r="2729" hidden="1" x14ac:dyDescent="0.35"/>
    <row r="2730" hidden="1" x14ac:dyDescent="0.35"/>
    <row r="2731" hidden="1" x14ac:dyDescent="0.35"/>
    <row r="2732" hidden="1" x14ac:dyDescent="0.35"/>
    <row r="2733" hidden="1" x14ac:dyDescent="0.35"/>
    <row r="2734" hidden="1" x14ac:dyDescent="0.35"/>
    <row r="2735" hidden="1" x14ac:dyDescent="0.35"/>
    <row r="2736" hidden="1" x14ac:dyDescent="0.35"/>
    <row r="2737" hidden="1" x14ac:dyDescent="0.35"/>
    <row r="2738" hidden="1" x14ac:dyDescent="0.35"/>
    <row r="2739" hidden="1" x14ac:dyDescent="0.35"/>
    <row r="2740" hidden="1" x14ac:dyDescent="0.35"/>
    <row r="2741" hidden="1" x14ac:dyDescent="0.35"/>
    <row r="2742" hidden="1" x14ac:dyDescent="0.35"/>
    <row r="2743" hidden="1" x14ac:dyDescent="0.35"/>
    <row r="2744" hidden="1" x14ac:dyDescent="0.35"/>
    <row r="2745" hidden="1" x14ac:dyDescent="0.35"/>
    <row r="2746" hidden="1" x14ac:dyDescent="0.35"/>
    <row r="2747" hidden="1" x14ac:dyDescent="0.35"/>
    <row r="2748" hidden="1" x14ac:dyDescent="0.3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D18B2-1218-441D-B6A8-2E20CE8EF591}">
  <dimension ref="A1:J2502"/>
  <sheetViews>
    <sheetView tabSelected="1" workbookViewId="0">
      <selection activeCell="E12" sqref="E12"/>
    </sheetView>
  </sheetViews>
  <sheetFormatPr defaultRowHeight="14.5" x14ac:dyDescent="0.35"/>
  <cols>
    <col min="1" max="1" width="8.54296875" style="3" bestFit="1" customWidth="1"/>
    <col min="2" max="2" width="41.81640625" style="3" bestFit="1" customWidth="1"/>
    <col min="3" max="3" width="12.54296875" style="3" customWidth="1"/>
    <col min="4" max="4" width="22.453125" style="4" bestFit="1" customWidth="1"/>
    <col min="5" max="5" width="23.453125" style="3" customWidth="1"/>
    <col min="6" max="6" width="13" style="3" customWidth="1"/>
    <col min="7" max="7" width="10.54296875" style="3" customWidth="1"/>
    <col min="8" max="8" width="12" style="4" bestFit="1" customWidth="1"/>
    <col min="9" max="9" width="27.7265625" style="4" customWidth="1"/>
    <col min="10" max="10" width="13.81640625" style="3" bestFit="1" customWidth="1"/>
  </cols>
  <sheetData>
    <row r="1" spans="1:10" x14ac:dyDescent="0.35">
      <c r="A1" s="5" t="s">
        <v>1020</v>
      </c>
      <c r="B1" s="6" t="s">
        <v>1021</v>
      </c>
      <c r="C1" s="6"/>
      <c r="D1" s="7" t="s">
        <v>1022</v>
      </c>
      <c r="E1" s="6" t="s">
        <v>1023</v>
      </c>
      <c r="F1" s="6" t="s">
        <v>1024</v>
      </c>
      <c r="G1" s="6" t="s">
        <v>1025</v>
      </c>
      <c r="H1" s="7" t="s">
        <v>1026</v>
      </c>
      <c r="I1" s="7" t="s">
        <v>1027</v>
      </c>
      <c r="J1" s="6" t="s">
        <v>1028</v>
      </c>
    </row>
    <row r="2" spans="1:10" x14ac:dyDescent="0.35">
      <c r="A2" s="8"/>
      <c r="B2" s="9" t="s">
        <v>1029</v>
      </c>
      <c r="C2" s="9"/>
      <c r="D2" s="10" t="s">
        <v>30</v>
      </c>
      <c r="E2" s="11" t="s">
        <v>104</v>
      </c>
      <c r="F2" s="9" t="s">
        <v>1030</v>
      </c>
      <c r="G2" s="9" t="str">
        <f t="shared" ref="G2:G65" si="0">_xlfn.IFNA(VLOOKUP(B2,O:P,2,FALSE),"TBA")</f>
        <v>TBA</v>
      </c>
      <c r="H2" s="10" t="s">
        <v>1031</v>
      </c>
      <c r="I2" s="10" t="s">
        <v>30</v>
      </c>
      <c r="J2" s="12" t="s">
        <v>1032</v>
      </c>
    </row>
    <row r="3" spans="1:10" x14ac:dyDescent="0.35">
      <c r="A3" s="8"/>
      <c r="B3" s="9" t="s">
        <v>87</v>
      </c>
      <c r="C3" s="9"/>
      <c r="D3" s="10" t="s">
        <v>1033</v>
      </c>
      <c r="E3" s="10" t="s">
        <v>1034</v>
      </c>
      <c r="F3" s="9" t="s">
        <v>1030</v>
      </c>
      <c r="G3" s="9" t="str">
        <f t="shared" si="0"/>
        <v>TBA</v>
      </c>
      <c r="H3" s="10" t="s">
        <v>1031</v>
      </c>
      <c r="I3" s="10" t="s">
        <v>39</v>
      </c>
      <c r="J3" s="12" t="s">
        <v>1032</v>
      </c>
    </row>
    <row r="4" spans="1:10" x14ac:dyDescent="0.35">
      <c r="A4" s="8"/>
      <c r="B4" s="9" t="s">
        <v>1035</v>
      </c>
      <c r="C4" s="9"/>
      <c r="D4" s="10" t="s">
        <v>1036</v>
      </c>
      <c r="E4" s="11" t="s">
        <v>104</v>
      </c>
      <c r="F4" s="9" t="s">
        <v>1030</v>
      </c>
      <c r="G4" s="9" t="str">
        <f t="shared" si="0"/>
        <v>TBA</v>
      </c>
      <c r="H4" s="10" t="s">
        <v>1031</v>
      </c>
      <c r="I4" s="10" t="s">
        <v>30</v>
      </c>
      <c r="J4" s="12" t="s">
        <v>1032</v>
      </c>
    </row>
    <row r="5" spans="1:10" x14ac:dyDescent="0.35">
      <c r="A5" s="8"/>
      <c r="B5" s="9" t="s">
        <v>467</v>
      </c>
      <c r="C5" s="9"/>
      <c r="D5" s="10" t="s">
        <v>1033</v>
      </c>
      <c r="E5" s="10" t="s">
        <v>1034</v>
      </c>
      <c r="F5" s="9" t="s">
        <v>1030</v>
      </c>
      <c r="G5" s="9" t="str">
        <f t="shared" si="0"/>
        <v>TBA</v>
      </c>
      <c r="H5" s="10" t="s">
        <v>1031</v>
      </c>
      <c r="I5" s="10" t="s">
        <v>39</v>
      </c>
      <c r="J5" s="12" t="s">
        <v>1032</v>
      </c>
    </row>
    <row r="6" spans="1:10" x14ac:dyDescent="0.35">
      <c r="A6" s="8"/>
      <c r="B6" s="9" t="s">
        <v>323</v>
      </c>
      <c r="C6" s="9"/>
      <c r="D6" s="10" t="s">
        <v>1037</v>
      </c>
      <c r="E6" s="10" t="s">
        <v>1034</v>
      </c>
      <c r="F6" s="9" t="s">
        <v>1030</v>
      </c>
      <c r="G6" s="9" t="str">
        <f t="shared" si="0"/>
        <v>TBA</v>
      </c>
      <c r="H6" s="10" t="s">
        <v>1031</v>
      </c>
      <c r="I6" s="10" t="s">
        <v>39</v>
      </c>
      <c r="J6" s="12" t="s">
        <v>1032</v>
      </c>
    </row>
    <row r="7" spans="1:10" x14ac:dyDescent="0.35">
      <c r="A7" s="8"/>
      <c r="B7" s="10" t="s">
        <v>95</v>
      </c>
      <c r="C7" s="10"/>
      <c r="D7" s="10" t="s">
        <v>1038</v>
      </c>
      <c r="E7" s="10" t="s">
        <v>527</v>
      </c>
      <c r="F7" s="9" t="s">
        <v>1039</v>
      </c>
      <c r="G7" s="9" t="str">
        <f t="shared" si="0"/>
        <v>TBA</v>
      </c>
      <c r="H7" s="10" t="s">
        <v>1031</v>
      </c>
      <c r="I7" s="10" t="s">
        <v>1038</v>
      </c>
      <c r="J7" s="12" t="s">
        <v>1032</v>
      </c>
    </row>
    <row r="8" spans="1:10" x14ac:dyDescent="0.35">
      <c r="A8" s="8"/>
      <c r="B8" s="9" t="s">
        <v>1040</v>
      </c>
      <c r="C8" s="9"/>
      <c r="D8" s="10" t="s">
        <v>1041</v>
      </c>
      <c r="E8" s="10" t="s">
        <v>292</v>
      </c>
      <c r="F8" s="9" t="s">
        <v>1042</v>
      </c>
      <c r="G8" s="9" t="str">
        <f t="shared" si="0"/>
        <v>TBA</v>
      </c>
      <c r="H8" s="10" t="s">
        <v>1031</v>
      </c>
      <c r="I8" s="10" t="s">
        <v>1042</v>
      </c>
      <c r="J8" s="12" t="s">
        <v>1032</v>
      </c>
    </row>
    <row r="9" spans="1:10" x14ac:dyDescent="0.35">
      <c r="A9" s="8"/>
      <c r="B9" s="9" t="s">
        <v>1043</v>
      </c>
      <c r="C9" s="9"/>
      <c r="D9" s="10" t="s">
        <v>1044</v>
      </c>
      <c r="E9" s="10"/>
      <c r="F9" s="9" t="s">
        <v>1030</v>
      </c>
      <c r="G9" s="9" t="str">
        <f t="shared" si="0"/>
        <v>TBA</v>
      </c>
      <c r="H9" s="10" t="s">
        <v>1031</v>
      </c>
      <c r="I9" s="10" t="s">
        <v>1044</v>
      </c>
      <c r="J9" s="12" t="s">
        <v>1032</v>
      </c>
    </row>
    <row r="10" spans="1:10" x14ac:dyDescent="0.35">
      <c r="A10" s="8"/>
      <c r="B10" s="9" t="s">
        <v>1045</v>
      </c>
      <c r="C10" s="9"/>
      <c r="D10" s="10" t="s">
        <v>1038</v>
      </c>
      <c r="E10" s="10" t="s">
        <v>1046</v>
      </c>
      <c r="F10" s="9" t="s">
        <v>1030</v>
      </c>
      <c r="G10" s="9" t="str">
        <f t="shared" si="0"/>
        <v>TBA</v>
      </c>
      <c r="H10" s="10" t="s">
        <v>1031</v>
      </c>
      <c r="I10" s="10" t="s">
        <v>1038</v>
      </c>
      <c r="J10" s="12" t="s">
        <v>1032</v>
      </c>
    </row>
    <row r="11" spans="1:10" x14ac:dyDescent="0.35">
      <c r="A11" s="8"/>
      <c r="B11" s="9" t="s">
        <v>1047</v>
      </c>
      <c r="C11" s="9"/>
      <c r="D11" s="10" t="s">
        <v>1038</v>
      </c>
      <c r="E11" s="11"/>
      <c r="F11" s="9" t="s">
        <v>1039</v>
      </c>
      <c r="G11" s="9" t="str">
        <f t="shared" si="0"/>
        <v>TBA</v>
      </c>
      <c r="H11" s="10" t="s">
        <v>1031</v>
      </c>
      <c r="I11" s="10" t="s">
        <v>1038</v>
      </c>
      <c r="J11" s="12" t="s">
        <v>1032</v>
      </c>
    </row>
    <row r="12" spans="1:10" x14ac:dyDescent="0.35">
      <c r="A12" s="8"/>
      <c r="B12" s="9" t="s">
        <v>383</v>
      </c>
      <c r="C12" s="9"/>
      <c r="D12" s="10" t="s">
        <v>293</v>
      </c>
      <c r="E12" s="11"/>
      <c r="F12" s="9" t="s">
        <v>1039</v>
      </c>
      <c r="G12" s="9" t="str">
        <f t="shared" si="0"/>
        <v>TBA</v>
      </c>
      <c r="H12" s="10" t="s">
        <v>1031</v>
      </c>
      <c r="I12" s="10" t="s">
        <v>1044</v>
      </c>
      <c r="J12" s="12" t="s">
        <v>1032</v>
      </c>
    </row>
    <row r="13" spans="1:10" x14ac:dyDescent="0.35">
      <c r="A13" s="8"/>
      <c r="B13" s="9" t="s">
        <v>1048</v>
      </c>
      <c r="C13" s="9"/>
      <c r="D13" s="10" t="s">
        <v>860</v>
      </c>
      <c r="E13" s="9" t="s">
        <v>104</v>
      </c>
      <c r="F13" s="9" t="s">
        <v>1030</v>
      </c>
      <c r="G13" s="9" t="str">
        <f t="shared" si="0"/>
        <v>TBA</v>
      </c>
      <c r="H13" s="10" t="s">
        <v>1031</v>
      </c>
      <c r="I13" s="10" t="s">
        <v>30</v>
      </c>
      <c r="J13" s="12" t="s">
        <v>1032</v>
      </c>
    </row>
    <row r="14" spans="1:10" x14ac:dyDescent="0.35">
      <c r="A14" s="8"/>
      <c r="B14" s="10" t="s">
        <v>135</v>
      </c>
      <c r="C14" s="10"/>
      <c r="D14" s="10" t="s">
        <v>1049</v>
      </c>
      <c r="E14" s="10"/>
      <c r="F14" s="9" t="s">
        <v>1042</v>
      </c>
      <c r="G14" s="9" t="str">
        <f t="shared" si="0"/>
        <v>TBA</v>
      </c>
      <c r="H14" s="10" t="s">
        <v>1031</v>
      </c>
      <c r="I14" s="10" t="s">
        <v>1042</v>
      </c>
      <c r="J14" s="12" t="s">
        <v>1032</v>
      </c>
    </row>
    <row r="15" spans="1:10" x14ac:dyDescent="0.35">
      <c r="A15" s="8"/>
      <c r="B15" s="10" t="s">
        <v>1050</v>
      </c>
      <c r="C15" s="10"/>
      <c r="D15" s="10" t="s">
        <v>1041</v>
      </c>
      <c r="E15" s="9" t="s">
        <v>1051</v>
      </c>
      <c r="F15" s="9" t="s">
        <v>1042</v>
      </c>
      <c r="G15" s="9" t="str">
        <f t="shared" si="0"/>
        <v>TBA</v>
      </c>
      <c r="H15" s="10" t="s">
        <v>1031</v>
      </c>
      <c r="I15" s="10" t="s">
        <v>1042</v>
      </c>
      <c r="J15" s="12" t="s">
        <v>1032</v>
      </c>
    </row>
    <row r="16" spans="1:10" x14ac:dyDescent="0.35">
      <c r="A16" s="8"/>
      <c r="B16" s="9" t="s">
        <v>1052</v>
      </c>
      <c r="C16" s="9"/>
      <c r="D16" s="10" t="s">
        <v>1033</v>
      </c>
      <c r="E16" s="10" t="s">
        <v>1034</v>
      </c>
      <c r="F16" s="9" t="s">
        <v>1030</v>
      </c>
      <c r="G16" s="9" t="str">
        <f t="shared" si="0"/>
        <v>TBA</v>
      </c>
      <c r="H16" s="10" t="s">
        <v>1031</v>
      </c>
      <c r="I16" s="10" t="s">
        <v>39</v>
      </c>
      <c r="J16" s="12" t="s">
        <v>1032</v>
      </c>
    </row>
    <row r="17" spans="1:10" x14ac:dyDescent="0.35">
      <c r="A17" s="8"/>
      <c r="B17" s="9" t="s">
        <v>543</v>
      </c>
      <c r="C17" s="9"/>
      <c r="D17" s="10" t="s">
        <v>1049</v>
      </c>
      <c r="E17" s="10" t="s">
        <v>292</v>
      </c>
      <c r="F17" s="9" t="s">
        <v>1042</v>
      </c>
      <c r="G17" s="9" t="str">
        <f t="shared" si="0"/>
        <v>TBA</v>
      </c>
      <c r="H17" s="10" t="s">
        <v>1031</v>
      </c>
      <c r="I17" s="10" t="s">
        <v>1042</v>
      </c>
      <c r="J17" s="12" t="s">
        <v>1032</v>
      </c>
    </row>
    <row r="18" spans="1:10" x14ac:dyDescent="0.35">
      <c r="A18" s="8"/>
      <c r="B18" s="9" t="s">
        <v>568</v>
      </c>
      <c r="C18" s="9"/>
      <c r="D18" s="10" t="s">
        <v>1049</v>
      </c>
      <c r="E18" s="10" t="s">
        <v>292</v>
      </c>
      <c r="F18" s="9" t="s">
        <v>1042</v>
      </c>
      <c r="G18" s="9" t="str">
        <f t="shared" si="0"/>
        <v>TBA</v>
      </c>
      <c r="H18" s="10" t="s">
        <v>1031</v>
      </c>
      <c r="I18" s="10" t="s">
        <v>1042</v>
      </c>
      <c r="J18" s="12" t="s">
        <v>1053</v>
      </c>
    </row>
    <row r="19" spans="1:10" x14ac:dyDescent="0.35">
      <c r="A19" s="8"/>
      <c r="B19" s="9" t="s">
        <v>656</v>
      </c>
      <c r="C19" s="9"/>
      <c r="D19" s="10" t="s">
        <v>1037</v>
      </c>
      <c r="E19" s="10" t="s">
        <v>1054</v>
      </c>
      <c r="F19" s="9" t="s">
        <v>1030</v>
      </c>
      <c r="G19" s="9" t="str">
        <f t="shared" si="0"/>
        <v>TBA</v>
      </c>
      <c r="H19" s="10" t="s">
        <v>1031</v>
      </c>
      <c r="I19" s="10" t="s">
        <v>39</v>
      </c>
      <c r="J19" s="12" t="s">
        <v>1032</v>
      </c>
    </row>
    <row r="20" spans="1:10" x14ac:dyDescent="0.35">
      <c r="A20" s="8"/>
      <c r="B20" s="9" t="s">
        <v>1055</v>
      </c>
      <c r="C20" s="9"/>
      <c r="D20" s="10" t="s">
        <v>1036</v>
      </c>
      <c r="E20" s="11" t="s">
        <v>104</v>
      </c>
      <c r="F20" s="9" t="s">
        <v>1030</v>
      </c>
      <c r="G20" s="9" t="str">
        <f t="shared" si="0"/>
        <v>TBA</v>
      </c>
      <c r="H20" s="10" t="s">
        <v>1031</v>
      </c>
      <c r="I20" s="10" t="s">
        <v>30</v>
      </c>
      <c r="J20" s="12" t="s">
        <v>1032</v>
      </c>
    </row>
    <row r="21" spans="1:10" x14ac:dyDescent="0.35">
      <c r="A21" s="8"/>
      <c r="B21" s="9" t="s">
        <v>247</v>
      </c>
      <c r="C21" s="9"/>
      <c r="D21" s="10" t="s">
        <v>1041</v>
      </c>
      <c r="E21" s="11" t="s">
        <v>1056</v>
      </c>
      <c r="F21" s="9" t="s">
        <v>1039</v>
      </c>
      <c r="G21" s="9" t="str">
        <f t="shared" si="0"/>
        <v>TBA</v>
      </c>
      <c r="H21" s="10" t="s">
        <v>1031</v>
      </c>
      <c r="I21" s="10" t="s">
        <v>1042</v>
      </c>
      <c r="J21" s="12" t="s">
        <v>1032</v>
      </c>
    </row>
    <row r="22" spans="1:10" x14ac:dyDescent="0.35">
      <c r="A22" s="8"/>
      <c r="B22" s="9" t="s">
        <v>35</v>
      </c>
      <c r="C22" s="9"/>
      <c r="D22" s="10" t="s">
        <v>1038</v>
      </c>
      <c r="E22" s="10" t="s">
        <v>1057</v>
      </c>
      <c r="F22" s="9" t="s">
        <v>1058</v>
      </c>
      <c r="G22" s="9" t="str">
        <f t="shared" si="0"/>
        <v>TBA</v>
      </c>
      <c r="H22" s="10" t="s">
        <v>1031</v>
      </c>
      <c r="I22" s="10" t="s">
        <v>1038</v>
      </c>
      <c r="J22" s="12" t="s">
        <v>1059</v>
      </c>
    </row>
    <row r="23" spans="1:10" x14ac:dyDescent="0.35">
      <c r="A23" s="8"/>
      <c r="B23" s="9" t="s">
        <v>1060</v>
      </c>
      <c r="C23" s="9"/>
      <c r="D23" s="10" t="s">
        <v>1038</v>
      </c>
      <c r="E23" s="11" t="s">
        <v>1061</v>
      </c>
      <c r="F23" s="9" t="s">
        <v>1062</v>
      </c>
      <c r="G23" s="9" t="str">
        <f t="shared" si="0"/>
        <v>TBA</v>
      </c>
      <c r="H23" s="10" t="s">
        <v>1031</v>
      </c>
      <c r="I23" s="10" t="s">
        <v>1038</v>
      </c>
      <c r="J23" s="12" t="s">
        <v>1032</v>
      </c>
    </row>
    <row r="24" spans="1:10" x14ac:dyDescent="0.35">
      <c r="A24" s="8"/>
      <c r="B24" s="9" t="s">
        <v>1063</v>
      </c>
      <c r="C24" s="9"/>
      <c r="D24" s="10" t="s">
        <v>1064</v>
      </c>
      <c r="E24" s="11"/>
      <c r="F24" s="9" t="s">
        <v>1062</v>
      </c>
      <c r="G24" s="9" t="str">
        <f t="shared" si="0"/>
        <v>TBA</v>
      </c>
      <c r="H24" s="10" t="s">
        <v>1031</v>
      </c>
      <c r="I24" s="10" t="s">
        <v>1065</v>
      </c>
      <c r="J24" s="12" t="s">
        <v>1032</v>
      </c>
    </row>
    <row r="25" spans="1:10" x14ac:dyDescent="0.35">
      <c r="A25" s="8"/>
      <c r="B25" s="9" t="s">
        <v>1066</v>
      </c>
      <c r="C25" s="9"/>
      <c r="D25" s="10" t="s">
        <v>1038</v>
      </c>
      <c r="E25" s="11" t="s">
        <v>527</v>
      </c>
      <c r="F25" s="9" t="s">
        <v>1030</v>
      </c>
      <c r="G25" s="9" t="str">
        <f t="shared" si="0"/>
        <v>TBA</v>
      </c>
      <c r="H25" s="10" t="s">
        <v>1031</v>
      </c>
      <c r="I25" s="10" t="s">
        <v>1038</v>
      </c>
      <c r="J25" s="12" t="s">
        <v>1032</v>
      </c>
    </row>
    <row r="26" spans="1:10" x14ac:dyDescent="0.35">
      <c r="A26" s="8"/>
      <c r="B26" s="9" t="s">
        <v>1067</v>
      </c>
      <c r="C26" s="9"/>
      <c r="D26" s="10" t="s">
        <v>1068</v>
      </c>
      <c r="E26" s="9" t="s">
        <v>1051</v>
      </c>
      <c r="F26" s="9" t="s">
        <v>1042</v>
      </c>
      <c r="G26" s="9" t="str">
        <f t="shared" si="0"/>
        <v>TBA</v>
      </c>
      <c r="H26" s="10" t="s">
        <v>1031</v>
      </c>
      <c r="I26" s="10" t="s">
        <v>1042</v>
      </c>
      <c r="J26" s="12" t="s">
        <v>1032</v>
      </c>
    </row>
    <row r="27" spans="1:10" x14ac:dyDescent="0.35">
      <c r="A27" s="8"/>
      <c r="B27" s="9" t="s">
        <v>40</v>
      </c>
      <c r="C27" s="9"/>
      <c r="D27" s="10" t="s">
        <v>1069</v>
      </c>
      <c r="E27" s="9" t="s">
        <v>1034</v>
      </c>
      <c r="F27" s="9" t="s">
        <v>1030</v>
      </c>
      <c r="G27" s="9" t="str">
        <f t="shared" si="0"/>
        <v>TBA</v>
      </c>
      <c r="H27" s="10" t="s">
        <v>1031</v>
      </c>
      <c r="I27" s="10" t="s">
        <v>39</v>
      </c>
      <c r="J27" s="12" t="s">
        <v>1053</v>
      </c>
    </row>
    <row r="28" spans="1:10" x14ac:dyDescent="0.35">
      <c r="A28" s="8"/>
      <c r="B28" s="9" t="s">
        <v>1070</v>
      </c>
      <c r="C28" s="9"/>
      <c r="D28" s="10" t="s">
        <v>1071</v>
      </c>
      <c r="E28" s="9" t="s">
        <v>503</v>
      </c>
      <c r="F28" s="9" t="s">
        <v>1030</v>
      </c>
      <c r="G28" s="9" t="str">
        <f t="shared" si="0"/>
        <v>TBA</v>
      </c>
      <c r="H28" s="10" t="s">
        <v>1031</v>
      </c>
      <c r="I28" s="10" t="s">
        <v>30</v>
      </c>
      <c r="J28" s="12" t="s">
        <v>1059</v>
      </c>
    </row>
    <row r="29" spans="1:10" x14ac:dyDescent="0.35">
      <c r="A29" s="8"/>
      <c r="B29" s="9" t="s">
        <v>445</v>
      </c>
      <c r="C29" s="9"/>
      <c r="D29" s="10" t="s">
        <v>1033</v>
      </c>
      <c r="E29" s="10" t="s">
        <v>1034</v>
      </c>
      <c r="F29" s="9" t="s">
        <v>1030</v>
      </c>
      <c r="G29" s="9" t="str">
        <f t="shared" si="0"/>
        <v>TBA</v>
      </c>
      <c r="H29" s="10" t="s">
        <v>1031</v>
      </c>
      <c r="I29" s="10" t="s">
        <v>39</v>
      </c>
      <c r="J29" s="12" t="s">
        <v>1032</v>
      </c>
    </row>
    <row r="30" spans="1:10" x14ac:dyDescent="0.35">
      <c r="A30" s="8"/>
      <c r="B30" s="9" t="s">
        <v>1072</v>
      </c>
      <c r="C30" s="9"/>
      <c r="D30" s="10" t="s">
        <v>1038</v>
      </c>
      <c r="E30" s="10" t="s">
        <v>292</v>
      </c>
      <c r="F30" s="9" t="s">
        <v>1039</v>
      </c>
      <c r="G30" s="9" t="str">
        <f t="shared" si="0"/>
        <v>TBA</v>
      </c>
      <c r="H30" s="10" t="s">
        <v>1031</v>
      </c>
      <c r="I30" s="10" t="s">
        <v>1038</v>
      </c>
      <c r="J30" s="12" t="s">
        <v>1032</v>
      </c>
    </row>
    <row r="31" spans="1:10" x14ac:dyDescent="0.35">
      <c r="A31" s="8"/>
      <c r="B31" s="9" t="s">
        <v>402</v>
      </c>
      <c r="C31" s="9"/>
      <c r="D31" s="10" t="s">
        <v>1037</v>
      </c>
      <c r="E31" s="10" t="s">
        <v>1034</v>
      </c>
      <c r="F31" s="9" t="s">
        <v>1030</v>
      </c>
      <c r="G31" s="9" t="str">
        <f t="shared" si="0"/>
        <v>TBA</v>
      </c>
      <c r="H31" s="10" t="s">
        <v>1031</v>
      </c>
      <c r="I31" s="10" t="s">
        <v>39</v>
      </c>
      <c r="J31" s="12" t="s">
        <v>1032</v>
      </c>
    </row>
    <row r="32" spans="1:10" x14ac:dyDescent="0.35">
      <c r="A32" s="8"/>
      <c r="B32" s="9" t="s">
        <v>1073</v>
      </c>
      <c r="C32" s="9"/>
      <c r="D32" s="10" t="s">
        <v>1038</v>
      </c>
      <c r="E32" s="10"/>
      <c r="F32" s="9" t="s">
        <v>1030</v>
      </c>
      <c r="G32" s="9" t="str">
        <f t="shared" si="0"/>
        <v>TBA</v>
      </c>
      <c r="H32" s="10" t="s">
        <v>1031</v>
      </c>
      <c r="I32" s="10" t="s">
        <v>1038</v>
      </c>
      <c r="J32" s="12" t="s">
        <v>1032</v>
      </c>
    </row>
    <row r="33" spans="1:10" x14ac:dyDescent="0.35">
      <c r="A33" s="8"/>
      <c r="B33" s="9" t="s">
        <v>1074</v>
      </c>
      <c r="C33" s="9"/>
      <c r="D33" s="10" t="s">
        <v>1038</v>
      </c>
      <c r="E33" s="10" t="s">
        <v>292</v>
      </c>
      <c r="F33" s="9" t="s">
        <v>1039</v>
      </c>
      <c r="G33" s="9" t="str">
        <f t="shared" si="0"/>
        <v>TBA</v>
      </c>
      <c r="H33" s="10" t="s">
        <v>1031</v>
      </c>
      <c r="I33" s="10" t="s">
        <v>1038</v>
      </c>
      <c r="J33" s="12" t="s">
        <v>1032</v>
      </c>
    </row>
    <row r="34" spans="1:10" x14ac:dyDescent="0.35">
      <c r="A34" s="8"/>
      <c r="B34" s="9" t="s">
        <v>233</v>
      </c>
      <c r="C34" s="9"/>
      <c r="D34" s="10" t="s">
        <v>1068</v>
      </c>
      <c r="E34" s="9" t="s">
        <v>503</v>
      </c>
      <c r="F34" s="9" t="s">
        <v>1042</v>
      </c>
      <c r="G34" s="9" t="str">
        <f t="shared" si="0"/>
        <v>TBA</v>
      </c>
      <c r="H34" s="10" t="s">
        <v>1031</v>
      </c>
      <c r="I34" s="10" t="s">
        <v>1042</v>
      </c>
      <c r="J34" s="12" t="s">
        <v>1032</v>
      </c>
    </row>
    <row r="35" spans="1:10" ht="16.5" x14ac:dyDescent="0.35">
      <c r="A35" s="8"/>
      <c r="B35" s="13" t="s">
        <v>1075</v>
      </c>
      <c r="C35" s="13"/>
      <c r="D35" s="10" t="s">
        <v>1068</v>
      </c>
      <c r="E35" s="9" t="s">
        <v>503</v>
      </c>
      <c r="F35" s="9" t="s">
        <v>1042</v>
      </c>
      <c r="G35" s="9" t="str">
        <f t="shared" si="0"/>
        <v>TBA</v>
      </c>
      <c r="H35" s="10" t="s">
        <v>1031</v>
      </c>
      <c r="I35" s="10" t="s">
        <v>1042</v>
      </c>
      <c r="J35" s="12" t="s">
        <v>1032</v>
      </c>
    </row>
    <row r="36" spans="1:10" x14ac:dyDescent="0.35">
      <c r="A36" s="8"/>
      <c r="B36" s="9" t="s">
        <v>485</v>
      </c>
      <c r="C36" s="9"/>
      <c r="D36" s="10" t="s">
        <v>1036</v>
      </c>
      <c r="E36" s="11" t="s">
        <v>104</v>
      </c>
      <c r="F36" s="9" t="s">
        <v>1030</v>
      </c>
      <c r="G36" s="9" t="str">
        <f t="shared" si="0"/>
        <v>TBA</v>
      </c>
      <c r="H36" s="10" t="s">
        <v>1031</v>
      </c>
      <c r="I36" s="10" t="s">
        <v>30</v>
      </c>
      <c r="J36" s="12" t="s">
        <v>1032</v>
      </c>
    </row>
    <row r="37" spans="1:10" x14ac:dyDescent="0.35">
      <c r="A37" s="8"/>
      <c r="B37" s="9" t="s">
        <v>1076</v>
      </c>
      <c r="C37" s="9"/>
      <c r="D37" s="10" t="s">
        <v>1038</v>
      </c>
      <c r="E37" s="10" t="s">
        <v>1077</v>
      </c>
      <c r="F37" s="9" t="s">
        <v>1062</v>
      </c>
      <c r="G37" s="9" t="str">
        <f t="shared" si="0"/>
        <v>TBA</v>
      </c>
      <c r="H37" s="10" t="s">
        <v>1031</v>
      </c>
      <c r="I37" s="10" t="s">
        <v>1038</v>
      </c>
      <c r="J37" s="12" t="s">
        <v>1032</v>
      </c>
    </row>
    <row r="38" spans="1:10" x14ac:dyDescent="0.35">
      <c r="A38" s="8"/>
      <c r="B38" s="9" t="s">
        <v>1078</v>
      </c>
      <c r="C38" s="9"/>
      <c r="D38" s="10" t="s">
        <v>1038</v>
      </c>
      <c r="E38" s="11"/>
      <c r="F38" s="9" t="s">
        <v>1079</v>
      </c>
      <c r="G38" s="9" t="str">
        <f t="shared" si="0"/>
        <v>TBA</v>
      </c>
      <c r="H38" s="10" t="s">
        <v>1031</v>
      </c>
      <c r="I38" s="10" t="s">
        <v>65</v>
      </c>
      <c r="J38" s="12" t="s">
        <v>1032</v>
      </c>
    </row>
    <row r="39" spans="1:10" x14ac:dyDescent="0.35">
      <c r="A39" s="8"/>
      <c r="B39" s="10" t="s">
        <v>257</v>
      </c>
      <c r="C39" s="10"/>
      <c r="D39" s="10" t="s">
        <v>1049</v>
      </c>
      <c r="E39" s="10" t="s">
        <v>292</v>
      </c>
      <c r="F39" s="9" t="s">
        <v>1042</v>
      </c>
      <c r="G39" s="9" t="str">
        <f t="shared" si="0"/>
        <v>TBA</v>
      </c>
      <c r="H39" s="10" t="s">
        <v>1031</v>
      </c>
      <c r="I39" s="10" t="s">
        <v>1042</v>
      </c>
      <c r="J39" s="12" t="s">
        <v>1032</v>
      </c>
    </row>
    <row r="40" spans="1:10" x14ac:dyDescent="0.35">
      <c r="A40" s="8"/>
      <c r="B40" s="9" t="s">
        <v>1080</v>
      </c>
      <c r="C40" s="9"/>
      <c r="D40" s="10" t="s">
        <v>1049</v>
      </c>
      <c r="E40" s="10" t="s">
        <v>292</v>
      </c>
      <c r="F40" s="9" t="s">
        <v>1058</v>
      </c>
      <c r="G40" s="9" t="str">
        <f t="shared" si="0"/>
        <v>TBA</v>
      </c>
      <c r="H40" s="10" t="s">
        <v>1031</v>
      </c>
      <c r="I40" s="10" t="s">
        <v>1042</v>
      </c>
      <c r="J40" s="12" t="s">
        <v>1032</v>
      </c>
    </row>
    <row r="41" spans="1:10" x14ac:dyDescent="0.35">
      <c r="A41" s="8"/>
      <c r="B41" s="10" t="s">
        <v>541</v>
      </c>
      <c r="C41" s="10"/>
      <c r="D41" s="10" t="s">
        <v>30</v>
      </c>
      <c r="E41" s="10"/>
      <c r="F41" s="9" t="s">
        <v>1030</v>
      </c>
      <c r="G41" s="9" t="str">
        <f t="shared" si="0"/>
        <v>TBA</v>
      </c>
      <c r="H41" s="10" t="s">
        <v>1031</v>
      </c>
      <c r="I41" s="10" t="s">
        <v>30</v>
      </c>
      <c r="J41" s="12" t="s">
        <v>1032</v>
      </c>
    </row>
    <row r="42" spans="1:10" x14ac:dyDescent="0.35">
      <c r="A42" s="8"/>
      <c r="B42" s="9" t="s">
        <v>166</v>
      </c>
      <c r="C42" s="9"/>
      <c r="D42" s="10" t="s">
        <v>1069</v>
      </c>
      <c r="E42" s="10" t="s">
        <v>1034</v>
      </c>
      <c r="F42" s="9" t="s">
        <v>1030</v>
      </c>
      <c r="G42" s="9" t="str">
        <f t="shared" si="0"/>
        <v>TBA</v>
      </c>
      <c r="H42" s="10" t="s">
        <v>1031</v>
      </c>
      <c r="I42" s="10" t="s">
        <v>39</v>
      </c>
      <c r="J42" s="12" t="s">
        <v>1032</v>
      </c>
    </row>
    <row r="43" spans="1:10" x14ac:dyDescent="0.35">
      <c r="A43" s="8"/>
      <c r="B43" s="9" t="s">
        <v>1081</v>
      </c>
      <c r="C43" s="9"/>
      <c r="D43" s="10" t="s">
        <v>1049</v>
      </c>
      <c r="E43" s="11" t="s">
        <v>503</v>
      </c>
      <c r="F43" s="9" t="s">
        <v>1042</v>
      </c>
      <c r="G43" s="9" t="str">
        <f t="shared" si="0"/>
        <v>TBA</v>
      </c>
      <c r="H43" s="10" t="s">
        <v>1031</v>
      </c>
      <c r="I43" s="10" t="s">
        <v>1042</v>
      </c>
      <c r="J43" s="12" t="s">
        <v>1032</v>
      </c>
    </row>
    <row r="44" spans="1:10" x14ac:dyDescent="0.35">
      <c r="A44" s="8"/>
      <c r="B44" s="9" t="s">
        <v>54</v>
      </c>
      <c r="C44" s="9"/>
      <c r="D44" s="10" t="s">
        <v>1038</v>
      </c>
      <c r="E44" s="10"/>
      <c r="F44" s="9" t="s">
        <v>1039</v>
      </c>
      <c r="G44" s="9" t="str">
        <f t="shared" si="0"/>
        <v>TBA</v>
      </c>
      <c r="H44" s="10" t="s">
        <v>1031</v>
      </c>
      <c r="I44" s="10" t="s">
        <v>1038</v>
      </c>
      <c r="J44" s="12" t="s">
        <v>1032</v>
      </c>
    </row>
    <row r="45" spans="1:10" x14ac:dyDescent="0.35">
      <c r="A45" s="8"/>
      <c r="B45" s="9" t="s">
        <v>1082</v>
      </c>
      <c r="C45" s="9"/>
      <c r="D45" s="10" t="s">
        <v>1038</v>
      </c>
      <c r="E45" s="10"/>
      <c r="F45" s="9" t="s">
        <v>1039</v>
      </c>
      <c r="G45" s="9" t="str">
        <f t="shared" si="0"/>
        <v>TBA</v>
      </c>
      <c r="H45" s="10" t="s">
        <v>1031</v>
      </c>
      <c r="I45" s="10" t="s">
        <v>1038</v>
      </c>
      <c r="J45" s="12" t="s">
        <v>1032</v>
      </c>
    </row>
    <row r="46" spans="1:10" x14ac:dyDescent="0.35">
      <c r="A46" s="8"/>
      <c r="B46" s="9" t="s">
        <v>1083</v>
      </c>
      <c r="C46" s="9"/>
      <c r="D46" s="10" t="s">
        <v>1038</v>
      </c>
      <c r="E46" s="9" t="s">
        <v>714</v>
      </c>
      <c r="F46" s="9" t="s">
        <v>1058</v>
      </c>
      <c r="G46" s="9" t="str">
        <f t="shared" si="0"/>
        <v>TBA</v>
      </c>
      <c r="H46" s="10" t="s">
        <v>1031</v>
      </c>
      <c r="I46" s="10" t="s">
        <v>1084</v>
      </c>
      <c r="J46" s="12" t="s">
        <v>1032</v>
      </c>
    </row>
    <row r="47" spans="1:10" x14ac:dyDescent="0.35">
      <c r="A47" s="8"/>
      <c r="B47" s="9" t="s">
        <v>1085</v>
      </c>
      <c r="C47" s="9"/>
      <c r="D47" s="10" t="s">
        <v>1038</v>
      </c>
      <c r="E47" s="10"/>
      <c r="F47" s="9" t="s">
        <v>1039</v>
      </c>
      <c r="G47" s="9" t="str">
        <f t="shared" si="0"/>
        <v>TBA</v>
      </c>
      <c r="H47" s="10" t="s">
        <v>1031</v>
      </c>
      <c r="I47" s="10" t="s">
        <v>1038</v>
      </c>
      <c r="J47" s="12" t="s">
        <v>1032</v>
      </c>
    </row>
    <row r="48" spans="1:10" x14ac:dyDescent="0.35">
      <c r="A48" s="8"/>
      <c r="B48" s="9" t="s">
        <v>36</v>
      </c>
      <c r="C48" s="9"/>
      <c r="D48" s="10" t="s">
        <v>1036</v>
      </c>
      <c r="E48" s="11" t="s">
        <v>503</v>
      </c>
      <c r="F48" s="9" t="s">
        <v>1030</v>
      </c>
      <c r="G48" s="9" t="str">
        <f t="shared" si="0"/>
        <v>TBA</v>
      </c>
      <c r="H48" s="10" t="s">
        <v>1031</v>
      </c>
      <c r="I48" s="10" t="s">
        <v>30</v>
      </c>
      <c r="J48" s="12" t="s">
        <v>1032</v>
      </c>
    </row>
    <row r="49" spans="1:10" x14ac:dyDescent="0.35">
      <c r="A49" s="8"/>
      <c r="B49" s="9" t="s">
        <v>1086</v>
      </c>
      <c r="C49" s="9"/>
      <c r="D49" s="10" t="s">
        <v>1038</v>
      </c>
      <c r="E49" s="11"/>
      <c r="F49" s="9" t="s">
        <v>1062</v>
      </c>
      <c r="G49" s="9" t="str">
        <f t="shared" si="0"/>
        <v>TBA</v>
      </c>
      <c r="H49" s="10" t="s">
        <v>1031</v>
      </c>
      <c r="I49" s="10" t="s">
        <v>1038</v>
      </c>
      <c r="J49" s="12" t="s">
        <v>1032</v>
      </c>
    </row>
    <row r="50" spans="1:10" x14ac:dyDescent="0.35">
      <c r="A50" s="8"/>
      <c r="B50" s="9" t="s">
        <v>1087</v>
      </c>
      <c r="C50" s="9"/>
      <c r="D50" s="10" t="s">
        <v>1068</v>
      </c>
      <c r="E50" s="9" t="s">
        <v>1051</v>
      </c>
      <c r="F50" s="9" t="s">
        <v>1042</v>
      </c>
      <c r="G50" s="9" t="str">
        <f t="shared" si="0"/>
        <v>TBA</v>
      </c>
      <c r="H50" s="10" t="s">
        <v>1031</v>
      </c>
      <c r="I50" s="10" t="s">
        <v>1042</v>
      </c>
      <c r="J50" s="12" t="s">
        <v>1032</v>
      </c>
    </row>
    <row r="51" spans="1:10" x14ac:dyDescent="0.35">
      <c r="A51" s="8"/>
      <c r="B51" s="9" t="s">
        <v>342</v>
      </c>
      <c r="C51" s="9"/>
      <c r="D51" s="10" t="s">
        <v>1041</v>
      </c>
      <c r="E51" s="9" t="s">
        <v>1051</v>
      </c>
      <c r="F51" s="9" t="s">
        <v>1042</v>
      </c>
      <c r="G51" s="9" t="str">
        <f t="shared" si="0"/>
        <v>TBA</v>
      </c>
      <c r="H51" s="10" t="s">
        <v>1031</v>
      </c>
      <c r="I51" s="10" t="s">
        <v>1042</v>
      </c>
      <c r="J51" s="12" t="s">
        <v>1032</v>
      </c>
    </row>
    <row r="52" spans="1:10" x14ac:dyDescent="0.35">
      <c r="A52" s="8"/>
      <c r="B52" s="9" t="s">
        <v>1088</v>
      </c>
      <c r="C52" s="9"/>
      <c r="D52" s="10" t="s">
        <v>1041</v>
      </c>
      <c r="E52" s="9" t="s">
        <v>1051</v>
      </c>
      <c r="F52" s="9" t="s">
        <v>1042</v>
      </c>
      <c r="G52" s="9" t="str">
        <f t="shared" si="0"/>
        <v>TBA</v>
      </c>
      <c r="H52" s="10" t="s">
        <v>1031</v>
      </c>
      <c r="I52" s="10" t="s">
        <v>1042</v>
      </c>
      <c r="J52" s="12" t="s">
        <v>1032</v>
      </c>
    </row>
    <row r="53" spans="1:10" x14ac:dyDescent="0.35">
      <c r="A53" s="8"/>
      <c r="B53" s="10" t="s">
        <v>1089</v>
      </c>
      <c r="C53" s="10"/>
      <c r="D53" s="10" t="s">
        <v>1041</v>
      </c>
      <c r="E53" s="10" t="s">
        <v>292</v>
      </c>
      <c r="F53" s="9" t="s">
        <v>1042</v>
      </c>
      <c r="G53" s="9" t="str">
        <f t="shared" si="0"/>
        <v>TBA</v>
      </c>
      <c r="H53" s="10" t="s">
        <v>1031</v>
      </c>
      <c r="I53" s="10" t="s">
        <v>1042</v>
      </c>
      <c r="J53" s="12" t="s">
        <v>1032</v>
      </c>
    </row>
    <row r="54" spans="1:10" x14ac:dyDescent="0.35">
      <c r="A54" s="8"/>
      <c r="B54" s="9" t="s">
        <v>161</v>
      </c>
      <c r="C54" s="9"/>
      <c r="D54" s="10" t="s">
        <v>1038</v>
      </c>
      <c r="E54" s="10" t="s">
        <v>1034</v>
      </c>
      <c r="F54" s="9" t="s">
        <v>1030</v>
      </c>
      <c r="G54" s="9" t="str">
        <f t="shared" si="0"/>
        <v>TBA</v>
      </c>
      <c r="H54" s="10" t="s">
        <v>1031</v>
      </c>
      <c r="I54" s="10" t="s">
        <v>1038</v>
      </c>
      <c r="J54" s="12" t="s">
        <v>1032</v>
      </c>
    </row>
    <row r="55" spans="1:10" x14ac:dyDescent="0.35">
      <c r="A55" s="8"/>
      <c r="B55" s="9" t="s">
        <v>207</v>
      </c>
      <c r="C55" s="9"/>
      <c r="D55" s="10" t="s">
        <v>1037</v>
      </c>
      <c r="E55" s="10" t="s">
        <v>1034</v>
      </c>
      <c r="F55" s="9" t="s">
        <v>1030</v>
      </c>
      <c r="G55" s="9" t="str">
        <f t="shared" si="0"/>
        <v>TBA</v>
      </c>
      <c r="H55" s="10" t="s">
        <v>1031</v>
      </c>
      <c r="I55" s="10" t="s">
        <v>39</v>
      </c>
      <c r="J55" s="12" t="s">
        <v>1032</v>
      </c>
    </row>
    <row r="56" spans="1:10" x14ac:dyDescent="0.35">
      <c r="A56" s="8"/>
      <c r="B56" s="9" t="s">
        <v>1090</v>
      </c>
      <c r="C56" s="9"/>
      <c r="D56" s="10" t="s">
        <v>1038</v>
      </c>
      <c r="E56" s="10" t="s">
        <v>503</v>
      </c>
      <c r="F56" s="9" t="s">
        <v>1030</v>
      </c>
      <c r="G56" s="9" t="str">
        <f t="shared" si="0"/>
        <v>TBA</v>
      </c>
      <c r="H56" s="10" t="s">
        <v>1031</v>
      </c>
      <c r="I56" s="10" t="s">
        <v>1038</v>
      </c>
      <c r="J56" s="12" t="s">
        <v>1032</v>
      </c>
    </row>
    <row r="57" spans="1:10" x14ac:dyDescent="0.35">
      <c r="A57" s="8"/>
      <c r="B57" s="10" t="s">
        <v>1091</v>
      </c>
      <c r="C57" s="10"/>
      <c r="D57" s="10" t="s">
        <v>1041</v>
      </c>
      <c r="E57" s="9"/>
      <c r="F57" s="9" t="s">
        <v>1042</v>
      </c>
      <c r="G57" s="9" t="str">
        <f t="shared" si="0"/>
        <v>TBA</v>
      </c>
      <c r="H57" s="10" t="s">
        <v>1092</v>
      </c>
      <c r="I57" s="10" t="s">
        <v>1042</v>
      </c>
      <c r="J57" s="12" t="s">
        <v>1032</v>
      </c>
    </row>
    <row r="58" spans="1:10" x14ac:dyDescent="0.35">
      <c r="A58" s="8"/>
      <c r="B58" s="9" t="s">
        <v>64</v>
      </c>
      <c r="C58" s="9"/>
      <c r="D58" s="10" t="s">
        <v>1037</v>
      </c>
      <c r="E58" s="10" t="s">
        <v>1034</v>
      </c>
      <c r="F58" s="9" t="s">
        <v>1030</v>
      </c>
      <c r="G58" s="9" t="str">
        <f t="shared" si="0"/>
        <v>TBA</v>
      </c>
      <c r="H58" s="10" t="s">
        <v>1031</v>
      </c>
      <c r="I58" s="10" t="s">
        <v>39</v>
      </c>
      <c r="J58" s="12" t="s">
        <v>1032</v>
      </c>
    </row>
    <row r="59" spans="1:10" x14ac:dyDescent="0.35">
      <c r="A59" s="8"/>
      <c r="B59" s="9" t="s">
        <v>119</v>
      </c>
      <c r="C59" s="9"/>
      <c r="D59" s="10" t="s">
        <v>1068</v>
      </c>
      <c r="E59" s="11" t="s">
        <v>114</v>
      </c>
      <c r="F59" s="9" t="s">
        <v>1042</v>
      </c>
      <c r="G59" s="9" t="str">
        <f t="shared" si="0"/>
        <v>TBA</v>
      </c>
      <c r="H59" s="10" t="s">
        <v>1031</v>
      </c>
      <c r="I59" s="10" t="s">
        <v>1042</v>
      </c>
      <c r="J59" s="12" t="s">
        <v>1053</v>
      </c>
    </row>
    <row r="60" spans="1:10" x14ac:dyDescent="0.35">
      <c r="A60" s="8"/>
      <c r="B60" s="9" t="s">
        <v>115</v>
      </c>
      <c r="C60" s="9"/>
      <c r="D60" s="10" t="s">
        <v>1068</v>
      </c>
      <c r="E60" s="11" t="s">
        <v>114</v>
      </c>
      <c r="F60" s="9" t="s">
        <v>1042</v>
      </c>
      <c r="G60" s="9" t="str">
        <f t="shared" si="0"/>
        <v>TBA</v>
      </c>
      <c r="H60" s="10" t="s">
        <v>1031</v>
      </c>
      <c r="I60" s="10" t="s">
        <v>1042</v>
      </c>
      <c r="J60" s="12" t="s">
        <v>1032</v>
      </c>
    </row>
    <row r="61" spans="1:10" x14ac:dyDescent="0.35">
      <c r="A61" s="8"/>
      <c r="B61" s="9" t="s">
        <v>1093</v>
      </c>
      <c r="C61" s="9"/>
      <c r="D61" s="10" t="s">
        <v>1041</v>
      </c>
      <c r="E61" s="14" t="s">
        <v>1042</v>
      </c>
      <c r="F61" s="9" t="s">
        <v>1042</v>
      </c>
      <c r="G61" s="9" t="str">
        <f t="shared" si="0"/>
        <v>TBA</v>
      </c>
      <c r="H61" s="10" t="s">
        <v>1031</v>
      </c>
      <c r="I61" s="10" t="s">
        <v>1042</v>
      </c>
      <c r="J61" s="12" t="s">
        <v>1032</v>
      </c>
    </row>
    <row r="62" spans="1:10" x14ac:dyDescent="0.35">
      <c r="A62" s="8"/>
      <c r="B62" s="9" t="s">
        <v>1094</v>
      </c>
      <c r="C62" s="15"/>
      <c r="D62" s="10" t="s">
        <v>860</v>
      </c>
      <c r="E62" s="9" t="s">
        <v>104</v>
      </c>
      <c r="F62" s="9" t="s">
        <v>1030</v>
      </c>
      <c r="G62" s="9" t="str">
        <f t="shared" si="0"/>
        <v>TBA</v>
      </c>
      <c r="H62" s="10" t="s">
        <v>1031</v>
      </c>
      <c r="I62" s="10" t="s">
        <v>30</v>
      </c>
      <c r="J62" s="12" t="s">
        <v>1032</v>
      </c>
    </row>
    <row r="63" spans="1:10" x14ac:dyDescent="0.35">
      <c r="A63" s="8"/>
      <c r="B63" s="9" t="s">
        <v>763</v>
      </c>
      <c r="C63" s="9"/>
      <c r="D63" s="10" t="s">
        <v>1068</v>
      </c>
      <c r="E63" s="9" t="s">
        <v>503</v>
      </c>
      <c r="F63" s="9" t="s">
        <v>1042</v>
      </c>
      <c r="G63" s="9" t="str">
        <f t="shared" si="0"/>
        <v>TBA</v>
      </c>
      <c r="H63" s="10" t="s">
        <v>1031</v>
      </c>
      <c r="I63" s="10" t="s">
        <v>1042</v>
      </c>
      <c r="J63" s="12" t="s">
        <v>1059</v>
      </c>
    </row>
    <row r="64" spans="1:10" x14ac:dyDescent="0.35">
      <c r="A64" s="8"/>
      <c r="B64" s="9" t="s">
        <v>248</v>
      </c>
      <c r="C64" s="9"/>
      <c r="D64" s="10" t="s">
        <v>1036</v>
      </c>
      <c r="E64" s="11" t="s">
        <v>104</v>
      </c>
      <c r="F64" s="9" t="s">
        <v>1030</v>
      </c>
      <c r="G64" s="9" t="str">
        <f t="shared" si="0"/>
        <v>TBA</v>
      </c>
      <c r="H64" s="10" t="s">
        <v>1031</v>
      </c>
      <c r="I64" s="10" t="s">
        <v>30</v>
      </c>
      <c r="J64" s="12" t="s">
        <v>1032</v>
      </c>
    </row>
    <row r="65" spans="1:10" x14ac:dyDescent="0.35">
      <c r="A65" s="8"/>
      <c r="B65" s="9" t="s">
        <v>705</v>
      </c>
      <c r="C65" s="9"/>
      <c r="D65" s="10" t="s">
        <v>1077</v>
      </c>
      <c r="E65" s="11" t="s">
        <v>1095</v>
      </c>
      <c r="F65" s="9"/>
      <c r="G65" s="9" t="str">
        <f t="shared" si="0"/>
        <v>TBA</v>
      </c>
      <c r="H65" s="10" t="s">
        <v>1031</v>
      </c>
      <c r="I65" s="10" t="s">
        <v>1065</v>
      </c>
      <c r="J65" s="12" t="s">
        <v>1032</v>
      </c>
    </row>
    <row r="66" spans="1:10" x14ac:dyDescent="0.35">
      <c r="A66" s="8"/>
      <c r="B66" s="9" t="s">
        <v>1096</v>
      </c>
      <c r="C66" s="9"/>
      <c r="D66" s="10" t="s">
        <v>30</v>
      </c>
      <c r="E66" s="11" t="s">
        <v>104</v>
      </c>
      <c r="F66" s="9" t="s">
        <v>1030</v>
      </c>
      <c r="G66" s="9" t="str">
        <f t="shared" ref="G66:G129" si="1">_xlfn.IFNA(VLOOKUP(B66,O:P,2,FALSE),"TBA")</f>
        <v>TBA</v>
      </c>
      <c r="H66" s="10" t="s">
        <v>1031</v>
      </c>
      <c r="I66" s="10" t="s">
        <v>30</v>
      </c>
      <c r="J66" s="12" t="s">
        <v>1032</v>
      </c>
    </row>
    <row r="67" spans="1:10" x14ac:dyDescent="0.35">
      <c r="A67" s="8"/>
      <c r="B67" s="9" t="s">
        <v>1097</v>
      </c>
      <c r="C67" s="9"/>
      <c r="D67" s="10" t="s">
        <v>1036</v>
      </c>
      <c r="E67" s="10" t="s">
        <v>1042</v>
      </c>
      <c r="F67" s="9" t="s">
        <v>1030</v>
      </c>
      <c r="G67" s="9" t="str">
        <f t="shared" si="1"/>
        <v>TBA</v>
      </c>
      <c r="H67" s="10" t="s">
        <v>1031</v>
      </c>
      <c r="I67" s="10" t="s">
        <v>30</v>
      </c>
      <c r="J67" s="12" t="s">
        <v>1032</v>
      </c>
    </row>
    <row r="68" spans="1:10" x14ac:dyDescent="0.35">
      <c r="A68" s="8"/>
      <c r="B68" s="10" t="s">
        <v>1098</v>
      </c>
      <c r="C68" s="10"/>
      <c r="D68" s="10" t="s">
        <v>1064</v>
      </c>
      <c r="E68" s="10"/>
      <c r="F68" s="9" t="s">
        <v>1062</v>
      </c>
      <c r="G68" s="9" t="str">
        <f t="shared" si="1"/>
        <v>TBA</v>
      </c>
      <c r="H68" s="10" t="s">
        <v>1031</v>
      </c>
      <c r="I68" s="10" t="s">
        <v>1065</v>
      </c>
      <c r="J68" s="12" t="s">
        <v>1032</v>
      </c>
    </row>
    <row r="69" spans="1:10" x14ac:dyDescent="0.35">
      <c r="A69" s="8"/>
      <c r="B69" s="10" t="s">
        <v>1099</v>
      </c>
      <c r="C69" s="10"/>
      <c r="D69" s="10" t="s">
        <v>1064</v>
      </c>
      <c r="E69" s="10"/>
      <c r="F69" s="9" t="s">
        <v>1062</v>
      </c>
      <c r="G69" s="9" t="str">
        <f t="shared" si="1"/>
        <v>TBA</v>
      </c>
      <c r="H69" s="10" t="s">
        <v>1031</v>
      </c>
      <c r="I69" s="10" t="s">
        <v>1065</v>
      </c>
      <c r="J69" s="12" t="s">
        <v>1032</v>
      </c>
    </row>
    <row r="70" spans="1:10" x14ac:dyDescent="0.35">
      <c r="A70" s="8"/>
      <c r="B70" s="9" t="s">
        <v>108</v>
      </c>
      <c r="C70" s="9"/>
      <c r="D70" s="10" t="s">
        <v>1041</v>
      </c>
      <c r="E70" s="9"/>
      <c r="F70" s="9" t="s">
        <v>1042</v>
      </c>
      <c r="G70" s="9" t="str">
        <f t="shared" si="1"/>
        <v>TBA</v>
      </c>
      <c r="H70" s="10" t="s">
        <v>1031</v>
      </c>
      <c r="I70" s="10" t="s">
        <v>1042</v>
      </c>
      <c r="J70" s="12" t="s">
        <v>1032</v>
      </c>
    </row>
    <row r="71" spans="1:10" x14ac:dyDescent="0.35">
      <c r="A71" s="8"/>
      <c r="B71" s="9" t="s">
        <v>1100</v>
      </c>
      <c r="C71" s="9"/>
      <c r="D71" s="10" t="s">
        <v>1041</v>
      </c>
      <c r="E71" s="10"/>
      <c r="F71" s="9" t="s">
        <v>1042</v>
      </c>
      <c r="G71" s="9" t="str">
        <f t="shared" si="1"/>
        <v>TBA</v>
      </c>
      <c r="H71" s="10" t="s">
        <v>1031</v>
      </c>
      <c r="I71" s="10" t="s">
        <v>1042</v>
      </c>
      <c r="J71" s="12" t="s">
        <v>1032</v>
      </c>
    </row>
    <row r="72" spans="1:10" x14ac:dyDescent="0.35">
      <c r="A72" s="8"/>
      <c r="B72" s="9" t="s">
        <v>1101</v>
      </c>
      <c r="C72" s="9"/>
      <c r="D72" s="10" t="s">
        <v>30</v>
      </c>
      <c r="E72" s="10" t="s">
        <v>503</v>
      </c>
      <c r="F72" s="9" t="s">
        <v>1030</v>
      </c>
      <c r="G72" s="9" t="str">
        <f t="shared" si="1"/>
        <v>TBA</v>
      </c>
      <c r="H72" s="10" t="s">
        <v>1031</v>
      </c>
      <c r="I72" s="10" t="s">
        <v>30</v>
      </c>
      <c r="J72" s="12" t="s">
        <v>1059</v>
      </c>
    </row>
    <row r="73" spans="1:10" x14ac:dyDescent="0.35">
      <c r="A73" s="8"/>
      <c r="B73" s="9" t="s">
        <v>441</v>
      </c>
      <c r="C73" s="9"/>
      <c r="D73" s="10" t="s">
        <v>30</v>
      </c>
      <c r="E73" s="10" t="s">
        <v>1046</v>
      </c>
      <c r="F73" s="9" t="s">
        <v>1030</v>
      </c>
      <c r="G73" s="9" t="str">
        <f t="shared" si="1"/>
        <v>TBA</v>
      </c>
      <c r="H73" s="10" t="s">
        <v>1031</v>
      </c>
      <c r="I73" s="10" t="s">
        <v>30</v>
      </c>
      <c r="J73" s="12" t="s">
        <v>1032</v>
      </c>
    </row>
    <row r="74" spans="1:10" x14ac:dyDescent="0.35">
      <c r="A74" s="8"/>
      <c r="B74" s="9" t="s">
        <v>1102</v>
      </c>
      <c r="C74" s="9"/>
      <c r="D74" s="10" t="s">
        <v>1038</v>
      </c>
      <c r="E74" s="10" t="s">
        <v>104</v>
      </c>
      <c r="F74" s="9" t="s">
        <v>1030</v>
      </c>
      <c r="G74" s="9" t="str">
        <f t="shared" si="1"/>
        <v>TBA</v>
      </c>
      <c r="H74" s="10" t="s">
        <v>1031</v>
      </c>
      <c r="I74" s="10" t="s">
        <v>1038</v>
      </c>
      <c r="J74" s="12" t="s">
        <v>1103</v>
      </c>
    </row>
    <row r="75" spans="1:10" x14ac:dyDescent="0.35">
      <c r="A75" s="8"/>
      <c r="B75" s="9" t="s">
        <v>1104</v>
      </c>
      <c r="C75" s="9"/>
      <c r="D75" s="10" t="s">
        <v>1038</v>
      </c>
      <c r="E75" s="10" t="s">
        <v>145</v>
      </c>
      <c r="F75" s="9" t="s">
        <v>1030</v>
      </c>
      <c r="G75" s="9" t="str">
        <f t="shared" si="1"/>
        <v>TBA</v>
      </c>
      <c r="H75" s="10" t="s">
        <v>1031</v>
      </c>
      <c r="I75" s="10" t="s">
        <v>1038</v>
      </c>
      <c r="J75" s="12" t="s">
        <v>1032</v>
      </c>
    </row>
    <row r="76" spans="1:10" x14ac:dyDescent="0.35">
      <c r="A76" s="8" t="s">
        <v>1105</v>
      </c>
      <c r="B76" s="9" t="s">
        <v>855</v>
      </c>
      <c r="C76" s="9"/>
      <c r="D76" s="10" t="s">
        <v>293</v>
      </c>
      <c r="E76" s="16"/>
      <c r="F76" s="9" t="s">
        <v>1062</v>
      </c>
      <c r="G76" s="9" t="str">
        <f t="shared" si="1"/>
        <v>TBA</v>
      </c>
      <c r="H76" s="10" t="s">
        <v>1031</v>
      </c>
      <c r="I76" s="10" t="s">
        <v>1044</v>
      </c>
      <c r="J76" s="12" t="s">
        <v>1032</v>
      </c>
    </row>
    <row r="77" spans="1:10" x14ac:dyDescent="0.35">
      <c r="A77" s="8"/>
      <c r="B77" s="9" t="s">
        <v>1106</v>
      </c>
      <c r="C77" s="9"/>
      <c r="D77" s="10" t="s">
        <v>1038</v>
      </c>
      <c r="E77" s="9"/>
      <c r="F77" s="9" t="s">
        <v>1044</v>
      </c>
      <c r="G77" s="9" t="str">
        <f t="shared" si="1"/>
        <v>TBA</v>
      </c>
      <c r="H77" s="10" t="s">
        <v>1031</v>
      </c>
      <c r="I77" s="10" t="s">
        <v>1038</v>
      </c>
      <c r="J77" s="12" t="s">
        <v>1032</v>
      </c>
    </row>
    <row r="78" spans="1:10" x14ac:dyDescent="0.35">
      <c r="A78" s="8" t="s">
        <v>1105</v>
      </c>
      <c r="B78" s="9" t="s">
        <v>844</v>
      </c>
      <c r="C78" s="9"/>
      <c r="D78" s="10" t="s">
        <v>1044</v>
      </c>
      <c r="E78" s="10" t="s">
        <v>104</v>
      </c>
      <c r="F78" s="9" t="s">
        <v>1062</v>
      </c>
      <c r="G78" s="9" t="str">
        <f t="shared" si="1"/>
        <v>TBA</v>
      </c>
      <c r="H78" s="10" t="s">
        <v>1031</v>
      </c>
      <c r="I78" s="10" t="s">
        <v>1044</v>
      </c>
      <c r="J78" s="9" t="s">
        <v>1059</v>
      </c>
    </row>
    <row r="79" spans="1:10" x14ac:dyDescent="0.35">
      <c r="A79" s="8"/>
      <c r="B79" s="10" t="s">
        <v>76</v>
      </c>
      <c r="C79" s="10"/>
      <c r="D79" s="10" t="s">
        <v>89</v>
      </c>
      <c r="E79" s="11" t="s">
        <v>89</v>
      </c>
      <c r="F79" s="9" t="s">
        <v>1079</v>
      </c>
      <c r="G79" s="9" t="str">
        <f t="shared" si="1"/>
        <v>TBA</v>
      </c>
      <c r="H79" s="10" t="s">
        <v>1103</v>
      </c>
      <c r="I79" s="10" t="s">
        <v>65</v>
      </c>
      <c r="J79" s="12" t="s">
        <v>1103</v>
      </c>
    </row>
    <row r="80" spans="1:10" x14ac:dyDescent="0.35">
      <c r="A80" s="8"/>
      <c r="B80" s="10" t="s">
        <v>90</v>
      </c>
      <c r="C80" s="10"/>
      <c r="D80" s="10" t="s">
        <v>89</v>
      </c>
      <c r="E80" s="11" t="s">
        <v>89</v>
      </c>
      <c r="F80" s="9" t="s">
        <v>1079</v>
      </c>
      <c r="G80" s="9" t="str">
        <f t="shared" si="1"/>
        <v>TBA</v>
      </c>
      <c r="H80" s="10" t="s">
        <v>1103</v>
      </c>
      <c r="I80" s="10" t="s">
        <v>65</v>
      </c>
      <c r="J80" s="12" t="s">
        <v>1103</v>
      </c>
    </row>
    <row r="81" spans="1:10" x14ac:dyDescent="0.35">
      <c r="A81" s="8"/>
      <c r="B81" s="9" t="s">
        <v>1107</v>
      </c>
      <c r="C81" s="9"/>
      <c r="D81" s="10" t="s">
        <v>65</v>
      </c>
      <c r="E81" s="11" t="s">
        <v>89</v>
      </c>
      <c r="F81" s="9" t="s">
        <v>1042</v>
      </c>
      <c r="G81" s="9" t="str">
        <f t="shared" si="1"/>
        <v>TBA</v>
      </c>
      <c r="H81" s="10" t="s">
        <v>1103</v>
      </c>
      <c r="I81" s="10" t="s">
        <v>65</v>
      </c>
      <c r="J81" s="12" t="s">
        <v>1032</v>
      </c>
    </row>
    <row r="82" spans="1:10" ht="16.5" x14ac:dyDescent="0.35">
      <c r="A82" s="8"/>
      <c r="B82" s="13" t="s">
        <v>405</v>
      </c>
      <c r="C82" s="13"/>
      <c r="D82" s="10" t="s">
        <v>1038</v>
      </c>
      <c r="E82" s="10" t="s">
        <v>292</v>
      </c>
      <c r="F82" s="9" t="s">
        <v>1039</v>
      </c>
      <c r="G82" s="9" t="str">
        <f t="shared" si="1"/>
        <v>TBA</v>
      </c>
      <c r="H82" s="10" t="s">
        <v>1103</v>
      </c>
      <c r="I82" s="10" t="s">
        <v>1038</v>
      </c>
      <c r="J82" s="12" t="s">
        <v>1103</v>
      </c>
    </row>
    <row r="83" spans="1:10" x14ac:dyDescent="0.35">
      <c r="A83" s="8"/>
      <c r="B83" s="9" t="s">
        <v>1108</v>
      </c>
      <c r="C83" s="9"/>
      <c r="D83" s="10" t="s">
        <v>89</v>
      </c>
      <c r="E83" s="10" t="s">
        <v>89</v>
      </c>
      <c r="F83" s="9" t="s">
        <v>1079</v>
      </c>
      <c r="G83" s="9" t="str">
        <f t="shared" si="1"/>
        <v>TBA</v>
      </c>
      <c r="H83" s="10" t="s">
        <v>1103</v>
      </c>
      <c r="I83" s="10" t="s">
        <v>65</v>
      </c>
      <c r="J83" s="12" t="s">
        <v>1103</v>
      </c>
    </row>
    <row r="84" spans="1:10" x14ac:dyDescent="0.35">
      <c r="A84" s="8"/>
      <c r="B84" s="9" t="s">
        <v>31</v>
      </c>
      <c r="C84" s="9"/>
      <c r="D84" s="10" t="s">
        <v>1069</v>
      </c>
      <c r="E84" s="10" t="s">
        <v>1034</v>
      </c>
      <c r="F84" s="9" t="s">
        <v>1030</v>
      </c>
      <c r="G84" s="9" t="str">
        <f t="shared" si="1"/>
        <v>TBA</v>
      </c>
      <c r="H84" s="10" t="s">
        <v>1103</v>
      </c>
      <c r="I84" s="10" t="s">
        <v>39</v>
      </c>
      <c r="J84" s="12" t="s">
        <v>1053</v>
      </c>
    </row>
    <row r="85" spans="1:10" x14ac:dyDescent="0.35">
      <c r="A85" s="8"/>
      <c r="B85" s="9" t="s">
        <v>267</v>
      </c>
      <c r="C85" s="9"/>
      <c r="D85" s="10" t="s">
        <v>126</v>
      </c>
      <c r="E85" s="11"/>
      <c r="F85" s="9" t="s">
        <v>1079</v>
      </c>
      <c r="G85" s="9" t="str">
        <f t="shared" si="1"/>
        <v>TBA</v>
      </c>
      <c r="H85" s="10" t="s">
        <v>1103</v>
      </c>
      <c r="I85" s="10" t="s">
        <v>1038</v>
      </c>
      <c r="J85" s="12" t="s">
        <v>1103</v>
      </c>
    </row>
    <row r="86" spans="1:10" x14ac:dyDescent="0.35">
      <c r="A86" s="8"/>
      <c r="B86" s="9" t="s">
        <v>1109</v>
      </c>
      <c r="C86" s="9"/>
      <c r="D86" s="10" t="s">
        <v>1038</v>
      </c>
      <c r="E86" s="10" t="s">
        <v>292</v>
      </c>
      <c r="F86" s="9" t="s">
        <v>1039</v>
      </c>
      <c r="G86" s="9" t="str">
        <f t="shared" si="1"/>
        <v>TBA</v>
      </c>
      <c r="H86" s="10" t="s">
        <v>1103</v>
      </c>
      <c r="I86" s="10" t="s">
        <v>1038</v>
      </c>
      <c r="J86" s="12" t="s">
        <v>1103</v>
      </c>
    </row>
    <row r="87" spans="1:10" x14ac:dyDescent="0.35">
      <c r="A87" s="8"/>
      <c r="B87" s="9" t="s">
        <v>1110</v>
      </c>
      <c r="C87" s="9"/>
      <c r="D87" s="10" t="s">
        <v>1038</v>
      </c>
      <c r="E87" s="10" t="s">
        <v>117</v>
      </c>
      <c r="F87" s="9"/>
      <c r="G87" s="9" t="str">
        <f t="shared" si="1"/>
        <v>TBA</v>
      </c>
      <c r="H87" s="10" t="s">
        <v>1103</v>
      </c>
      <c r="I87" s="10" t="s">
        <v>1038</v>
      </c>
      <c r="J87" s="12" t="s">
        <v>1103</v>
      </c>
    </row>
    <row r="88" spans="1:10" x14ac:dyDescent="0.35">
      <c r="A88" s="8"/>
      <c r="B88" s="9" t="s">
        <v>27</v>
      </c>
      <c r="C88" s="9"/>
      <c r="D88" s="10" t="s">
        <v>1038</v>
      </c>
      <c r="E88" s="10" t="s">
        <v>117</v>
      </c>
      <c r="F88" s="9"/>
      <c r="G88" s="9" t="str">
        <f t="shared" si="1"/>
        <v>TBA</v>
      </c>
      <c r="H88" s="10" t="s">
        <v>1103</v>
      </c>
      <c r="I88" s="10" t="s">
        <v>1038</v>
      </c>
      <c r="J88" s="12" t="s">
        <v>1103</v>
      </c>
    </row>
    <row r="89" spans="1:10" x14ac:dyDescent="0.35">
      <c r="A89" s="8"/>
      <c r="B89" s="10" t="s">
        <v>17</v>
      </c>
      <c r="C89" s="10"/>
      <c r="D89" s="10" t="s">
        <v>43</v>
      </c>
      <c r="E89" s="10" t="s">
        <v>43</v>
      </c>
      <c r="F89" s="9" t="s">
        <v>1079</v>
      </c>
      <c r="G89" s="9" t="str">
        <f t="shared" si="1"/>
        <v>TBA</v>
      </c>
      <c r="H89" s="10" t="s">
        <v>1103</v>
      </c>
      <c r="I89" s="10" t="s">
        <v>65</v>
      </c>
      <c r="J89" s="12" t="s">
        <v>1103</v>
      </c>
    </row>
    <row r="90" spans="1:10" x14ac:dyDescent="0.35">
      <c r="A90" s="8"/>
      <c r="B90" s="10" t="s">
        <v>20</v>
      </c>
      <c r="C90" s="10"/>
      <c r="D90" s="10" t="s">
        <v>43</v>
      </c>
      <c r="E90" s="10" t="s">
        <v>43</v>
      </c>
      <c r="F90" s="9" t="s">
        <v>1079</v>
      </c>
      <c r="G90" s="9" t="str">
        <f t="shared" si="1"/>
        <v>TBA</v>
      </c>
      <c r="H90" s="10" t="s">
        <v>1103</v>
      </c>
      <c r="I90" s="10" t="s">
        <v>65</v>
      </c>
      <c r="J90" s="12" t="s">
        <v>1103</v>
      </c>
    </row>
    <row r="91" spans="1:10" x14ac:dyDescent="0.35">
      <c r="A91" s="8"/>
      <c r="B91" s="10" t="s">
        <v>1111</v>
      </c>
      <c r="C91" s="10"/>
      <c r="D91" s="10" t="s">
        <v>43</v>
      </c>
      <c r="E91" s="10" t="s">
        <v>43</v>
      </c>
      <c r="F91" s="9" t="s">
        <v>1079</v>
      </c>
      <c r="G91" s="9" t="str">
        <f t="shared" si="1"/>
        <v>TBA</v>
      </c>
      <c r="H91" s="10" t="s">
        <v>1103</v>
      </c>
      <c r="I91" s="10" t="s">
        <v>65</v>
      </c>
      <c r="J91" s="12" t="s">
        <v>1103</v>
      </c>
    </row>
    <row r="92" spans="1:10" x14ac:dyDescent="0.35">
      <c r="A92" s="8"/>
      <c r="B92" s="10" t="s">
        <v>46</v>
      </c>
      <c r="C92" s="10"/>
      <c r="D92" s="10" t="s">
        <v>43</v>
      </c>
      <c r="E92" s="10" t="s">
        <v>43</v>
      </c>
      <c r="F92" s="9" t="s">
        <v>1079</v>
      </c>
      <c r="G92" s="9" t="str">
        <f t="shared" si="1"/>
        <v>TBA</v>
      </c>
      <c r="H92" s="10" t="s">
        <v>1103</v>
      </c>
      <c r="I92" s="10" t="s">
        <v>65</v>
      </c>
      <c r="J92" s="12" t="s">
        <v>1103</v>
      </c>
    </row>
    <row r="93" spans="1:10" x14ac:dyDescent="0.35">
      <c r="A93" s="8"/>
      <c r="B93" s="10" t="s">
        <v>861</v>
      </c>
      <c r="C93" s="10"/>
      <c r="D93" s="10" t="s">
        <v>43</v>
      </c>
      <c r="E93" s="10" t="s">
        <v>43</v>
      </c>
      <c r="F93" s="9" t="s">
        <v>1079</v>
      </c>
      <c r="G93" s="9" t="str">
        <f t="shared" si="1"/>
        <v>TBA</v>
      </c>
      <c r="H93" s="10" t="s">
        <v>1103</v>
      </c>
      <c r="I93" s="10" t="s">
        <v>65</v>
      </c>
      <c r="J93" s="12" t="s">
        <v>1103</v>
      </c>
    </row>
    <row r="94" spans="1:10" x14ac:dyDescent="0.35">
      <c r="A94" s="8"/>
      <c r="B94" s="9" t="s">
        <v>537</v>
      </c>
      <c r="C94" s="9"/>
      <c r="D94" s="10" t="s">
        <v>65</v>
      </c>
      <c r="E94" s="10" t="s">
        <v>1112</v>
      </c>
      <c r="F94" s="9" t="s">
        <v>1079</v>
      </c>
      <c r="G94" s="9" t="str">
        <f t="shared" si="1"/>
        <v>TBA</v>
      </c>
      <c r="H94" s="10" t="s">
        <v>1103</v>
      </c>
      <c r="I94" s="10" t="s">
        <v>1113</v>
      </c>
      <c r="J94" s="12" t="s">
        <v>1103</v>
      </c>
    </row>
    <row r="95" spans="1:10" x14ac:dyDescent="0.35">
      <c r="A95" s="8"/>
      <c r="B95" s="9" t="s">
        <v>566</v>
      </c>
      <c r="C95" s="9"/>
      <c r="D95" s="10" t="s">
        <v>65</v>
      </c>
      <c r="E95" s="10" t="s">
        <v>89</v>
      </c>
      <c r="F95" s="9" t="s">
        <v>1079</v>
      </c>
      <c r="G95" s="9" t="str">
        <f t="shared" si="1"/>
        <v>TBA</v>
      </c>
      <c r="H95" s="10" t="s">
        <v>1103</v>
      </c>
      <c r="I95" s="10" t="s">
        <v>1113</v>
      </c>
      <c r="J95" s="12" t="s">
        <v>1103</v>
      </c>
    </row>
    <row r="96" spans="1:10" x14ac:dyDescent="0.35">
      <c r="A96" s="8"/>
      <c r="B96" s="9" t="s">
        <v>1114</v>
      </c>
      <c r="C96" s="9"/>
      <c r="D96" s="10" t="s">
        <v>1038</v>
      </c>
      <c r="E96" s="9" t="s">
        <v>1115</v>
      </c>
      <c r="F96" s="9" t="s">
        <v>1062</v>
      </c>
      <c r="G96" s="9" t="str">
        <f t="shared" si="1"/>
        <v>TBA</v>
      </c>
      <c r="H96" s="10" t="s">
        <v>1103</v>
      </c>
      <c r="I96" s="10" t="s">
        <v>1038</v>
      </c>
      <c r="J96" s="12" t="s">
        <v>1103</v>
      </c>
    </row>
    <row r="97" spans="1:10" x14ac:dyDescent="0.35">
      <c r="A97" s="8"/>
      <c r="B97" s="16" t="s">
        <v>1116</v>
      </c>
      <c r="C97" s="16"/>
      <c r="D97" s="10" t="s">
        <v>1049</v>
      </c>
      <c r="E97" s="11" t="s">
        <v>1117</v>
      </c>
      <c r="F97" s="9" t="s">
        <v>1042</v>
      </c>
      <c r="G97" s="9" t="str">
        <f t="shared" si="1"/>
        <v>TBA</v>
      </c>
      <c r="H97" s="10" t="s">
        <v>1103</v>
      </c>
      <c r="I97" s="10" t="s">
        <v>1042</v>
      </c>
      <c r="J97" s="12" t="s">
        <v>1103</v>
      </c>
    </row>
    <row r="98" spans="1:10" x14ac:dyDescent="0.35">
      <c r="A98" s="2"/>
      <c r="B98" s="1" t="s">
        <v>340</v>
      </c>
      <c r="C98" s="1" t="s">
        <v>340</v>
      </c>
      <c r="D98" s="10" t="s">
        <v>1049</v>
      </c>
      <c r="E98" s="11" t="s">
        <v>1117</v>
      </c>
      <c r="F98" s="9" t="s">
        <v>1042</v>
      </c>
      <c r="G98" s="9" t="str">
        <f t="shared" si="1"/>
        <v>TBA</v>
      </c>
      <c r="H98" s="10" t="s">
        <v>1103</v>
      </c>
      <c r="I98" s="10" t="s">
        <v>1042</v>
      </c>
      <c r="J98" s="12" t="s">
        <v>1103</v>
      </c>
    </row>
    <row r="99" spans="1:10" x14ac:dyDescent="0.35">
      <c r="A99" s="8"/>
      <c r="B99" s="10" t="s">
        <v>66</v>
      </c>
      <c r="C99" s="10"/>
      <c r="D99" s="10" t="s">
        <v>1038</v>
      </c>
      <c r="E99" s="11" t="s">
        <v>527</v>
      </c>
      <c r="F99" s="9" t="s">
        <v>1039</v>
      </c>
      <c r="G99" s="9" t="str">
        <f t="shared" si="1"/>
        <v>TBA</v>
      </c>
      <c r="H99" s="10" t="s">
        <v>1103</v>
      </c>
      <c r="I99" s="10" t="s">
        <v>65</v>
      </c>
      <c r="J99" s="12" t="s">
        <v>1103</v>
      </c>
    </row>
    <row r="100" spans="1:10" x14ac:dyDescent="0.35">
      <c r="A100" s="8"/>
      <c r="B100" s="9" t="s">
        <v>1118</v>
      </c>
      <c r="C100" s="9"/>
      <c r="D100" s="10" t="s">
        <v>1038</v>
      </c>
      <c r="E100" s="10"/>
      <c r="F100" s="9" t="s">
        <v>1039</v>
      </c>
      <c r="G100" s="9" t="str">
        <f t="shared" si="1"/>
        <v>TBA</v>
      </c>
      <c r="H100" s="10" t="s">
        <v>1103</v>
      </c>
      <c r="I100" s="10" t="s">
        <v>1038</v>
      </c>
      <c r="J100" s="12" t="s">
        <v>1103</v>
      </c>
    </row>
    <row r="101" spans="1:10" x14ac:dyDescent="0.35">
      <c r="A101" s="8"/>
      <c r="B101" s="9" t="s">
        <v>41</v>
      </c>
      <c r="C101" s="9"/>
      <c r="D101" s="10" t="s">
        <v>1077</v>
      </c>
      <c r="E101" s="10"/>
      <c r="F101" s="9" t="s">
        <v>1062</v>
      </c>
      <c r="G101" s="9" t="str">
        <f t="shared" si="1"/>
        <v>TBA</v>
      </c>
      <c r="H101" s="10" t="s">
        <v>1103</v>
      </c>
      <c r="I101" s="10" t="s">
        <v>1065</v>
      </c>
      <c r="J101" s="12" t="s">
        <v>1103</v>
      </c>
    </row>
    <row r="102" spans="1:10" x14ac:dyDescent="0.35">
      <c r="A102" s="8"/>
      <c r="B102" s="9" t="s">
        <v>120</v>
      </c>
      <c r="C102" s="9"/>
      <c r="D102" s="10" t="s">
        <v>1068</v>
      </c>
      <c r="E102" s="11" t="s">
        <v>114</v>
      </c>
      <c r="F102" s="9" t="s">
        <v>1042</v>
      </c>
      <c r="G102" s="9" t="str">
        <f t="shared" si="1"/>
        <v>TBA</v>
      </c>
      <c r="H102" s="10" t="s">
        <v>1103</v>
      </c>
      <c r="I102" s="10" t="s">
        <v>1042</v>
      </c>
      <c r="J102" s="12" t="s">
        <v>1103</v>
      </c>
    </row>
    <row r="103" spans="1:10" x14ac:dyDescent="0.35">
      <c r="A103" s="8"/>
      <c r="B103" s="9" t="s">
        <v>1119</v>
      </c>
      <c r="C103" s="9"/>
      <c r="D103" s="10" t="s">
        <v>1064</v>
      </c>
      <c r="E103" s="14" t="e">
        <v>#N/A</v>
      </c>
      <c r="F103" s="9" t="s">
        <v>1120</v>
      </c>
      <c r="G103" s="9" t="str">
        <f t="shared" si="1"/>
        <v>TBA</v>
      </c>
      <c r="H103" s="10" t="s">
        <v>1103</v>
      </c>
      <c r="I103" s="10" t="s">
        <v>1065</v>
      </c>
      <c r="J103" s="12" t="s">
        <v>1103</v>
      </c>
    </row>
    <row r="104" spans="1:10" x14ac:dyDescent="0.35">
      <c r="A104" s="8"/>
      <c r="B104" s="9" t="s">
        <v>1121</v>
      </c>
      <c r="C104" s="9"/>
      <c r="D104" s="10" t="s">
        <v>1038</v>
      </c>
      <c r="E104" s="14" t="s">
        <v>1034</v>
      </c>
      <c r="F104" s="9" t="s">
        <v>1030</v>
      </c>
      <c r="G104" s="9" t="str">
        <f t="shared" si="1"/>
        <v>TBA</v>
      </c>
      <c r="H104" s="10" t="s">
        <v>1103</v>
      </c>
      <c r="I104" s="10" t="s">
        <v>1038</v>
      </c>
      <c r="J104" s="12" t="s">
        <v>1103</v>
      </c>
    </row>
    <row r="105" spans="1:10" x14ac:dyDescent="0.35">
      <c r="A105" s="8"/>
      <c r="B105" s="9" t="s">
        <v>1122</v>
      </c>
      <c r="C105" s="9"/>
      <c r="D105" s="10" t="s">
        <v>1038</v>
      </c>
      <c r="E105" s="14" t="s">
        <v>577</v>
      </c>
      <c r="F105" s="9" t="s">
        <v>1062</v>
      </c>
      <c r="G105" s="9" t="str">
        <f t="shared" si="1"/>
        <v>TBA</v>
      </c>
      <c r="H105" s="10" t="s">
        <v>1103</v>
      </c>
      <c r="I105" s="10" t="s">
        <v>1038</v>
      </c>
      <c r="J105" s="12" t="s">
        <v>1103</v>
      </c>
    </row>
    <row r="106" spans="1:10" x14ac:dyDescent="0.35">
      <c r="A106" s="8"/>
      <c r="B106" s="9" t="s">
        <v>106</v>
      </c>
      <c r="C106" s="9"/>
      <c r="D106" s="10" t="s">
        <v>1036</v>
      </c>
      <c r="E106" s="14" t="s">
        <v>104</v>
      </c>
      <c r="F106" s="9" t="s">
        <v>1058</v>
      </c>
      <c r="G106" s="9" t="str">
        <f t="shared" si="1"/>
        <v>TBA</v>
      </c>
      <c r="H106" s="10" t="s">
        <v>1103</v>
      </c>
      <c r="I106" s="10" t="s">
        <v>30</v>
      </c>
      <c r="J106" s="12" t="s">
        <v>1103</v>
      </c>
    </row>
    <row r="107" spans="1:10" x14ac:dyDescent="0.35">
      <c r="A107" s="8"/>
      <c r="B107" s="9" t="s">
        <v>540</v>
      </c>
      <c r="C107" s="9"/>
      <c r="D107" s="10" t="s">
        <v>1041</v>
      </c>
      <c r="E107" s="9" t="s">
        <v>714</v>
      </c>
      <c r="F107" s="9" t="s">
        <v>1058</v>
      </c>
      <c r="G107" s="9" t="str">
        <f t="shared" si="1"/>
        <v>TBA</v>
      </c>
      <c r="H107" s="10" t="s">
        <v>1103</v>
      </c>
      <c r="I107" s="10" t="s">
        <v>1042</v>
      </c>
      <c r="J107" s="12" t="s">
        <v>1103</v>
      </c>
    </row>
    <row r="108" spans="1:10" x14ac:dyDescent="0.35">
      <c r="A108" s="8"/>
      <c r="B108" s="9" t="s">
        <v>99</v>
      </c>
      <c r="C108" s="9"/>
      <c r="D108" s="10" t="s">
        <v>126</v>
      </c>
      <c r="E108" s="14" t="s">
        <v>714</v>
      </c>
      <c r="F108" s="9" t="s">
        <v>1058</v>
      </c>
      <c r="G108" s="9" t="str">
        <f t="shared" si="1"/>
        <v>TBA</v>
      </c>
      <c r="H108" s="10" t="s">
        <v>1103</v>
      </c>
      <c r="I108" s="10" t="s">
        <v>1038</v>
      </c>
      <c r="J108" s="12" t="s">
        <v>1103</v>
      </c>
    </row>
    <row r="109" spans="1:10" x14ac:dyDescent="0.35">
      <c r="A109" s="8"/>
      <c r="B109" s="9" t="s">
        <v>1123</v>
      </c>
      <c r="C109" s="9"/>
      <c r="D109" s="10" t="s">
        <v>150</v>
      </c>
      <c r="E109" s="9" t="e">
        <v>#N/A</v>
      </c>
      <c r="F109" s="9" t="s">
        <v>1120</v>
      </c>
      <c r="G109" s="9" t="str">
        <f t="shared" si="1"/>
        <v>TBA</v>
      </c>
      <c r="H109" s="10" t="s">
        <v>1103</v>
      </c>
      <c r="I109" s="10" t="s">
        <v>1038</v>
      </c>
      <c r="J109" s="12" t="s">
        <v>1103</v>
      </c>
    </row>
    <row r="110" spans="1:10" x14ac:dyDescent="0.35">
      <c r="A110" s="8"/>
      <c r="B110" s="9" t="s">
        <v>1124</v>
      </c>
      <c r="C110" s="9"/>
      <c r="D110" s="10" t="s">
        <v>150</v>
      </c>
      <c r="E110" s="9" t="e">
        <v>#N/A</v>
      </c>
      <c r="F110" s="9" t="s">
        <v>1120</v>
      </c>
      <c r="G110" s="9" t="str">
        <f t="shared" si="1"/>
        <v>TBA</v>
      </c>
      <c r="H110" s="10" t="s">
        <v>1103</v>
      </c>
      <c r="I110" s="10" t="s">
        <v>1038</v>
      </c>
      <c r="J110" s="12" t="s">
        <v>1103</v>
      </c>
    </row>
    <row r="111" spans="1:10" x14ac:dyDescent="0.35">
      <c r="A111" s="8"/>
      <c r="B111" s="9" t="s">
        <v>1125</v>
      </c>
      <c r="C111" s="9"/>
      <c r="D111" s="10" t="s">
        <v>1069</v>
      </c>
      <c r="E111" s="9" t="s">
        <v>1034</v>
      </c>
      <c r="F111" s="9" t="s">
        <v>1030</v>
      </c>
      <c r="G111" s="9" t="str">
        <f t="shared" si="1"/>
        <v>TBA</v>
      </c>
      <c r="H111" s="10" t="s">
        <v>1103</v>
      </c>
      <c r="I111" s="10" t="s">
        <v>39</v>
      </c>
      <c r="J111" s="12" t="s">
        <v>1103</v>
      </c>
    </row>
    <row r="112" spans="1:10" x14ac:dyDescent="0.35">
      <c r="A112" s="8"/>
      <c r="B112" s="9" t="s">
        <v>177</v>
      </c>
      <c r="C112" s="9"/>
      <c r="D112" s="10" t="s">
        <v>1041</v>
      </c>
      <c r="E112" s="9" t="s">
        <v>714</v>
      </c>
      <c r="F112" s="9" t="s">
        <v>1042</v>
      </c>
      <c r="G112" s="9" t="str">
        <f t="shared" si="1"/>
        <v>TBA</v>
      </c>
      <c r="H112" s="10" t="s">
        <v>1103</v>
      </c>
      <c r="I112" s="10" t="s">
        <v>1042</v>
      </c>
      <c r="J112" s="12" t="s">
        <v>1103</v>
      </c>
    </row>
    <row r="113" spans="1:10" x14ac:dyDescent="0.35">
      <c r="A113" s="8"/>
      <c r="B113" s="9" t="s">
        <v>865</v>
      </c>
      <c r="C113" s="9"/>
      <c r="D113" s="10" t="s">
        <v>89</v>
      </c>
      <c r="E113" s="9" t="s">
        <v>89</v>
      </c>
      <c r="F113" s="9" t="s">
        <v>1062</v>
      </c>
      <c r="G113" s="9" t="str">
        <f t="shared" si="1"/>
        <v>TBA</v>
      </c>
      <c r="H113" s="10" t="s">
        <v>1103</v>
      </c>
      <c r="I113" s="10" t="s">
        <v>1113</v>
      </c>
      <c r="J113" s="12" t="s">
        <v>1103</v>
      </c>
    </row>
    <row r="114" spans="1:10" x14ac:dyDescent="0.35">
      <c r="A114" s="8"/>
      <c r="B114" s="9" t="s">
        <v>1126</v>
      </c>
      <c r="C114" s="9"/>
      <c r="D114" s="10" t="s">
        <v>65</v>
      </c>
      <c r="E114" s="11" t="s">
        <v>89</v>
      </c>
      <c r="F114" s="9" t="s">
        <v>1062</v>
      </c>
      <c r="G114" s="9" t="str">
        <f t="shared" si="1"/>
        <v>TBA</v>
      </c>
      <c r="H114" s="10" t="s">
        <v>1103</v>
      </c>
      <c r="I114" s="10" t="s">
        <v>1113</v>
      </c>
      <c r="J114" s="12" t="s">
        <v>1103</v>
      </c>
    </row>
    <row r="115" spans="1:10" x14ac:dyDescent="0.35">
      <c r="A115" s="8"/>
      <c r="B115" s="9" t="s">
        <v>1127</v>
      </c>
      <c r="C115" s="9"/>
      <c r="D115" s="10" t="s">
        <v>65</v>
      </c>
      <c r="E115" s="11" t="s">
        <v>89</v>
      </c>
      <c r="F115" s="9" t="s">
        <v>1062</v>
      </c>
      <c r="G115" s="9" t="str">
        <f t="shared" si="1"/>
        <v>TBA</v>
      </c>
      <c r="H115" s="10" t="s">
        <v>1103</v>
      </c>
      <c r="I115" s="10" t="s">
        <v>1113</v>
      </c>
      <c r="J115" s="12" t="s">
        <v>1103</v>
      </c>
    </row>
    <row r="116" spans="1:10" x14ac:dyDescent="0.35">
      <c r="A116" s="8"/>
      <c r="B116" s="9" t="s">
        <v>544</v>
      </c>
      <c r="C116" s="9"/>
      <c r="D116" s="10" t="s">
        <v>65</v>
      </c>
      <c r="E116" s="10" t="s">
        <v>89</v>
      </c>
      <c r="F116" s="9" t="s">
        <v>1062</v>
      </c>
      <c r="G116" s="9" t="str">
        <f t="shared" si="1"/>
        <v>TBA</v>
      </c>
      <c r="H116" s="10" t="s">
        <v>1103</v>
      </c>
      <c r="I116" s="10" t="s">
        <v>1113</v>
      </c>
      <c r="J116" s="12" t="s">
        <v>1103</v>
      </c>
    </row>
    <row r="117" spans="1:10" x14ac:dyDescent="0.35">
      <c r="A117" s="8"/>
      <c r="B117" s="9" t="s">
        <v>199</v>
      </c>
      <c r="C117" s="9"/>
      <c r="D117" s="10" t="s">
        <v>1038</v>
      </c>
      <c r="E117" s="11" t="s">
        <v>714</v>
      </c>
      <c r="F117" s="9" t="s">
        <v>1030</v>
      </c>
      <c r="G117" s="9" t="str">
        <f t="shared" si="1"/>
        <v>TBA</v>
      </c>
      <c r="H117" s="10" t="s">
        <v>1103</v>
      </c>
      <c r="I117" s="10" t="s">
        <v>1084</v>
      </c>
      <c r="J117" s="12" t="s">
        <v>1032</v>
      </c>
    </row>
    <row r="118" spans="1:10" x14ac:dyDescent="0.35">
      <c r="A118" s="8"/>
      <c r="B118" s="9" t="s">
        <v>1128</v>
      </c>
      <c r="C118" s="9"/>
      <c r="D118" s="10" t="s">
        <v>1038</v>
      </c>
      <c r="E118" s="11" t="s">
        <v>1115</v>
      </c>
      <c r="F118" s="9" t="s">
        <v>1058</v>
      </c>
      <c r="G118" s="9" t="str">
        <f t="shared" si="1"/>
        <v>TBA</v>
      </c>
      <c r="H118" s="10" t="s">
        <v>1129</v>
      </c>
      <c r="I118" s="10" t="s">
        <v>1038</v>
      </c>
      <c r="J118" s="12" t="s">
        <v>1059</v>
      </c>
    </row>
    <row r="119" spans="1:10" x14ac:dyDescent="0.35">
      <c r="A119" s="8"/>
      <c r="B119" s="9" t="s">
        <v>1130</v>
      </c>
      <c r="C119" s="9"/>
      <c r="D119" s="10" t="s">
        <v>1038</v>
      </c>
      <c r="E119" s="11" t="s">
        <v>1115</v>
      </c>
      <c r="F119" s="9" t="s">
        <v>1058</v>
      </c>
      <c r="G119" s="9" t="str">
        <f t="shared" si="1"/>
        <v>TBA</v>
      </c>
      <c r="H119" s="10" t="s">
        <v>1129</v>
      </c>
      <c r="I119" s="10" t="s">
        <v>1038</v>
      </c>
      <c r="J119" s="12" t="s">
        <v>1059</v>
      </c>
    </row>
    <row r="120" spans="1:10" x14ac:dyDescent="0.35">
      <c r="A120" s="8"/>
      <c r="B120" s="9" t="s">
        <v>1131</v>
      </c>
      <c r="C120" s="9"/>
      <c r="D120" s="10" t="s">
        <v>126</v>
      </c>
      <c r="E120" s="9" t="s">
        <v>503</v>
      </c>
      <c r="F120" s="9" t="s">
        <v>1058</v>
      </c>
      <c r="G120" s="9" t="str">
        <f t="shared" si="1"/>
        <v>TBA</v>
      </c>
      <c r="H120" s="10" t="s">
        <v>1129</v>
      </c>
      <c r="I120" s="10" t="s">
        <v>1084</v>
      </c>
      <c r="J120" s="12" t="s">
        <v>1103</v>
      </c>
    </row>
    <row r="121" spans="1:10" x14ac:dyDescent="0.35">
      <c r="A121" s="8"/>
      <c r="B121" s="9" t="s">
        <v>1132</v>
      </c>
      <c r="C121" s="9"/>
      <c r="D121" s="10" t="s">
        <v>126</v>
      </c>
      <c r="E121" s="10" t="s">
        <v>117</v>
      </c>
      <c r="F121" s="9" t="s">
        <v>1058</v>
      </c>
      <c r="G121" s="9" t="str">
        <f t="shared" si="1"/>
        <v>TBA</v>
      </c>
      <c r="H121" s="10" t="s">
        <v>1129</v>
      </c>
      <c r="I121" s="10" t="s">
        <v>1084</v>
      </c>
      <c r="J121" s="12" t="s">
        <v>1053</v>
      </c>
    </row>
    <row r="122" spans="1:10" x14ac:dyDescent="0.35">
      <c r="A122" s="8"/>
      <c r="B122" s="10" t="s">
        <v>73</v>
      </c>
      <c r="C122" s="10"/>
      <c r="D122" s="10" t="s">
        <v>126</v>
      </c>
      <c r="E122" s="11" t="s">
        <v>484</v>
      </c>
      <c r="F122" s="9" t="s">
        <v>1058</v>
      </c>
      <c r="G122" s="9" t="str">
        <f t="shared" si="1"/>
        <v>TBA</v>
      </c>
      <c r="H122" s="10" t="s">
        <v>1129</v>
      </c>
      <c r="I122" s="10" t="s">
        <v>1084</v>
      </c>
      <c r="J122" s="12" t="s">
        <v>1053</v>
      </c>
    </row>
    <row r="123" spans="1:10" x14ac:dyDescent="0.35">
      <c r="A123" s="8"/>
      <c r="B123" s="9" t="s">
        <v>361</v>
      </c>
      <c r="C123" s="9"/>
      <c r="D123" s="10" t="s">
        <v>126</v>
      </c>
      <c r="E123" s="11" t="s">
        <v>484</v>
      </c>
      <c r="F123" s="9" t="s">
        <v>1058</v>
      </c>
      <c r="G123" s="9" t="str">
        <f t="shared" si="1"/>
        <v>TBA</v>
      </c>
      <c r="H123" s="10" t="s">
        <v>1129</v>
      </c>
      <c r="I123" s="10" t="s">
        <v>1084</v>
      </c>
      <c r="J123" s="12" t="s">
        <v>1053</v>
      </c>
    </row>
    <row r="124" spans="1:10" x14ac:dyDescent="0.35">
      <c r="A124" s="8"/>
      <c r="B124" s="9" t="s">
        <v>1133</v>
      </c>
      <c r="C124" s="9"/>
      <c r="D124" s="10" t="s">
        <v>1038</v>
      </c>
      <c r="E124" s="9" t="s">
        <v>1057</v>
      </c>
      <c r="F124" s="9" t="s">
        <v>1058</v>
      </c>
      <c r="G124" s="9" t="str">
        <f t="shared" si="1"/>
        <v>TBA</v>
      </c>
      <c r="H124" s="10" t="s">
        <v>1129</v>
      </c>
      <c r="I124" s="10" t="s">
        <v>1038</v>
      </c>
      <c r="J124" s="12" t="s">
        <v>1032</v>
      </c>
    </row>
    <row r="125" spans="1:10" x14ac:dyDescent="0.35">
      <c r="A125" s="8"/>
      <c r="B125" s="9" t="s">
        <v>1134</v>
      </c>
      <c r="C125" s="9"/>
      <c r="D125" s="10" t="s">
        <v>65</v>
      </c>
      <c r="E125" s="9" t="s">
        <v>1051</v>
      </c>
      <c r="F125" s="9" t="s">
        <v>1042</v>
      </c>
      <c r="G125" s="9" t="str">
        <f t="shared" si="1"/>
        <v>TBA</v>
      </c>
      <c r="H125" s="10" t="s">
        <v>1129</v>
      </c>
      <c r="I125" s="10" t="s">
        <v>1038</v>
      </c>
      <c r="J125" s="12" t="s">
        <v>1032</v>
      </c>
    </row>
    <row r="126" spans="1:10" x14ac:dyDescent="0.35">
      <c r="A126" s="8"/>
      <c r="B126" s="9" t="s">
        <v>1135</v>
      </c>
      <c r="C126" s="9"/>
      <c r="D126" s="10" t="s">
        <v>1038</v>
      </c>
      <c r="E126" s="9"/>
      <c r="F126" s="9" t="s">
        <v>1058</v>
      </c>
      <c r="G126" s="9" t="str">
        <f t="shared" si="1"/>
        <v>TBA</v>
      </c>
      <c r="H126" s="10" t="s">
        <v>1129</v>
      </c>
      <c r="I126" s="10" t="s">
        <v>1038</v>
      </c>
      <c r="J126" s="12" t="s">
        <v>1103</v>
      </c>
    </row>
    <row r="127" spans="1:10" x14ac:dyDescent="0.35">
      <c r="A127" s="8"/>
      <c r="B127" s="10" t="s">
        <v>464</v>
      </c>
      <c r="C127" s="10"/>
      <c r="D127" s="10" t="s">
        <v>126</v>
      </c>
      <c r="E127" s="10"/>
      <c r="F127" s="9" t="s">
        <v>1058</v>
      </c>
      <c r="G127" s="9" t="str">
        <f t="shared" si="1"/>
        <v>TBA</v>
      </c>
      <c r="H127" s="10" t="s">
        <v>1129</v>
      </c>
      <c r="I127" s="10" t="s">
        <v>1084</v>
      </c>
      <c r="J127" s="12" t="s">
        <v>1032</v>
      </c>
    </row>
    <row r="128" spans="1:10" x14ac:dyDescent="0.35">
      <c r="A128" s="8"/>
      <c r="B128" s="9" t="s">
        <v>22</v>
      </c>
      <c r="C128" s="9"/>
      <c r="D128" s="10" t="s">
        <v>1038</v>
      </c>
      <c r="E128" s="11" t="s">
        <v>474</v>
      </c>
      <c r="F128" s="9"/>
      <c r="G128" s="9" t="str">
        <f t="shared" si="1"/>
        <v>TBA</v>
      </c>
      <c r="H128" s="10" t="s">
        <v>1129</v>
      </c>
      <c r="I128" s="10" t="s">
        <v>1038</v>
      </c>
      <c r="J128" s="12" t="s">
        <v>1032</v>
      </c>
    </row>
    <row r="129" spans="1:10" x14ac:dyDescent="0.35">
      <c r="A129" s="8"/>
      <c r="B129" s="9" t="s">
        <v>1136</v>
      </c>
      <c r="C129" s="9"/>
      <c r="D129" s="10" t="s">
        <v>1038</v>
      </c>
      <c r="E129" s="11" t="s">
        <v>474</v>
      </c>
      <c r="F129" s="9"/>
      <c r="G129" s="9" t="str">
        <f t="shared" si="1"/>
        <v>TBA</v>
      </c>
      <c r="H129" s="10" t="s">
        <v>1129</v>
      </c>
      <c r="I129" s="10" t="s">
        <v>1038</v>
      </c>
      <c r="J129" s="12" t="s">
        <v>1032</v>
      </c>
    </row>
    <row r="130" spans="1:10" x14ac:dyDescent="0.35">
      <c r="A130" s="8"/>
      <c r="B130" s="9" t="s">
        <v>38</v>
      </c>
      <c r="C130" s="9"/>
      <c r="D130" s="10" t="s">
        <v>1038</v>
      </c>
      <c r="E130" s="11" t="s">
        <v>474</v>
      </c>
      <c r="F130" s="9"/>
      <c r="G130" s="9" t="str">
        <f t="shared" ref="G130:G193" si="2">_xlfn.IFNA(VLOOKUP(B130,O:P,2,FALSE),"TBA")</f>
        <v>TBA</v>
      </c>
      <c r="H130" s="10" t="s">
        <v>1129</v>
      </c>
      <c r="I130" s="10" t="s">
        <v>1038</v>
      </c>
      <c r="J130" s="12" t="s">
        <v>1032</v>
      </c>
    </row>
    <row r="131" spans="1:10" x14ac:dyDescent="0.35">
      <c r="A131" s="8"/>
      <c r="B131" s="9" t="s">
        <v>74</v>
      </c>
      <c r="C131" s="9"/>
      <c r="D131" s="10" t="s">
        <v>1038</v>
      </c>
      <c r="E131" s="11" t="s">
        <v>474</v>
      </c>
      <c r="F131" s="9"/>
      <c r="G131" s="9" t="str">
        <f t="shared" si="2"/>
        <v>TBA</v>
      </c>
      <c r="H131" s="10" t="s">
        <v>1129</v>
      </c>
      <c r="I131" s="10" t="s">
        <v>1038</v>
      </c>
      <c r="J131" s="12" t="s">
        <v>1032</v>
      </c>
    </row>
    <row r="132" spans="1:10" x14ac:dyDescent="0.35">
      <c r="A132" s="8"/>
      <c r="B132" s="9" t="s">
        <v>494</v>
      </c>
      <c r="C132" s="9"/>
      <c r="D132" s="10" t="s">
        <v>1137</v>
      </c>
      <c r="E132" s="9" t="s">
        <v>145</v>
      </c>
      <c r="F132" s="9" t="s">
        <v>1058</v>
      </c>
      <c r="G132" s="9" t="str">
        <f t="shared" si="2"/>
        <v>TBA</v>
      </c>
      <c r="H132" s="10" t="s">
        <v>1129</v>
      </c>
      <c r="I132" s="10" t="s">
        <v>1084</v>
      </c>
      <c r="J132" s="12" t="s">
        <v>1032</v>
      </c>
    </row>
    <row r="133" spans="1:10" x14ac:dyDescent="0.35">
      <c r="A133" s="8"/>
      <c r="B133" s="9" t="s">
        <v>1138</v>
      </c>
      <c r="C133" s="9"/>
      <c r="D133" s="10" t="s">
        <v>1137</v>
      </c>
      <c r="E133" s="9" t="s">
        <v>145</v>
      </c>
      <c r="F133" s="9" t="s">
        <v>1058</v>
      </c>
      <c r="G133" s="9" t="str">
        <f t="shared" si="2"/>
        <v>TBA</v>
      </c>
      <c r="H133" s="10" t="s">
        <v>1129</v>
      </c>
      <c r="I133" s="10" t="s">
        <v>1084</v>
      </c>
      <c r="J133" s="12" t="s">
        <v>1032</v>
      </c>
    </row>
    <row r="134" spans="1:10" ht="16.5" x14ac:dyDescent="0.35">
      <c r="A134" s="8"/>
      <c r="B134" s="13" t="s">
        <v>1139</v>
      </c>
      <c r="C134" s="13"/>
      <c r="D134" s="10" t="s">
        <v>1041</v>
      </c>
      <c r="E134" s="9" t="s">
        <v>1051</v>
      </c>
      <c r="F134" s="9" t="s">
        <v>1042</v>
      </c>
      <c r="G134" s="9" t="str">
        <f t="shared" si="2"/>
        <v>TBA</v>
      </c>
      <c r="H134" s="10" t="s">
        <v>1129</v>
      </c>
      <c r="I134" s="10" t="s">
        <v>1042</v>
      </c>
      <c r="J134" s="12" t="s">
        <v>1032</v>
      </c>
    </row>
    <row r="135" spans="1:10" x14ac:dyDescent="0.35">
      <c r="A135" s="8"/>
      <c r="B135" s="9" t="s">
        <v>1140</v>
      </c>
      <c r="C135" s="9"/>
      <c r="D135" s="10" t="s">
        <v>1141</v>
      </c>
      <c r="E135" s="9" t="s">
        <v>1115</v>
      </c>
      <c r="F135" s="9" t="s">
        <v>1062</v>
      </c>
      <c r="G135" s="9" t="str">
        <f t="shared" si="2"/>
        <v>TBA</v>
      </c>
      <c r="H135" s="10" t="s">
        <v>1142</v>
      </c>
      <c r="I135" s="10" t="s">
        <v>1143</v>
      </c>
      <c r="J135" s="12" t="s">
        <v>1144</v>
      </c>
    </row>
    <row r="136" spans="1:10" x14ac:dyDescent="0.35">
      <c r="A136" s="8"/>
      <c r="B136" s="10" t="s">
        <v>1145</v>
      </c>
      <c r="C136" s="10"/>
      <c r="D136" s="10" t="s">
        <v>1038</v>
      </c>
      <c r="E136" s="11" t="s">
        <v>104</v>
      </c>
      <c r="F136" s="9" t="s">
        <v>1030</v>
      </c>
      <c r="G136" s="9" t="str">
        <f t="shared" si="2"/>
        <v>TBA</v>
      </c>
      <c r="H136" s="10" t="s">
        <v>1129</v>
      </c>
      <c r="I136" s="10" t="s">
        <v>65</v>
      </c>
      <c r="J136" s="12" t="s">
        <v>1103</v>
      </c>
    </row>
    <row r="137" spans="1:10" x14ac:dyDescent="0.35">
      <c r="A137" s="8"/>
      <c r="B137" s="10" t="s">
        <v>1146</v>
      </c>
      <c r="C137" s="10"/>
      <c r="D137" s="10" t="s">
        <v>1077</v>
      </c>
      <c r="E137" s="11" t="s">
        <v>1147</v>
      </c>
      <c r="F137" s="9" t="s">
        <v>1062</v>
      </c>
      <c r="G137" s="9" t="str">
        <f t="shared" si="2"/>
        <v>TBA</v>
      </c>
      <c r="H137" s="10" t="s">
        <v>1129</v>
      </c>
      <c r="I137" s="10" t="s">
        <v>1065</v>
      </c>
      <c r="J137" s="12" t="s">
        <v>1032</v>
      </c>
    </row>
    <row r="138" spans="1:10" x14ac:dyDescent="0.35">
      <c r="A138" s="8"/>
      <c r="B138" s="9" t="s">
        <v>118</v>
      </c>
      <c r="C138" s="9"/>
      <c r="D138" s="10" t="s">
        <v>1038</v>
      </c>
      <c r="E138" s="11" t="s">
        <v>117</v>
      </c>
      <c r="F138" s="9" t="s">
        <v>1148</v>
      </c>
      <c r="G138" s="9" t="str">
        <f t="shared" si="2"/>
        <v>TBA</v>
      </c>
      <c r="H138" s="10" t="s">
        <v>1129</v>
      </c>
      <c r="I138" s="10" t="s">
        <v>118</v>
      </c>
      <c r="J138" s="12" t="s">
        <v>1032</v>
      </c>
    </row>
    <row r="139" spans="1:10" ht="16" x14ac:dyDescent="0.35">
      <c r="A139" s="8"/>
      <c r="B139" s="17" t="s">
        <v>1149</v>
      </c>
      <c r="C139" s="17"/>
      <c r="D139" s="10" t="s">
        <v>1038</v>
      </c>
      <c r="E139" s="10" t="s">
        <v>1115</v>
      </c>
      <c r="F139" s="9" t="s">
        <v>1062</v>
      </c>
      <c r="G139" s="9" t="str">
        <f t="shared" si="2"/>
        <v>TBA</v>
      </c>
      <c r="H139" s="10" t="s">
        <v>1129</v>
      </c>
      <c r="I139" s="10" t="s">
        <v>118</v>
      </c>
      <c r="J139" s="12" t="s">
        <v>1032</v>
      </c>
    </row>
    <row r="140" spans="1:10" x14ac:dyDescent="0.35">
      <c r="A140" s="8"/>
      <c r="B140" s="9" t="s">
        <v>1150</v>
      </c>
      <c r="C140" s="9"/>
      <c r="D140" s="10" t="s">
        <v>1038</v>
      </c>
      <c r="E140" s="11" t="s">
        <v>117</v>
      </c>
      <c r="F140" s="9" t="s">
        <v>1148</v>
      </c>
      <c r="G140" s="9" t="str">
        <f t="shared" si="2"/>
        <v>TBA</v>
      </c>
      <c r="H140" s="10" t="s">
        <v>1129</v>
      </c>
      <c r="I140" s="10" t="s">
        <v>118</v>
      </c>
      <c r="J140" s="12" t="s">
        <v>1032</v>
      </c>
    </row>
    <row r="141" spans="1:10" x14ac:dyDescent="0.35">
      <c r="A141" s="8"/>
      <c r="B141" s="9" t="s">
        <v>609</v>
      </c>
      <c r="C141" s="9"/>
      <c r="D141" s="10" t="s">
        <v>1038</v>
      </c>
      <c r="E141" s="9" t="s">
        <v>117</v>
      </c>
      <c r="F141" s="9" t="s">
        <v>1148</v>
      </c>
      <c r="G141" s="9" t="str">
        <f t="shared" si="2"/>
        <v>TBA</v>
      </c>
      <c r="H141" s="10" t="s">
        <v>1129</v>
      </c>
      <c r="I141" s="10" t="s">
        <v>118</v>
      </c>
      <c r="J141" s="12" t="s">
        <v>1032</v>
      </c>
    </row>
    <row r="142" spans="1:10" x14ac:dyDescent="0.35">
      <c r="A142" s="8"/>
      <c r="B142" s="9" t="s">
        <v>1151</v>
      </c>
      <c r="C142" s="9"/>
      <c r="D142" s="10" t="s">
        <v>1038</v>
      </c>
      <c r="E142" s="10" t="s">
        <v>117</v>
      </c>
      <c r="F142" s="9" t="s">
        <v>1148</v>
      </c>
      <c r="G142" s="9" t="str">
        <f t="shared" si="2"/>
        <v>TBA</v>
      </c>
      <c r="H142" s="10" t="s">
        <v>1129</v>
      </c>
      <c r="I142" s="10" t="s">
        <v>118</v>
      </c>
      <c r="J142" s="12" t="s">
        <v>1032</v>
      </c>
    </row>
    <row r="143" spans="1:10" x14ac:dyDescent="0.35">
      <c r="A143" s="8"/>
      <c r="B143" s="9" t="s">
        <v>715</v>
      </c>
      <c r="C143" s="9"/>
      <c r="D143" s="10" t="s">
        <v>1038</v>
      </c>
      <c r="E143" s="10" t="s">
        <v>1152</v>
      </c>
      <c r="F143" s="9" t="s">
        <v>1058</v>
      </c>
      <c r="G143" s="9" t="str">
        <f t="shared" si="2"/>
        <v>TBA</v>
      </c>
      <c r="H143" s="10" t="s">
        <v>1129</v>
      </c>
      <c r="I143" s="10" t="s">
        <v>1038</v>
      </c>
      <c r="J143" s="12" t="s">
        <v>1032</v>
      </c>
    </row>
    <row r="144" spans="1:10" x14ac:dyDescent="0.35">
      <c r="A144" s="8"/>
      <c r="B144" s="9" t="s">
        <v>1153</v>
      </c>
      <c r="C144" s="9"/>
      <c r="D144" s="10" t="s">
        <v>1064</v>
      </c>
      <c r="E144" s="11"/>
      <c r="F144" s="9" t="s">
        <v>1062</v>
      </c>
      <c r="G144" s="9" t="str">
        <f t="shared" si="2"/>
        <v>TBA</v>
      </c>
      <c r="H144" s="10" t="s">
        <v>1129</v>
      </c>
      <c r="I144" s="10" t="s">
        <v>1065</v>
      </c>
      <c r="J144" s="12" t="s">
        <v>1032</v>
      </c>
    </row>
    <row r="145" spans="1:10" x14ac:dyDescent="0.35">
      <c r="A145" s="8"/>
      <c r="B145" s="9" t="s">
        <v>1154</v>
      </c>
      <c r="C145" s="9"/>
      <c r="D145" s="10" t="s">
        <v>1068</v>
      </c>
      <c r="E145" s="10" t="s">
        <v>527</v>
      </c>
      <c r="F145" s="9" t="s">
        <v>1042</v>
      </c>
      <c r="G145" s="9" t="str">
        <f t="shared" si="2"/>
        <v>TBA</v>
      </c>
      <c r="H145" s="10" t="s">
        <v>1129</v>
      </c>
      <c r="I145" s="10" t="s">
        <v>1042</v>
      </c>
      <c r="J145" s="12" t="s">
        <v>1103</v>
      </c>
    </row>
    <row r="146" spans="1:10" x14ac:dyDescent="0.35">
      <c r="A146" s="8"/>
      <c r="B146" s="9" t="s">
        <v>1155</v>
      </c>
      <c r="C146" s="9"/>
      <c r="D146" s="10" t="s">
        <v>1064</v>
      </c>
      <c r="E146" s="11" t="s">
        <v>474</v>
      </c>
      <c r="F146" s="9"/>
      <c r="G146" s="9" t="str">
        <f t="shared" si="2"/>
        <v>TBA</v>
      </c>
      <c r="H146" s="10" t="s">
        <v>1129</v>
      </c>
      <c r="I146" s="10" t="s">
        <v>1065</v>
      </c>
      <c r="J146" s="12" t="s">
        <v>1032</v>
      </c>
    </row>
    <row r="147" spans="1:10" x14ac:dyDescent="0.35">
      <c r="A147" s="8"/>
      <c r="B147" s="9" t="s">
        <v>1156</v>
      </c>
      <c r="C147" s="9"/>
      <c r="D147" s="10" t="s">
        <v>1064</v>
      </c>
      <c r="E147" s="11" t="s">
        <v>474</v>
      </c>
      <c r="F147" s="9"/>
      <c r="G147" s="9" t="str">
        <f t="shared" si="2"/>
        <v>TBA</v>
      </c>
      <c r="H147" s="10" t="s">
        <v>1129</v>
      </c>
      <c r="I147" s="10" t="s">
        <v>1065</v>
      </c>
      <c r="J147" s="12" t="s">
        <v>1032</v>
      </c>
    </row>
    <row r="148" spans="1:10" x14ac:dyDescent="0.35">
      <c r="A148" s="8"/>
      <c r="B148" s="9" t="s">
        <v>1157</v>
      </c>
      <c r="C148" s="9"/>
      <c r="D148" s="10" t="s">
        <v>1064</v>
      </c>
      <c r="E148" s="11" t="s">
        <v>474</v>
      </c>
      <c r="F148" s="9"/>
      <c r="G148" s="9" t="str">
        <f t="shared" si="2"/>
        <v>TBA</v>
      </c>
      <c r="H148" s="10" t="s">
        <v>1129</v>
      </c>
      <c r="I148" s="10" t="s">
        <v>1065</v>
      </c>
      <c r="J148" s="12" t="s">
        <v>1032</v>
      </c>
    </row>
    <row r="149" spans="1:10" x14ac:dyDescent="0.35">
      <c r="A149" s="8"/>
      <c r="B149" s="9" t="s">
        <v>1158</v>
      </c>
      <c r="C149" s="9"/>
      <c r="D149" s="10" t="s">
        <v>1064</v>
      </c>
      <c r="E149" s="11" t="s">
        <v>474</v>
      </c>
      <c r="F149" s="9"/>
      <c r="G149" s="9" t="str">
        <f t="shared" si="2"/>
        <v>TBA</v>
      </c>
      <c r="H149" s="10" t="s">
        <v>1129</v>
      </c>
      <c r="I149" s="10" t="s">
        <v>1065</v>
      </c>
      <c r="J149" s="12" t="s">
        <v>1032</v>
      </c>
    </row>
    <row r="150" spans="1:10" ht="16.5" x14ac:dyDescent="0.35">
      <c r="A150" s="8"/>
      <c r="B150" s="13" t="s">
        <v>1159</v>
      </c>
      <c r="C150" s="13"/>
      <c r="D150" s="10" t="s">
        <v>1041</v>
      </c>
      <c r="E150" s="9" t="s">
        <v>1051</v>
      </c>
      <c r="F150" s="9" t="s">
        <v>1042</v>
      </c>
      <c r="G150" s="9" t="str">
        <f t="shared" si="2"/>
        <v>TBA</v>
      </c>
      <c r="H150" s="10" t="s">
        <v>1129</v>
      </c>
      <c r="I150" s="10" t="s">
        <v>1042</v>
      </c>
      <c r="J150" s="12" t="s">
        <v>1032</v>
      </c>
    </row>
    <row r="151" spans="1:10" x14ac:dyDescent="0.35">
      <c r="A151" s="8"/>
      <c r="B151" s="9" t="s">
        <v>561</v>
      </c>
      <c r="C151" s="9"/>
      <c r="D151" s="10" t="s">
        <v>126</v>
      </c>
      <c r="E151" s="11" t="s">
        <v>484</v>
      </c>
      <c r="F151" s="9" t="s">
        <v>1058</v>
      </c>
      <c r="G151" s="9" t="str">
        <f t="shared" si="2"/>
        <v>TBA</v>
      </c>
      <c r="H151" s="10" t="s">
        <v>1129</v>
      </c>
      <c r="I151" s="10" t="s">
        <v>1038</v>
      </c>
      <c r="J151" s="12" t="s">
        <v>1032</v>
      </c>
    </row>
    <row r="152" spans="1:10" x14ac:dyDescent="0.35">
      <c r="A152" s="8"/>
      <c r="B152" s="10" t="s">
        <v>136</v>
      </c>
      <c r="C152" s="10"/>
      <c r="D152" s="10" t="s">
        <v>89</v>
      </c>
      <c r="E152" s="10"/>
      <c r="F152" s="9" t="s">
        <v>1079</v>
      </c>
      <c r="G152" s="9" t="str">
        <f t="shared" si="2"/>
        <v>TBA</v>
      </c>
      <c r="H152" s="10" t="s">
        <v>1103</v>
      </c>
      <c r="I152" s="10" t="s">
        <v>65</v>
      </c>
      <c r="J152" s="12" t="s">
        <v>1032</v>
      </c>
    </row>
    <row r="153" spans="1:10" ht="16.5" x14ac:dyDescent="0.35">
      <c r="A153" s="8"/>
      <c r="B153" s="13" t="s">
        <v>1160</v>
      </c>
      <c r="C153" s="13"/>
      <c r="D153" s="10" t="s">
        <v>1041</v>
      </c>
      <c r="E153" s="9" t="s">
        <v>1051</v>
      </c>
      <c r="F153" s="9" t="s">
        <v>1042</v>
      </c>
      <c r="G153" s="9" t="str">
        <f t="shared" si="2"/>
        <v>TBA</v>
      </c>
      <c r="H153" s="10" t="s">
        <v>1129</v>
      </c>
      <c r="I153" s="10" t="s">
        <v>1042</v>
      </c>
      <c r="J153" s="12" t="s">
        <v>1032</v>
      </c>
    </row>
    <row r="154" spans="1:10" x14ac:dyDescent="0.35">
      <c r="A154" s="8" t="s">
        <v>1105</v>
      </c>
      <c r="B154" s="9" t="s">
        <v>271</v>
      </c>
      <c r="C154" s="9"/>
      <c r="D154" s="10" t="s">
        <v>1038</v>
      </c>
      <c r="E154" s="11" t="s">
        <v>117</v>
      </c>
      <c r="F154" s="9"/>
      <c r="G154" s="9" t="str">
        <f t="shared" si="2"/>
        <v>TBA</v>
      </c>
      <c r="H154" s="10" t="s">
        <v>1129</v>
      </c>
      <c r="I154" s="10" t="s">
        <v>1038</v>
      </c>
      <c r="J154" s="12" t="s">
        <v>1032</v>
      </c>
    </row>
    <row r="155" spans="1:10" x14ac:dyDescent="0.35">
      <c r="A155" s="8" t="s">
        <v>1105</v>
      </c>
      <c r="B155" s="9" t="s">
        <v>554</v>
      </c>
      <c r="C155" s="9"/>
      <c r="D155" s="10" t="s">
        <v>1038</v>
      </c>
      <c r="E155" s="10" t="s">
        <v>117</v>
      </c>
      <c r="F155" s="9"/>
      <c r="G155" s="9" t="str">
        <f t="shared" si="2"/>
        <v>TBA</v>
      </c>
      <c r="H155" s="10" t="s">
        <v>1129</v>
      </c>
      <c r="I155" s="10" t="s">
        <v>1038</v>
      </c>
      <c r="J155" s="12" t="s">
        <v>1032</v>
      </c>
    </row>
    <row r="156" spans="1:10" x14ac:dyDescent="0.35">
      <c r="A156" s="8"/>
      <c r="B156" s="10" t="s">
        <v>50</v>
      </c>
      <c r="C156" s="10"/>
      <c r="D156" s="10" t="s">
        <v>1038</v>
      </c>
      <c r="E156" s="9"/>
      <c r="F156" s="9" t="s">
        <v>1079</v>
      </c>
      <c r="G156" s="9" t="str">
        <f t="shared" si="2"/>
        <v>TBA</v>
      </c>
      <c r="H156" s="10" t="s">
        <v>1031</v>
      </c>
      <c r="I156" s="10" t="s">
        <v>1038</v>
      </c>
      <c r="J156" s="12" t="s">
        <v>1032</v>
      </c>
    </row>
    <row r="157" spans="1:10" x14ac:dyDescent="0.35">
      <c r="A157" s="8"/>
      <c r="B157" s="9" t="s">
        <v>1161</v>
      </c>
      <c r="C157" s="9"/>
      <c r="D157" s="10" t="s">
        <v>1038</v>
      </c>
      <c r="E157" s="10" t="s">
        <v>1115</v>
      </c>
      <c r="F157" s="9" t="s">
        <v>1039</v>
      </c>
      <c r="G157" s="9" t="str">
        <f t="shared" si="2"/>
        <v>TBA</v>
      </c>
      <c r="H157" s="10" t="s">
        <v>1129</v>
      </c>
      <c r="I157" s="10" t="s">
        <v>1038</v>
      </c>
      <c r="J157" s="12" t="s">
        <v>1032</v>
      </c>
    </row>
    <row r="158" spans="1:10" x14ac:dyDescent="0.35">
      <c r="A158" s="8"/>
      <c r="B158" s="9" t="s">
        <v>1162</v>
      </c>
      <c r="C158" s="9"/>
      <c r="D158" s="10" t="s">
        <v>150</v>
      </c>
      <c r="E158" s="10" t="s">
        <v>1163</v>
      </c>
      <c r="F158" s="9" t="s">
        <v>1120</v>
      </c>
      <c r="G158" s="9" t="str">
        <f t="shared" si="2"/>
        <v>TBA</v>
      </c>
      <c r="H158" s="10" t="s">
        <v>1129</v>
      </c>
      <c r="I158" s="10" t="s">
        <v>1038</v>
      </c>
      <c r="J158" s="12" t="s">
        <v>1032</v>
      </c>
    </row>
    <row r="159" spans="1:10" x14ac:dyDescent="0.35">
      <c r="A159" s="8"/>
      <c r="B159" s="9" t="s">
        <v>387</v>
      </c>
      <c r="C159" s="9"/>
      <c r="D159" s="10" t="s">
        <v>1057</v>
      </c>
      <c r="E159" s="9"/>
      <c r="F159" s="9" t="s">
        <v>1058</v>
      </c>
      <c r="G159" s="9" t="str">
        <f t="shared" si="2"/>
        <v>TBA</v>
      </c>
      <c r="H159" s="10" t="s">
        <v>1129</v>
      </c>
      <c r="I159" s="10" t="s">
        <v>1084</v>
      </c>
      <c r="J159" s="12" t="s">
        <v>1053</v>
      </c>
    </row>
    <row r="160" spans="1:10" x14ac:dyDescent="0.35">
      <c r="A160" s="8"/>
      <c r="B160" s="9" t="s">
        <v>48</v>
      </c>
      <c r="C160" s="9"/>
      <c r="D160" s="10" t="s">
        <v>1057</v>
      </c>
      <c r="E160" s="11" t="s">
        <v>714</v>
      </c>
      <c r="F160" s="9" t="s">
        <v>1058</v>
      </c>
      <c r="G160" s="9" t="str">
        <f t="shared" si="2"/>
        <v>TBA</v>
      </c>
      <c r="H160" s="10" t="s">
        <v>1129</v>
      </c>
      <c r="I160" s="10" t="s">
        <v>1084</v>
      </c>
      <c r="J160" s="12" t="s">
        <v>1053</v>
      </c>
    </row>
    <row r="161" spans="1:10" ht="16" x14ac:dyDescent="0.35">
      <c r="A161" s="8"/>
      <c r="B161" s="17" t="s">
        <v>1164</v>
      </c>
      <c r="C161" s="17"/>
      <c r="D161" s="10" t="s">
        <v>1057</v>
      </c>
      <c r="E161" s="11" t="s">
        <v>1165</v>
      </c>
      <c r="F161" s="9" t="s">
        <v>1058</v>
      </c>
      <c r="G161" s="9" t="str">
        <f t="shared" si="2"/>
        <v>TBA</v>
      </c>
      <c r="H161" s="10" t="s">
        <v>1129</v>
      </c>
      <c r="I161" s="10" t="s">
        <v>1084</v>
      </c>
      <c r="J161" s="12" t="s">
        <v>1053</v>
      </c>
    </row>
    <row r="162" spans="1:10" x14ac:dyDescent="0.35">
      <c r="A162" s="8"/>
      <c r="B162" s="9" t="s">
        <v>560</v>
      </c>
      <c r="C162" s="9"/>
      <c r="D162" s="10" t="s">
        <v>1057</v>
      </c>
      <c r="E162" s="10" t="s">
        <v>714</v>
      </c>
      <c r="F162" s="9" t="s">
        <v>1058</v>
      </c>
      <c r="G162" s="9" t="str">
        <f t="shared" si="2"/>
        <v>TBA</v>
      </c>
      <c r="H162" s="10" t="s">
        <v>1129</v>
      </c>
      <c r="I162" s="10" t="s">
        <v>1084</v>
      </c>
      <c r="J162" s="12" t="s">
        <v>1053</v>
      </c>
    </row>
    <row r="163" spans="1:10" ht="16" x14ac:dyDescent="0.35">
      <c r="A163" s="8"/>
      <c r="B163" s="17" t="s">
        <v>532</v>
      </c>
      <c r="C163" s="17"/>
      <c r="D163" s="10" t="s">
        <v>1057</v>
      </c>
      <c r="E163" s="11" t="s">
        <v>145</v>
      </c>
      <c r="F163" s="9" t="s">
        <v>1058</v>
      </c>
      <c r="G163" s="9" t="str">
        <f t="shared" si="2"/>
        <v>TBA</v>
      </c>
      <c r="H163" s="10" t="s">
        <v>1129</v>
      </c>
      <c r="I163" s="10" t="s">
        <v>1084</v>
      </c>
      <c r="J163" s="12" t="s">
        <v>1053</v>
      </c>
    </row>
    <row r="164" spans="1:10" x14ac:dyDescent="0.35">
      <c r="A164" s="8"/>
      <c r="B164" s="9" t="s">
        <v>1166</v>
      </c>
      <c r="C164" s="9"/>
      <c r="D164" s="10" t="s">
        <v>1057</v>
      </c>
      <c r="E164" s="9" t="s">
        <v>1165</v>
      </c>
      <c r="F164" s="9" t="s">
        <v>1058</v>
      </c>
      <c r="G164" s="9" t="str">
        <f t="shared" si="2"/>
        <v>TBA</v>
      </c>
      <c r="H164" s="10" t="s">
        <v>1129</v>
      </c>
      <c r="I164" s="10" t="s">
        <v>1084</v>
      </c>
      <c r="J164" s="12" t="s">
        <v>1053</v>
      </c>
    </row>
    <row r="165" spans="1:10" x14ac:dyDescent="0.35">
      <c r="A165" s="8"/>
      <c r="B165" s="9" t="s">
        <v>1167</v>
      </c>
      <c r="C165" s="9"/>
      <c r="D165" s="10" t="s">
        <v>1057</v>
      </c>
      <c r="E165" s="11" t="s">
        <v>1165</v>
      </c>
      <c r="F165" s="9" t="s">
        <v>1058</v>
      </c>
      <c r="G165" s="9" t="str">
        <f t="shared" si="2"/>
        <v>TBA</v>
      </c>
      <c r="H165" s="10" t="s">
        <v>1129</v>
      </c>
      <c r="I165" s="10" t="s">
        <v>1084</v>
      </c>
      <c r="J165" s="12" t="s">
        <v>1053</v>
      </c>
    </row>
    <row r="166" spans="1:10" x14ac:dyDescent="0.35">
      <c r="A166" s="8"/>
      <c r="B166" s="9" t="s">
        <v>1168</v>
      </c>
      <c r="C166" s="9"/>
      <c r="D166" s="10" t="s">
        <v>1057</v>
      </c>
      <c r="E166" s="10" t="s">
        <v>1057</v>
      </c>
      <c r="F166" s="9" t="s">
        <v>1058</v>
      </c>
      <c r="G166" s="9" t="str">
        <f t="shared" si="2"/>
        <v>TBA</v>
      </c>
      <c r="H166" s="10" t="s">
        <v>1129</v>
      </c>
      <c r="I166" s="10" t="s">
        <v>1084</v>
      </c>
      <c r="J166" s="12" t="s">
        <v>1053</v>
      </c>
    </row>
    <row r="167" spans="1:10" x14ac:dyDescent="0.35">
      <c r="A167" s="8"/>
      <c r="B167" s="9" t="s">
        <v>520</v>
      </c>
      <c r="C167" s="9"/>
      <c r="D167" s="10" t="s">
        <v>1057</v>
      </c>
      <c r="E167" s="11" t="s">
        <v>1169</v>
      </c>
      <c r="F167" s="9" t="s">
        <v>1058</v>
      </c>
      <c r="G167" s="9" t="str">
        <f t="shared" si="2"/>
        <v>TBA</v>
      </c>
      <c r="H167" s="10" t="s">
        <v>1129</v>
      </c>
      <c r="I167" s="10" t="s">
        <v>1084</v>
      </c>
      <c r="J167" s="12" t="s">
        <v>1053</v>
      </c>
    </row>
    <row r="168" spans="1:10" x14ac:dyDescent="0.35">
      <c r="A168" s="8"/>
      <c r="B168" s="9" t="s">
        <v>1170</v>
      </c>
      <c r="C168" s="9"/>
      <c r="D168" s="10" t="s">
        <v>1057</v>
      </c>
      <c r="E168" s="9" t="s">
        <v>1165</v>
      </c>
      <c r="F168" s="9" t="s">
        <v>1058</v>
      </c>
      <c r="G168" s="9" t="str">
        <f t="shared" si="2"/>
        <v>TBA</v>
      </c>
      <c r="H168" s="10" t="s">
        <v>1129</v>
      </c>
      <c r="I168" s="10" t="s">
        <v>1084</v>
      </c>
      <c r="J168" s="12" t="s">
        <v>1053</v>
      </c>
    </row>
    <row r="169" spans="1:10" x14ac:dyDescent="0.35">
      <c r="A169" s="8"/>
      <c r="B169" s="9" t="s">
        <v>1171</v>
      </c>
      <c r="C169" s="9"/>
      <c r="D169" s="10" t="s">
        <v>150</v>
      </c>
      <c r="E169" s="10" t="s">
        <v>1163</v>
      </c>
      <c r="F169" s="9" t="s">
        <v>1120</v>
      </c>
      <c r="G169" s="9" t="str">
        <f t="shared" si="2"/>
        <v>TBA</v>
      </c>
      <c r="H169" s="10" t="s">
        <v>1129</v>
      </c>
      <c r="I169" s="10" t="s">
        <v>1038</v>
      </c>
      <c r="J169" s="12" t="s">
        <v>1053</v>
      </c>
    </row>
    <row r="170" spans="1:10" x14ac:dyDescent="0.35">
      <c r="A170" s="8"/>
      <c r="B170" s="9" t="s">
        <v>1172</v>
      </c>
      <c r="C170" s="9"/>
      <c r="D170" s="10" t="s">
        <v>1057</v>
      </c>
      <c r="E170" s="10" t="s">
        <v>1165</v>
      </c>
      <c r="F170" s="9" t="s">
        <v>1058</v>
      </c>
      <c r="G170" s="9" t="str">
        <f t="shared" si="2"/>
        <v>TBA</v>
      </c>
      <c r="H170" s="10" t="s">
        <v>1129</v>
      </c>
      <c r="I170" s="10" t="s">
        <v>1084</v>
      </c>
      <c r="J170" s="12" t="s">
        <v>1053</v>
      </c>
    </row>
    <row r="171" spans="1:10" x14ac:dyDescent="0.35">
      <c r="A171" s="8"/>
      <c r="B171" s="9" t="s">
        <v>718</v>
      </c>
      <c r="C171" s="9"/>
      <c r="D171" s="10" t="s">
        <v>1057</v>
      </c>
      <c r="E171" s="11" t="s">
        <v>714</v>
      </c>
      <c r="F171" s="9" t="s">
        <v>1058</v>
      </c>
      <c r="G171" s="9" t="str">
        <f t="shared" si="2"/>
        <v>TBA</v>
      </c>
      <c r="H171" s="10" t="s">
        <v>1129</v>
      </c>
      <c r="I171" s="10" t="s">
        <v>1084</v>
      </c>
      <c r="J171" s="12" t="s">
        <v>1053</v>
      </c>
    </row>
    <row r="172" spans="1:10" x14ac:dyDescent="0.35">
      <c r="A172" s="8"/>
      <c r="B172" s="9" t="s">
        <v>320</v>
      </c>
      <c r="C172" s="9"/>
      <c r="D172" s="10" t="s">
        <v>1057</v>
      </c>
      <c r="E172" s="10"/>
      <c r="F172" s="9" t="s">
        <v>1058</v>
      </c>
      <c r="G172" s="9" t="str">
        <f t="shared" si="2"/>
        <v>TBA</v>
      </c>
      <c r="H172" s="10" t="s">
        <v>1129</v>
      </c>
      <c r="I172" s="10" t="s">
        <v>1084</v>
      </c>
      <c r="J172" s="12" t="s">
        <v>1053</v>
      </c>
    </row>
    <row r="173" spans="1:10" x14ac:dyDescent="0.35">
      <c r="A173" s="8"/>
      <c r="B173" s="10" t="s">
        <v>306</v>
      </c>
      <c r="C173" s="10"/>
      <c r="D173" s="10" t="s">
        <v>43</v>
      </c>
      <c r="E173" s="9"/>
      <c r="F173" s="9" t="s">
        <v>1079</v>
      </c>
      <c r="G173" s="9" t="str">
        <f t="shared" si="2"/>
        <v>TBA</v>
      </c>
      <c r="H173" s="10" t="s">
        <v>1103</v>
      </c>
      <c r="I173" s="10" t="s">
        <v>65</v>
      </c>
      <c r="J173" s="12" t="s">
        <v>1032</v>
      </c>
    </row>
    <row r="174" spans="1:10" x14ac:dyDescent="0.35">
      <c r="A174" s="8"/>
      <c r="B174" s="10" t="s">
        <v>121</v>
      </c>
      <c r="C174" s="10"/>
      <c r="D174" s="10" t="s">
        <v>89</v>
      </c>
      <c r="E174" s="9"/>
      <c r="F174" s="9" t="s">
        <v>1079</v>
      </c>
      <c r="G174" s="9" t="str">
        <f t="shared" si="2"/>
        <v>TBA</v>
      </c>
      <c r="H174" s="10" t="s">
        <v>1103</v>
      </c>
      <c r="I174" s="10" t="s">
        <v>65</v>
      </c>
      <c r="J174" s="12" t="s">
        <v>1032</v>
      </c>
    </row>
    <row r="175" spans="1:10" x14ac:dyDescent="0.35">
      <c r="A175" s="8"/>
      <c r="B175" s="9" t="s">
        <v>1173</v>
      </c>
      <c r="C175" s="9"/>
      <c r="D175" s="10" t="s">
        <v>1064</v>
      </c>
      <c r="E175" s="11" t="s">
        <v>1174</v>
      </c>
      <c r="F175" s="9" t="s">
        <v>1062</v>
      </c>
      <c r="G175" s="9" t="str">
        <f t="shared" si="2"/>
        <v>TBA</v>
      </c>
      <c r="H175" s="10" t="s">
        <v>1129</v>
      </c>
      <c r="I175" s="10" t="s">
        <v>1065</v>
      </c>
      <c r="J175" s="12" t="s">
        <v>1032</v>
      </c>
    </row>
    <row r="176" spans="1:10" x14ac:dyDescent="0.35">
      <c r="A176" s="8"/>
      <c r="B176" s="9" t="s">
        <v>1175</v>
      </c>
      <c r="C176" s="9"/>
      <c r="D176" s="10" t="s">
        <v>1057</v>
      </c>
      <c r="E176" s="11" t="s">
        <v>484</v>
      </c>
      <c r="F176" s="9" t="s">
        <v>1058</v>
      </c>
      <c r="G176" s="9" t="str">
        <f t="shared" si="2"/>
        <v>TBA</v>
      </c>
      <c r="H176" s="10" t="s">
        <v>1129</v>
      </c>
      <c r="I176" s="10" t="s">
        <v>1084</v>
      </c>
      <c r="J176" s="12" t="s">
        <v>1032</v>
      </c>
    </row>
    <row r="177" spans="1:10" x14ac:dyDescent="0.35">
      <c r="A177" s="8"/>
      <c r="B177" s="9" t="s">
        <v>1176</v>
      </c>
      <c r="C177" s="9"/>
      <c r="D177" s="10" t="s">
        <v>1038</v>
      </c>
      <c r="E177" s="11" t="s">
        <v>1061</v>
      </c>
      <c r="F177" s="9" t="s">
        <v>1062</v>
      </c>
      <c r="G177" s="9" t="str">
        <f t="shared" si="2"/>
        <v>TBA</v>
      </c>
      <c r="H177" s="10" t="s">
        <v>1129</v>
      </c>
      <c r="I177" s="10" t="s">
        <v>1038</v>
      </c>
      <c r="J177" s="12" t="s">
        <v>1032</v>
      </c>
    </row>
    <row r="178" spans="1:10" x14ac:dyDescent="0.35">
      <c r="A178" s="8"/>
      <c r="B178" s="9" t="s">
        <v>1177</v>
      </c>
      <c r="C178" s="9"/>
      <c r="D178" s="10" t="s">
        <v>1038</v>
      </c>
      <c r="E178" s="11" t="s">
        <v>1061</v>
      </c>
      <c r="F178" s="9" t="s">
        <v>1062</v>
      </c>
      <c r="G178" s="9" t="str">
        <f t="shared" si="2"/>
        <v>TBA</v>
      </c>
      <c r="H178" s="10" t="s">
        <v>1129</v>
      </c>
      <c r="I178" s="10" t="s">
        <v>1038</v>
      </c>
      <c r="J178" s="12" t="s">
        <v>1032</v>
      </c>
    </row>
    <row r="179" spans="1:10" x14ac:dyDescent="0.35">
      <c r="A179" s="8"/>
      <c r="B179" s="9" t="s">
        <v>1178</v>
      </c>
      <c r="C179" s="9"/>
      <c r="D179" s="10" t="s">
        <v>1038</v>
      </c>
      <c r="E179" s="9" t="s">
        <v>1061</v>
      </c>
      <c r="F179" s="9" t="s">
        <v>1062</v>
      </c>
      <c r="G179" s="9" t="str">
        <f t="shared" si="2"/>
        <v>TBA</v>
      </c>
      <c r="H179" s="10" t="s">
        <v>1129</v>
      </c>
      <c r="I179" s="10" t="s">
        <v>1038</v>
      </c>
      <c r="J179" s="12" t="s">
        <v>1032</v>
      </c>
    </row>
    <row r="180" spans="1:10" x14ac:dyDescent="0.35">
      <c r="A180" s="8"/>
      <c r="B180" s="9" t="s">
        <v>1179</v>
      </c>
      <c r="C180" s="9"/>
      <c r="D180" s="10" t="s">
        <v>1041</v>
      </c>
      <c r="E180" s="9"/>
      <c r="F180" s="9" t="s">
        <v>1042</v>
      </c>
      <c r="G180" s="9" t="str">
        <f t="shared" si="2"/>
        <v>TBA</v>
      </c>
      <c r="H180" s="10" t="s">
        <v>1129</v>
      </c>
      <c r="I180" s="10" t="s">
        <v>1042</v>
      </c>
      <c r="J180" s="12" t="s">
        <v>1059</v>
      </c>
    </row>
    <row r="181" spans="1:10" x14ac:dyDescent="0.35">
      <c r="A181" s="8"/>
      <c r="B181" s="9" t="s">
        <v>1180</v>
      </c>
      <c r="C181" s="9"/>
      <c r="D181" s="10" t="s">
        <v>1038</v>
      </c>
      <c r="E181" s="9" t="s">
        <v>1095</v>
      </c>
      <c r="F181" s="9" t="s">
        <v>1062</v>
      </c>
      <c r="G181" s="9" t="str">
        <f t="shared" si="2"/>
        <v>TBA</v>
      </c>
      <c r="H181" s="10" t="s">
        <v>1129</v>
      </c>
      <c r="I181" s="10" t="s">
        <v>1038</v>
      </c>
      <c r="J181" s="12" t="s">
        <v>1032</v>
      </c>
    </row>
    <row r="182" spans="1:10" x14ac:dyDescent="0.35">
      <c r="A182" s="8"/>
      <c r="B182" s="9" t="s">
        <v>451</v>
      </c>
      <c r="C182" s="9"/>
      <c r="D182" s="10" t="s">
        <v>1049</v>
      </c>
      <c r="E182" s="11" t="s">
        <v>503</v>
      </c>
      <c r="F182" s="9" t="s">
        <v>1042</v>
      </c>
      <c r="G182" s="9" t="str">
        <f t="shared" si="2"/>
        <v>TBA</v>
      </c>
      <c r="H182" s="10" t="s">
        <v>1129</v>
      </c>
      <c r="I182" s="10" t="s">
        <v>1042</v>
      </c>
      <c r="J182" s="12" t="s">
        <v>1032</v>
      </c>
    </row>
    <row r="183" spans="1:10" x14ac:dyDescent="0.35">
      <c r="A183" s="8"/>
      <c r="B183" s="9" t="s">
        <v>107</v>
      </c>
      <c r="C183" s="9"/>
      <c r="D183" s="10" t="s">
        <v>1064</v>
      </c>
      <c r="E183" s="11"/>
      <c r="F183" s="9"/>
      <c r="G183" s="9" t="str">
        <f t="shared" si="2"/>
        <v>TBA</v>
      </c>
      <c r="H183" s="10" t="s">
        <v>1129</v>
      </c>
      <c r="I183" s="10" t="s">
        <v>1065</v>
      </c>
      <c r="J183" s="12" t="s">
        <v>1032</v>
      </c>
    </row>
    <row r="184" spans="1:10" x14ac:dyDescent="0.35">
      <c r="A184" s="8"/>
      <c r="B184" s="9" t="s">
        <v>552</v>
      </c>
      <c r="C184" s="9"/>
      <c r="D184" s="10" t="s">
        <v>1064</v>
      </c>
      <c r="E184" s="11"/>
      <c r="F184" s="9"/>
      <c r="G184" s="9" t="str">
        <f t="shared" si="2"/>
        <v>TBA</v>
      </c>
      <c r="H184" s="10" t="s">
        <v>1129</v>
      </c>
      <c r="I184" s="10" t="s">
        <v>1065</v>
      </c>
      <c r="J184" s="12" t="s">
        <v>1032</v>
      </c>
    </row>
    <row r="185" spans="1:10" x14ac:dyDescent="0.35">
      <c r="A185" s="8"/>
      <c r="B185" s="9" t="s">
        <v>1181</v>
      </c>
      <c r="C185" s="9"/>
      <c r="D185" s="10" t="s">
        <v>1038</v>
      </c>
      <c r="E185" s="11"/>
      <c r="F185" s="9" t="s">
        <v>1058</v>
      </c>
      <c r="G185" s="9" t="str">
        <f t="shared" si="2"/>
        <v>TBA</v>
      </c>
      <c r="H185" s="10" t="s">
        <v>1129</v>
      </c>
      <c r="I185" s="10" t="s">
        <v>1038</v>
      </c>
      <c r="J185" s="12" t="s">
        <v>1032</v>
      </c>
    </row>
    <row r="186" spans="1:10" x14ac:dyDescent="0.35">
      <c r="A186" s="8"/>
      <c r="B186" s="9" t="s">
        <v>1182</v>
      </c>
      <c r="C186" s="9"/>
      <c r="D186" s="10" t="s">
        <v>1041</v>
      </c>
      <c r="E186" s="9"/>
      <c r="F186" s="9"/>
      <c r="G186" s="9" t="str">
        <f t="shared" si="2"/>
        <v>TBA</v>
      </c>
      <c r="H186" s="10" t="s">
        <v>1129</v>
      </c>
      <c r="I186" s="10" t="s">
        <v>1042</v>
      </c>
      <c r="J186" s="12" t="s">
        <v>1103</v>
      </c>
    </row>
    <row r="187" spans="1:10" x14ac:dyDescent="0.35">
      <c r="A187" s="8"/>
      <c r="B187" s="9" t="s">
        <v>1183</v>
      </c>
      <c r="C187" s="9"/>
      <c r="D187" s="10" t="s">
        <v>1041</v>
      </c>
      <c r="E187" s="9" t="s">
        <v>1051</v>
      </c>
      <c r="F187" s="9" t="s">
        <v>1042</v>
      </c>
      <c r="G187" s="9" t="str">
        <f t="shared" si="2"/>
        <v>TBA</v>
      </c>
      <c r="H187" s="10" t="s">
        <v>1129</v>
      </c>
      <c r="I187" s="10" t="s">
        <v>1042</v>
      </c>
      <c r="J187" s="12" t="s">
        <v>1059</v>
      </c>
    </row>
    <row r="188" spans="1:10" x14ac:dyDescent="0.35">
      <c r="A188" s="8"/>
      <c r="B188" s="9" t="s">
        <v>1184</v>
      </c>
      <c r="C188" s="9"/>
      <c r="D188" s="10" t="s">
        <v>1041</v>
      </c>
      <c r="E188" s="9" t="s">
        <v>1051</v>
      </c>
      <c r="F188" s="9" t="s">
        <v>1042</v>
      </c>
      <c r="G188" s="9" t="str">
        <f t="shared" si="2"/>
        <v>TBA</v>
      </c>
      <c r="H188" s="10" t="s">
        <v>1129</v>
      </c>
      <c r="I188" s="10" t="s">
        <v>1042</v>
      </c>
      <c r="J188" s="12" t="s">
        <v>1032</v>
      </c>
    </row>
    <row r="189" spans="1:10" x14ac:dyDescent="0.35">
      <c r="A189" s="8"/>
      <c r="B189" s="9" t="s">
        <v>576</v>
      </c>
      <c r="C189" s="9"/>
      <c r="D189" s="10" t="s">
        <v>1041</v>
      </c>
      <c r="E189" s="10" t="s">
        <v>292</v>
      </c>
      <c r="F189" s="9" t="s">
        <v>1042</v>
      </c>
      <c r="G189" s="9" t="str">
        <f t="shared" si="2"/>
        <v>TBA</v>
      </c>
      <c r="H189" s="10" t="s">
        <v>1129</v>
      </c>
      <c r="I189" s="10" t="s">
        <v>1042</v>
      </c>
      <c r="J189" s="12" t="s">
        <v>1032</v>
      </c>
    </row>
    <row r="190" spans="1:10" x14ac:dyDescent="0.35">
      <c r="A190" s="8"/>
      <c r="B190" s="10" t="s">
        <v>113</v>
      </c>
      <c r="C190" s="10"/>
      <c r="D190" s="10" t="s">
        <v>1077</v>
      </c>
      <c r="E190" s="11" t="s">
        <v>1095</v>
      </c>
      <c r="F190" s="9"/>
      <c r="G190" s="9" t="str">
        <f t="shared" si="2"/>
        <v>TBA</v>
      </c>
      <c r="H190" s="10" t="s">
        <v>1129</v>
      </c>
      <c r="I190" s="10" t="s">
        <v>1065</v>
      </c>
      <c r="J190" s="12" t="s">
        <v>1032</v>
      </c>
    </row>
    <row r="191" spans="1:10" x14ac:dyDescent="0.35">
      <c r="A191" s="8"/>
      <c r="B191" s="9" t="s">
        <v>1185</v>
      </c>
      <c r="C191" s="9"/>
      <c r="D191" s="10" t="s">
        <v>1077</v>
      </c>
      <c r="E191" s="11" t="s">
        <v>1095</v>
      </c>
      <c r="F191" s="9" t="s">
        <v>1062</v>
      </c>
      <c r="G191" s="9" t="str">
        <f t="shared" si="2"/>
        <v>TBA</v>
      </c>
      <c r="H191" s="10" t="s">
        <v>1129</v>
      </c>
      <c r="I191" s="10" t="s">
        <v>1065</v>
      </c>
      <c r="J191" s="12" t="s">
        <v>1032</v>
      </c>
    </row>
    <row r="192" spans="1:10" x14ac:dyDescent="0.35">
      <c r="A192" s="8"/>
      <c r="B192" s="9" t="s">
        <v>1186</v>
      </c>
      <c r="C192" s="9"/>
      <c r="D192" s="10" t="s">
        <v>1038</v>
      </c>
      <c r="E192" s="11" t="s">
        <v>1056</v>
      </c>
      <c r="F192" s="9" t="s">
        <v>1039</v>
      </c>
      <c r="G192" s="9" t="str">
        <f t="shared" si="2"/>
        <v>TBA</v>
      </c>
      <c r="H192" s="10" t="s">
        <v>1129</v>
      </c>
      <c r="I192" s="10" t="s">
        <v>1038</v>
      </c>
      <c r="J192" s="12" t="s">
        <v>1032</v>
      </c>
    </row>
    <row r="193" spans="1:10" x14ac:dyDescent="0.35">
      <c r="A193" s="8"/>
      <c r="B193" s="10" t="s">
        <v>105</v>
      </c>
      <c r="C193" s="10"/>
      <c r="D193" s="10" t="s">
        <v>1068</v>
      </c>
      <c r="E193" s="9"/>
      <c r="F193" s="9" t="s">
        <v>1042</v>
      </c>
      <c r="G193" s="9" t="str">
        <f t="shared" si="2"/>
        <v>TBA</v>
      </c>
      <c r="H193" s="10" t="s">
        <v>1129</v>
      </c>
      <c r="I193" s="10" t="s">
        <v>1042</v>
      </c>
      <c r="J193" s="12" t="s">
        <v>1032</v>
      </c>
    </row>
    <row r="194" spans="1:10" x14ac:dyDescent="0.35">
      <c r="A194" s="8"/>
      <c r="B194" s="9" t="s">
        <v>1187</v>
      </c>
      <c r="C194" s="9"/>
      <c r="D194" s="10" t="s">
        <v>1038</v>
      </c>
      <c r="E194" s="9"/>
      <c r="F194" s="9" t="s">
        <v>1062</v>
      </c>
      <c r="G194" s="9" t="str">
        <f t="shared" ref="G194:G249" si="3">_xlfn.IFNA(VLOOKUP(B194,O:P,2,FALSE),"TBA")</f>
        <v>TBA</v>
      </c>
      <c r="H194" s="10" t="s">
        <v>1129</v>
      </c>
      <c r="I194" s="10" t="s">
        <v>1038</v>
      </c>
      <c r="J194" s="12" t="s">
        <v>1032</v>
      </c>
    </row>
    <row r="195" spans="1:10" x14ac:dyDescent="0.35">
      <c r="A195" s="8"/>
      <c r="B195" s="9" t="s">
        <v>1188</v>
      </c>
      <c r="C195" s="9"/>
      <c r="D195" s="10" t="s">
        <v>1038</v>
      </c>
      <c r="E195" s="9" t="s">
        <v>714</v>
      </c>
      <c r="F195" s="9" t="s">
        <v>1058</v>
      </c>
      <c r="G195" s="9" t="str">
        <f t="shared" si="3"/>
        <v>TBA</v>
      </c>
      <c r="H195" s="10" t="s">
        <v>1129</v>
      </c>
      <c r="I195" s="10" t="s">
        <v>1038</v>
      </c>
      <c r="J195" s="12" t="s">
        <v>1032</v>
      </c>
    </row>
    <row r="196" spans="1:10" x14ac:dyDescent="0.35">
      <c r="A196" s="8"/>
      <c r="B196" s="9" t="s">
        <v>1189</v>
      </c>
      <c r="C196" s="9"/>
      <c r="D196" s="10" t="s">
        <v>1038</v>
      </c>
      <c r="E196" s="9" t="s">
        <v>714</v>
      </c>
      <c r="F196" s="9" t="s">
        <v>1058</v>
      </c>
      <c r="G196" s="9" t="str">
        <f t="shared" si="3"/>
        <v>TBA</v>
      </c>
      <c r="H196" s="10" t="s">
        <v>1129</v>
      </c>
      <c r="I196" s="10" t="s">
        <v>1038</v>
      </c>
      <c r="J196" s="12" t="s">
        <v>1032</v>
      </c>
    </row>
    <row r="197" spans="1:10" x14ac:dyDescent="0.35">
      <c r="A197" s="8"/>
      <c r="B197" s="9" t="s">
        <v>1190</v>
      </c>
      <c r="C197" s="9"/>
      <c r="D197" s="10" t="s">
        <v>1038</v>
      </c>
      <c r="E197" s="10" t="s">
        <v>714</v>
      </c>
      <c r="F197" s="9" t="s">
        <v>1058</v>
      </c>
      <c r="G197" s="9" t="str">
        <f t="shared" si="3"/>
        <v>TBA</v>
      </c>
      <c r="H197" s="10" t="s">
        <v>1129</v>
      </c>
      <c r="I197" s="10" t="s">
        <v>1038</v>
      </c>
      <c r="J197" s="12" t="s">
        <v>1032</v>
      </c>
    </row>
    <row r="198" spans="1:10" x14ac:dyDescent="0.35">
      <c r="A198" s="8"/>
      <c r="B198" s="10" t="s">
        <v>1191</v>
      </c>
      <c r="C198" s="10"/>
      <c r="D198" s="10" t="s">
        <v>1041</v>
      </c>
      <c r="E198" s="9" t="s">
        <v>1051</v>
      </c>
      <c r="F198" s="9" t="s">
        <v>1042</v>
      </c>
      <c r="G198" s="9" t="str">
        <f t="shared" si="3"/>
        <v>TBA</v>
      </c>
      <c r="H198" s="10" t="s">
        <v>1129</v>
      </c>
      <c r="I198" s="10" t="s">
        <v>1042</v>
      </c>
      <c r="J198" s="12" t="s">
        <v>1032</v>
      </c>
    </row>
    <row r="199" spans="1:10" x14ac:dyDescent="0.35">
      <c r="A199" s="8"/>
      <c r="B199" s="9" t="s">
        <v>1192</v>
      </c>
      <c r="C199" s="9"/>
      <c r="D199" s="10" t="s">
        <v>1041</v>
      </c>
      <c r="E199" s="9"/>
      <c r="F199" s="9" t="s">
        <v>1042</v>
      </c>
      <c r="G199" s="9" t="str">
        <f t="shared" si="3"/>
        <v>TBA</v>
      </c>
      <c r="H199" s="10" t="s">
        <v>1129</v>
      </c>
      <c r="I199" s="10" t="s">
        <v>1042</v>
      </c>
      <c r="J199" s="12" t="s">
        <v>1059</v>
      </c>
    </row>
    <row r="200" spans="1:10" x14ac:dyDescent="0.35">
      <c r="A200" s="8"/>
      <c r="B200" s="15" t="s">
        <v>1193</v>
      </c>
      <c r="C200" s="15"/>
      <c r="D200" s="10" t="s">
        <v>1064</v>
      </c>
      <c r="E200" s="14" t="s">
        <v>577</v>
      </c>
      <c r="F200" s="9"/>
      <c r="G200" s="9" t="str">
        <f t="shared" si="3"/>
        <v>TBA</v>
      </c>
      <c r="H200" s="10" t="s">
        <v>1129</v>
      </c>
      <c r="I200" s="10" t="s">
        <v>1065</v>
      </c>
      <c r="J200" s="12" t="s">
        <v>1032</v>
      </c>
    </row>
    <row r="201" spans="1:10" x14ac:dyDescent="0.35">
      <c r="A201" s="8"/>
      <c r="B201" s="9" t="s">
        <v>1194</v>
      </c>
      <c r="C201" s="9"/>
      <c r="D201" s="10" t="s">
        <v>1041</v>
      </c>
      <c r="E201" s="9" t="s">
        <v>503</v>
      </c>
      <c r="F201" s="9" t="s">
        <v>1042</v>
      </c>
      <c r="G201" s="9" t="str">
        <f t="shared" si="3"/>
        <v>TBA</v>
      </c>
      <c r="H201" s="10" t="s">
        <v>1129</v>
      </c>
      <c r="I201" s="10" t="s">
        <v>1042</v>
      </c>
      <c r="J201" s="12" t="s">
        <v>1032</v>
      </c>
    </row>
    <row r="202" spans="1:10" x14ac:dyDescent="0.35">
      <c r="A202" s="8"/>
      <c r="B202" s="15" t="s">
        <v>569</v>
      </c>
      <c r="C202" s="15"/>
      <c r="D202" s="10" t="s">
        <v>1064</v>
      </c>
      <c r="E202" s="14" t="s">
        <v>577</v>
      </c>
      <c r="F202" s="9"/>
      <c r="G202" s="9" t="str">
        <f t="shared" si="3"/>
        <v>TBA</v>
      </c>
      <c r="H202" s="10" t="s">
        <v>1129</v>
      </c>
      <c r="I202" s="10" t="s">
        <v>1065</v>
      </c>
      <c r="J202" s="12" t="s">
        <v>1032</v>
      </c>
    </row>
    <row r="203" spans="1:10" x14ac:dyDescent="0.35">
      <c r="A203" s="8"/>
      <c r="B203" s="9" t="s">
        <v>1195</v>
      </c>
      <c r="C203" s="9"/>
      <c r="D203" s="10" t="s">
        <v>1041</v>
      </c>
      <c r="E203" s="9" t="s">
        <v>1042</v>
      </c>
      <c r="F203" s="9" t="s">
        <v>1042</v>
      </c>
      <c r="G203" s="9" t="str">
        <f t="shared" si="3"/>
        <v>TBA</v>
      </c>
      <c r="H203" s="10" t="s">
        <v>1129</v>
      </c>
      <c r="I203" s="10" t="s">
        <v>1042</v>
      </c>
      <c r="J203" s="12" t="s">
        <v>1032</v>
      </c>
    </row>
    <row r="204" spans="1:10" x14ac:dyDescent="0.35">
      <c r="A204" s="8"/>
      <c r="B204" s="9" t="s">
        <v>406</v>
      </c>
      <c r="C204" s="9"/>
      <c r="D204" s="10" t="s">
        <v>1137</v>
      </c>
      <c r="E204" s="10"/>
      <c r="F204" s="9" t="s">
        <v>1058</v>
      </c>
      <c r="G204" s="9" t="str">
        <f t="shared" si="3"/>
        <v>TBA</v>
      </c>
      <c r="H204" s="10" t="s">
        <v>1129</v>
      </c>
      <c r="I204" s="10" t="s">
        <v>1084</v>
      </c>
      <c r="J204" s="12" t="s">
        <v>1032</v>
      </c>
    </row>
    <row r="205" spans="1:10" x14ac:dyDescent="0.35">
      <c r="A205" s="8"/>
      <c r="B205" s="9" t="s">
        <v>1196</v>
      </c>
      <c r="C205" s="9"/>
      <c r="D205" s="10" t="s">
        <v>1137</v>
      </c>
      <c r="E205" s="11" t="s">
        <v>104</v>
      </c>
      <c r="F205" s="9" t="s">
        <v>1058</v>
      </c>
      <c r="G205" s="9" t="str">
        <f t="shared" si="3"/>
        <v>TBA</v>
      </c>
      <c r="H205" s="10" t="s">
        <v>1129</v>
      </c>
      <c r="I205" s="10" t="s">
        <v>1084</v>
      </c>
      <c r="J205" s="12" t="s">
        <v>1032</v>
      </c>
    </row>
    <row r="206" spans="1:10" x14ac:dyDescent="0.35">
      <c r="A206" s="8"/>
      <c r="B206" s="9" t="s">
        <v>1197</v>
      </c>
      <c r="C206" s="9"/>
      <c r="D206" s="10" t="s">
        <v>1137</v>
      </c>
      <c r="E206" s="9"/>
      <c r="F206" s="9" t="s">
        <v>1058</v>
      </c>
      <c r="G206" s="9" t="str">
        <f t="shared" si="3"/>
        <v>TBA</v>
      </c>
      <c r="H206" s="10" t="s">
        <v>1129</v>
      </c>
      <c r="I206" s="10" t="s">
        <v>1084</v>
      </c>
      <c r="J206" s="12" t="s">
        <v>1032</v>
      </c>
    </row>
    <row r="207" spans="1:10" x14ac:dyDescent="0.35">
      <c r="A207" s="8"/>
      <c r="B207" s="9" t="s">
        <v>1198</v>
      </c>
      <c r="C207" s="9"/>
      <c r="D207" s="10" t="s">
        <v>1137</v>
      </c>
      <c r="E207" s="10" t="s">
        <v>1199</v>
      </c>
      <c r="F207" s="9" t="s">
        <v>1058</v>
      </c>
      <c r="G207" s="9" t="str">
        <f t="shared" si="3"/>
        <v>TBA</v>
      </c>
      <c r="H207" s="10" t="s">
        <v>1129</v>
      </c>
      <c r="I207" s="10" t="s">
        <v>1084</v>
      </c>
      <c r="J207" s="12" t="s">
        <v>1032</v>
      </c>
    </row>
    <row r="208" spans="1:10" x14ac:dyDescent="0.35">
      <c r="A208" s="8"/>
      <c r="B208" s="9" t="s">
        <v>1200</v>
      </c>
      <c r="C208" s="9"/>
      <c r="D208" s="10" t="s">
        <v>1038</v>
      </c>
      <c r="E208" s="10"/>
      <c r="F208" s="9" t="s">
        <v>1058</v>
      </c>
      <c r="G208" s="9" t="str">
        <f t="shared" si="3"/>
        <v>TBA</v>
      </c>
      <c r="H208" s="10" t="s">
        <v>1129</v>
      </c>
      <c r="I208" s="10" t="s">
        <v>1038</v>
      </c>
      <c r="J208" s="12" t="s">
        <v>1032</v>
      </c>
    </row>
    <row r="209" spans="1:10" x14ac:dyDescent="0.35">
      <c r="A209" s="8"/>
      <c r="B209" s="10" t="s">
        <v>1201</v>
      </c>
      <c r="C209" s="10"/>
      <c r="D209" s="10" t="s">
        <v>1038</v>
      </c>
      <c r="E209" s="10" t="s">
        <v>145</v>
      </c>
      <c r="F209" s="9" t="s">
        <v>1058</v>
      </c>
      <c r="G209" s="9" t="str">
        <f t="shared" si="3"/>
        <v>TBA</v>
      </c>
      <c r="H209" s="10" t="s">
        <v>1129</v>
      </c>
      <c r="I209" s="10" t="s">
        <v>1038</v>
      </c>
      <c r="J209" s="12" t="s">
        <v>1032</v>
      </c>
    </row>
    <row r="210" spans="1:10" x14ac:dyDescent="0.35">
      <c r="A210" s="8"/>
      <c r="B210" s="10" t="s">
        <v>28</v>
      </c>
      <c r="C210" s="10"/>
      <c r="D210" s="10" t="s">
        <v>1137</v>
      </c>
      <c r="E210" s="10"/>
      <c r="F210" s="9" t="s">
        <v>1058</v>
      </c>
      <c r="G210" s="9" t="str">
        <f t="shared" si="3"/>
        <v>TBA</v>
      </c>
      <c r="H210" s="10" t="s">
        <v>1129</v>
      </c>
      <c r="I210" s="10" t="s">
        <v>1038</v>
      </c>
      <c r="J210" s="12" t="s">
        <v>1032</v>
      </c>
    </row>
    <row r="211" spans="1:10" x14ac:dyDescent="0.35">
      <c r="A211" s="8"/>
      <c r="B211" s="18" t="s">
        <v>1202</v>
      </c>
      <c r="C211" s="18"/>
      <c r="D211" s="10" t="s">
        <v>1038</v>
      </c>
      <c r="E211" s="9"/>
      <c r="F211" s="9" t="s">
        <v>1203</v>
      </c>
      <c r="G211" s="9" t="str">
        <f t="shared" si="3"/>
        <v>TBA</v>
      </c>
      <c r="H211" s="10" t="s">
        <v>1129</v>
      </c>
      <c r="I211" s="10" t="s">
        <v>1038</v>
      </c>
      <c r="J211" s="9" t="s">
        <v>1059</v>
      </c>
    </row>
    <row r="212" spans="1:10" x14ac:dyDescent="0.35">
      <c r="A212" s="8"/>
      <c r="B212" s="18" t="s">
        <v>1204</v>
      </c>
      <c r="C212" s="18"/>
      <c r="D212" s="10" t="s">
        <v>1038</v>
      </c>
      <c r="E212" s="9"/>
      <c r="F212" s="9" t="s">
        <v>1203</v>
      </c>
      <c r="G212" s="9" t="str">
        <f t="shared" si="3"/>
        <v>TBA</v>
      </c>
      <c r="H212" s="10" t="s">
        <v>1129</v>
      </c>
      <c r="I212" s="10" t="s">
        <v>1038</v>
      </c>
      <c r="J212" s="9" t="s">
        <v>1059</v>
      </c>
    </row>
    <row r="213" spans="1:10" x14ac:dyDescent="0.35">
      <c r="A213" s="8"/>
      <c r="B213" s="19" t="s">
        <v>1205</v>
      </c>
      <c r="C213" s="19"/>
      <c r="D213" s="10" t="s">
        <v>1137</v>
      </c>
      <c r="E213" s="9" t="s">
        <v>145</v>
      </c>
      <c r="F213" s="9" t="s">
        <v>1058</v>
      </c>
      <c r="G213" s="9" t="str">
        <f t="shared" si="3"/>
        <v>TBA</v>
      </c>
      <c r="H213" s="10" t="s">
        <v>1129</v>
      </c>
      <c r="I213" s="10" t="s">
        <v>1084</v>
      </c>
      <c r="J213" s="9" t="s">
        <v>1059</v>
      </c>
    </row>
    <row r="214" spans="1:10" x14ac:dyDescent="0.35">
      <c r="A214" s="8"/>
      <c r="B214" s="9" t="s">
        <v>1206</v>
      </c>
      <c r="C214" s="9"/>
      <c r="D214" s="10" t="s">
        <v>1038</v>
      </c>
      <c r="E214" s="10"/>
      <c r="F214" s="9"/>
      <c r="G214" s="9" t="str">
        <f t="shared" si="3"/>
        <v>TBA</v>
      </c>
      <c r="H214" s="10"/>
      <c r="I214" s="10" t="s">
        <v>1038</v>
      </c>
      <c r="J214" s="12" t="s">
        <v>1103</v>
      </c>
    </row>
    <row r="215" spans="1:10" x14ac:dyDescent="0.35">
      <c r="A215" s="8"/>
      <c r="B215" s="9" t="s">
        <v>384</v>
      </c>
      <c r="C215" s="9"/>
      <c r="D215" s="10" t="s">
        <v>1036</v>
      </c>
      <c r="E215" s="11" t="s">
        <v>104</v>
      </c>
      <c r="F215" s="9" t="s">
        <v>1030</v>
      </c>
      <c r="G215" s="9" t="str">
        <f t="shared" si="3"/>
        <v>TBA</v>
      </c>
      <c r="H215" s="10" t="s">
        <v>1031</v>
      </c>
      <c r="I215" s="10" t="s">
        <v>30</v>
      </c>
      <c r="J215" s="12" t="s">
        <v>1053</v>
      </c>
    </row>
    <row r="216" spans="1:10" x14ac:dyDescent="0.35">
      <c r="A216" s="8"/>
      <c r="B216" s="9" t="s">
        <v>524</v>
      </c>
      <c r="C216" s="9"/>
      <c r="D216" s="10" t="s">
        <v>1036</v>
      </c>
      <c r="E216" s="10" t="s">
        <v>104</v>
      </c>
      <c r="F216" s="9" t="s">
        <v>1030</v>
      </c>
      <c r="G216" s="9" t="str">
        <f t="shared" si="3"/>
        <v>TBA</v>
      </c>
      <c r="H216" s="10" t="s">
        <v>1031</v>
      </c>
      <c r="I216" s="10" t="s">
        <v>30</v>
      </c>
      <c r="J216" s="12" t="s">
        <v>1053</v>
      </c>
    </row>
    <row r="217" spans="1:10" x14ac:dyDescent="0.35">
      <c r="A217" s="8"/>
      <c r="B217" s="9" t="s">
        <v>1207</v>
      </c>
      <c r="C217" s="9"/>
      <c r="D217" s="10" t="s">
        <v>1038</v>
      </c>
      <c r="E217" s="10" t="s">
        <v>502</v>
      </c>
      <c r="F217" s="9" t="s">
        <v>1062</v>
      </c>
      <c r="G217" s="9" t="str">
        <f t="shared" si="3"/>
        <v>TBA</v>
      </c>
      <c r="H217" s="10" t="s">
        <v>1031</v>
      </c>
      <c r="I217" s="10" t="s">
        <v>1038</v>
      </c>
      <c r="J217" s="12" t="s">
        <v>1032</v>
      </c>
    </row>
    <row r="218" spans="1:10" x14ac:dyDescent="0.35">
      <c r="A218" s="8"/>
      <c r="B218" s="9" t="s">
        <v>1208</v>
      </c>
      <c r="C218" s="9"/>
      <c r="D218" s="10" t="s">
        <v>1038</v>
      </c>
      <c r="E218" s="10" t="s">
        <v>502</v>
      </c>
      <c r="F218" s="9" t="s">
        <v>1062</v>
      </c>
      <c r="G218" s="9" t="str">
        <f t="shared" si="3"/>
        <v>TBA</v>
      </c>
      <c r="H218" s="10" t="s">
        <v>1031</v>
      </c>
      <c r="I218" s="10" t="s">
        <v>1038</v>
      </c>
      <c r="J218" s="12" t="s">
        <v>1053</v>
      </c>
    </row>
    <row r="219" spans="1:10" x14ac:dyDescent="0.35">
      <c r="A219" s="8"/>
      <c r="B219" s="9" t="s">
        <v>249</v>
      </c>
      <c r="C219" s="9"/>
      <c r="D219" s="10" t="s">
        <v>1077</v>
      </c>
      <c r="E219" s="10" t="s">
        <v>502</v>
      </c>
      <c r="F219" s="9" t="s">
        <v>1062</v>
      </c>
      <c r="G219" s="9" t="str">
        <f t="shared" si="3"/>
        <v>TBA</v>
      </c>
      <c r="H219" s="10" t="s">
        <v>1031</v>
      </c>
      <c r="I219" s="10" t="s">
        <v>1038</v>
      </c>
      <c r="J219" s="12" t="s">
        <v>1053</v>
      </c>
    </row>
    <row r="220" spans="1:10" x14ac:dyDescent="0.35">
      <c r="A220" s="8"/>
      <c r="B220" s="9" t="s">
        <v>1209</v>
      </c>
      <c r="C220" s="9"/>
      <c r="D220" s="10" t="s">
        <v>1038</v>
      </c>
      <c r="E220" s="10" t="s">
        <v>502</v>
      </c>
      <c r="F220" s="9" t="s">
        <v>1062</v>
      </c>
      <c r="G220" s="9" t="str">
        <f t="shared" si="3"/>
        <v>TBA</v>
      </c>
      <c r="H220" s="10" t="s">
        <v>1031</v>
      </c>
      <c r="I220" s="10" t="s">
        <v>1038</v>
      </c>
      <c r="J220" s="12" t="s">
        <v>1053</v>
      </c>
    </row>
    <row r="221" spans="1:10" x14ac:dyDescent="0.35">
      <c r="A221" s="8"/>
      <c r="B221" s="9" t="s">
        <v>1210</v>
      </c>
      <c r="C221" s="9"/>
      <c r="D221" s="10" t="s">
        <v>1038</v>
      </c>
      <c r="E221" s="10" t="s">
        <v>502</v>
      </c>
      <c r="F221" s="9" t="s">
        <v>1062</v>
      </c>
      <c r="G221" s="9" t="str">
        <f t="shared" si="3"/>
        <v>TBA</v>
      </c>
      <c r="H221" s="10" t="s">
        <v>1031</v>
      </c>
      <c r="I221" s="10" t="s">
        <v>1038</v>
      </c>
      <c r="J221" s="12" t="s">
        <v>1053</v>
      </c>
    </row>
    <row r="222" spans="1:10" x14ac:dyDescent="0.35">
      <c r="A222" s="8"/>
      <c r="B222" s="9" t="s">
        <v>1211</v>
      </c>
      <c r="C222" s="9"/>
      <c r="D222" s="10" t="s">
        <v>1038</v>
      </c>
      <c r="E222" s="10" t="s">
        <v>502</v>
      </c>
      <c r="F222" s="9" t="s">
        <v>1062</v>
      </c>
      <c r="G222" s="9" t="str">
        <f t="shared" si="3"/>
        <v>TBA</v>
      </c>
      <c r="H222" s="10" t="s">
        <v>1031</v>
      </c>
      <c r="I222" s="10" t="s">
        <v>1038</v>
      </c>
      <c r="J222" s="12" t="s">
        <v>1053</v>
      </c>
    </row>
    <row r="223" spans="1:10" x14ac:dyDescent="0.35">
      <c r="A223" s="8"/>
      <c r="B223" s="9" t="s">
        <v>1212</v>
      </c>
      <c r="C223" s="9"/>
      <c r="D223" s="10" t="s">
        <v>1038</v>
      </c>
      <c r="E223" s="10" t="s">
        <v>502</v>
      </c>
      <c r="F223" s="9" t="s">
        <v>1062</v>
      </c>
      <c r="G223" s="9" t="str">
        <f t="shared" si="3"/>
        <v>TBA</v>
      </c>
      <c r="H223" s="10" t="s">
        <v>1031</v>
      </c>
      <c r="I223" s="10" t="s">
        <v>1038</v>
      </c>
      <c r="J223" s="12" t="s">
        <v>1053</v>
      </c>
    </row>
    <row r="224" spans="1:10" x14ac:dyDescent="0.35">
      <c r="A224" s="20"/>
      <c r="B224" s="15" t="s">
        <v>102</v>
      </c>
      <c r="C224" s="15"/>
      <c r="D224" s="21" t="s">
        <v>39</v>
      </c>
      <c r="E224" s="21" t="s">
        <v>502</v>
      </c>
      <c r="F224" s="15" t="s">
        <v>1062</v>
      </c>
      <c r="G224" s="15" t="str">
        <f t="shared" si="3"/>
        <v>TBA</v>
      </c>
      <c r="H224" s="21" t="s">
        <v>1031</v>
      </c>
      <c r="I224" s="21" t="s">
        <v>39</v>
      </c>
      <c r="J224" s="22" t="s">
        <v>1053</v>
      </c>
    </row>
    <row r="225" spans="1:10" x14ac:dyDescent="0.35">
      <c r="A225" s="8"/>
      <c r="B225" s="9" t="s">
        <v>63</v>
      </c>
      <c r="C225" s="9"/>
      <c r="D225" s="10" t="s">
        <v>446</v>
      </c>
      <c r="E225" s="10" t="s">
        <v>502</v>
      </c>
      <c r="F225" s="9" t="s">
        <v>1062</v>
      </c>
      <c r="G225" s="9" t="str">
        <f t="shared" si="3"/>
        <v>TBA</v>
      </c>
      <c r="H225" s="10" t="s">
        <v>1031</v>
      </c>
      <c r="I225" s="10" t="s">
        <v>1038</v>
      </c>
      <c r="J225" s="12" t="s">
        <v>1053</v>
      </c>
    </row>
    <row r="226" spans="1:10" x14ac:dyDescent="0.35">
      <c r="A226" s="8"/>
      <c r="B226" s="9" t="s">
        <v>1213</v>
      </c>
      <c r="C226" s="9"/>
      <c r="D226" s="10" t="s">
        <v>1038</v>
      </c>
      <c r="E226" s="10" t="s">
        <v>502</v>
      </c>
      <c r="F226" s="9" t="s">
        <v>1062</v>
      </c>
      <c r="G226" s="9" t="str">
        <f t="shared" si="3"/>
        <v>TBA</v>
      </c>
      <c r="H226" s="10" t="s">
        <v>1031</v>
      </c>
      <c r="I226" s="10" t="s">
        <v>1038</v>
      </c>
      <c r="J226" s="12" t="s">
        <v>1032</v>
      </c>
    </row>
    <row r="227" spans="1:10" x14ac:dyDescent="0.35">
      <c r="A227" s="8"/>
      <c r="B227" s="9" t="s">
        <v>266</v>
      </c>
      <c r="C227" s="9"/>
      <c r="D227" s="10" t="s">
        <v>1038</v>
      </c>
      <c r="E227" s="10" t="s">
        <v>502</v>
      </c>
      <c r="F227" s="9" t="s">
        <v>1062</v>
      </c>
      <c r="G227" s="9" t="str">
        <f t="shared" si="3"/>
        <v>TBA</v>
      </c>
      <c r="H227" s="10" t="s">
        <v>1031</v>
      </c>
      <c r="I227" s="10" t="s">
        <v>1038</v>
      </c>
      <c r="J227" s="12" t="s">
        <v>1032</v>
      </c>
    </row>
    <row r="228" spans="1:10" x14ac:dyDescent="0.35">
      <c r="A228" s="8"/>
      <c r="B228" s="9" t="s">
        <v>47</v>
      </c>
      <c r="C228" s="9"/>
      <c r="D228" s="10" t="s">
        <v>1038</v>
      </c>
      <c r="E228" s="10" t="s">
        <v>502</v>
      </c>
      <c r="F228" s="9" t="s">
        <v>1062</v>
      </c>
      <c r="G228" s="9" t="str">
        <f t="shared" si="3"/>
        <v>TBA</v>
      </c>
      <c r="H228" s="10" t="s">
        <v>1031</v>
      </c>
      <c r="I228" s="10" t="s">
        <v>1038</v>
      </c>
      <c r="J228" s="12" t="s">
        <v>1053</v>
      </c>
    </row>
    <row r="229" spans="1:10" x14ac:dyDescent="0.35">
      <c r="A229" s="8"/>
      <c r="B229" s="9" t="s">
        <v>326</v>
      </c>
      <c r="C229" s="9"/>
      <c r="D229" s="10" t="s">
        <v>293</v>
      </c>
      <c r="E229" s="10"/>
      <c r="F229" s="9" t="s">
        <v>1039</v>
      </c>
      <c r="G229" s="9" t="str">
        <f t="shared" si="3"/>
        <v>TBA</v>
      </c>
      <c r="H229" s="10" t="s">
        <v>1031</v>
      </c>
      <c r="I229" s="10" t="s">
        <v>1044</v>
      </c>
      <c r="J229" s="12" t="s">
        <v>1032</v>
      </c>
    </row>
    <row r="230" spans="1:10" x14ac:dyDescent="0.35">
      <c r="A230" s="8"/>
      <c r="B230" s="9" t="s">
        <v>495</v>
      </c>
      <c r="C230" s="9"/>
      <c r="D230" s="10" t="s">
        <v>1037</v>
      </c>
      <c r="E230" s="10" t="s">
        <v>1034</v>
      </c>
      <c r="F230" s="9" t="s">
        <v>1030</v>
      </c>
      <c r="G230" s="9" t="str">
        <f t="shared" si="3"/>
        <v>TBA</v>
      </c>
      <c r="H230" s="10" t="s">
        <v>1031</v>
      </c>
      <c r="I230" s="10" t="s">
        <v>39</v>
      </c>
      <c r="J230" s="12" t="s">
        <v>1053</v>
      </c>
    </row>
    <row r="231" spans="1:10" x14ac:dyDescent="0.35">
      <c r="A231" s="8"/>
      <c r="B231" s="9" t="s">
        <v>49</v>
      </c>
      <c r="C231" s="9"/>
      <c r="D231" s="10" t="s">
        <v>1037</v>
      </c>
      <c r="E231" s="10" t="s">
        <v>1034</v>
      </c>
      <c r="F231" s="9" t="s">
        <v>1030</v>
      </c>
      <c r="G231" s="9" t="str">
        <f t="shared" si="3"/>
        <v>TBA</v>
      </c>
      <c r="H231" s="10" t="s">
        <v>1031</v>
      </c>
      <c r="I231" s="10" t="s">
        <v>39</v>
      </c>
      <c r="J231" s="12" t="s">
        <v>1053</v>
      </c>
    </row>
    <row r="232" spans="1:10" x14ac:dyDescent="0.35">
      <c r="A232" s="8"/>
      <c r="B232" s="9" t="s">
        <v>139</v>
      </c>
      <c r="C232" s="9"/>
      <c r="D232" s="10" t="s">
        <v>1036</v>
      </c>
      <c r="E232" s="11" t="s">
        <v>104</v>
      </c>
      <c r="F232" s="9" t="s">
        <v>1030</v>
      </c>
      <c r="G232" s="9" t="str">
        <f t="shared" si="3"/>
        <v>TBA</v>
      </c>
      <c r="H232" s="10" t="s">
        <v>1031</v>
      </c>
      <c r="I232" s="10" t="s">
        <v>30</v>
      </c>
      <c r="J232" s="12" t="s">
        <v>1053</v>
      </c>
    </row>
    <row r="233" spans="1:10" x14ac:dyDescent="0.35">
      <c r="A233" s="8"/>
      <c r="B233" s="9" t="s">
        <v>116</v>
      </c>
      <c r="C233" s="9"/>
      <c r="D233" s="10" t="s">
        <v>1033</v>
      </c>
      <c r="E233" s="10" t="s">
        <v>1034</v>
      </c>
      <c r="F233" s="9" t="s">
        <v>1030</v>
      </c>
      <c r="G233" s="9" t="str">
        <f t="shared" si="3"/>
        <v>TBA</v>
      </c>
      <c r="H233" s="10" t="s">
        <v>1031</v>
      </c>
      <c r="I233" s="10" t="s">
        <v>39</v>
      </c>
      <c r="J233" s="12" t="s">
        <v>1053</v>
      </c>
    </row>
    <row r="234" spans="1:10" x14ac:dyDescent="0.35">
      <c r="A234" s="8"/>
      <c r="B234" s="9" t="s">
        <v>1214</v>
      </c>
      <c r="C234" s="9"/>
      <c r="D234" s="10" t="s">
        <v>1038</v>
      </c>
      <c r="E234" s="9" t="s">
        <v>117</v>
      </c>
      <c r="F234" s="9" t="s">
        <v>1062</v>
      </c>
      <c r="G234" s="9" t="str">
        <f t="shared" si="3"/>
        <v>TBA</v>
      </c>
      <c r="H234" s="10" t="s">
        <v>1031</v>
      </c>
      <c r="I234" s="10" t="s">
        <v>1038</v>
      </c>
      <c r="J234" s="12" t="s">
        <v>1032</v>
      </c>
    </row>
    <row r="235" spans="1:10" x14ac:dyDescent="0.35">
      <c r="A235" s="8"/>
      <c r="B235" s="14" t="s">
        <v>1215</v>
      </c>
      <c r="C235" s="14"/>
      <c r="D235" s="10" t="s">
        <v>1041</v>
      </c>
      <c r="E235" s="9"/>
      <c r="F235" s="9" t="s">
        <v>1042</v>
      </c>
      <c r="G235" s="9" t="str">
        <f t="shared" si="3"/>
        <v>TBA</v>
      </c>
      <c r="H235" s="10" t="s">
        <v>1103</v>
      </c>
      <c r="I235" s="10" t="s">
        <v>1042</v>
      </c>
      <c r="J235" s="12" t="s">
        <v>1103</v>
      </c>
    </row>
    <row r="236" spans="1:10" x14ac:dyDescent="0.35">
      <c r="A236" s="8"/>
      <c r="B236" s="9" t="s">
        <v>1216</v>
      </c>
      <c r="C236" s="9"/>
      <c r="D236" s="10" t="s">
        <v>1041</v>
      </c>
      <c r="E236" s="9"/>
      <c r="F236" s="9" t="s">
        <v>1042</v>
      </c>
      <c r="G236" s="9" t="str">
        <f t="shared" si="3"/>
        <v>TBA</v>
      </c>
      <c r="H236" s="10" t="s">
        <v>1103</v>
      </c>
      <c r="I236" s="10" t="s">
        <v>1042</v>
      </c>
      <c r="J236" s="12" t="s">
        <v>1103</v>
      </c>
    </row>
    <row r="237" spans="1:10" x14ac:dyDescent="0.35">
      <c r="A237" s="8"/>
      <c r="B237" s="14" t="s">
        <v>1217</v>
      </c>
      <c r="C237" s="14"/>
      <c r="D237" s="10" t="s">
        <v>150</v>
      </c>
      <c r="E237" s="10" t="s">
        <v>1163</v>
      </c>
      <c r="F237" s="9" t="s">
        <v>1120</v>
      </c>
      <c r="G237" s="9" t="str">
        <f t="shared" si="3"/>
        <v>TBA</v>
      </c>
      <c r="H237" s="10" t="e">
        <v>#N/A</v>
      </c>
      <c r="I237" s="10" t="s">
        <v>1038</v>
      </c>
      <c r="J237" s="12" t="s">
        <v>1103</v>
      </c>
    </row>
    <row r="238" spans="1:10" x14ac:dyDescent="0.35">
      <c r="A238" s="8"/>
      <c r="B238" s="14" t="s">
        <v>1218</v>
      </c>
      <c r="C238" s="14"/>
      <c r="D238" s="10" t="s">
        <v>150</v>
      </c>
      <c r="E238" s="10" t="s">
        <v>1163</v>
      </c>
      <c r="F238" s="9" t="s">
        <v>1120</v>
      </c>
      <c r="G238" s="9" t="str">
        <f t="shared" si="3"/>
        <v>TBA</v>
      </c>
      <c r="H238" s="10" t="e">
        <v>#N/A</v>
      </c>
      <c r="I238" s="10" t="s">
        <v>1038</v>
      </c>
      <c r="J238" s="12" t="s">
        <v>1103</v>
      </c>
    </row>
    <row r="239" spans="1:10" x14ac:dyDescent="0.35">
      <c r="A239" s="8"/>
      <c r="B239" s="14" t="s">
        <v>1219</v>
      </c>
      <c r="C239" s="14"/>
      <c r="D239" s="10" t="s">
        <v>150</v>
      </c>
      <c r="E239" s="10" t="s">
        <v>1163</v>
      </c>
      <c r="F239" s="9" t="s">
        <v>1120</v>
      </c>
      <c r="G239" s="9" t="str">
        <f t="shared" si="3"/>
        <v>TBA</v>
      </c>
      <c r="H239" s="10" t="e">
        <v>#N/A</v>
      </c>
      <c r="I239" s="10" t="s">
        <v>1038</v>
      </c>
      <c r="J239" s="12" t="s">
        <v>1103</v>
      </c>
    </row>
    <row r="240" spans="1:10" x14ac:dyDescent="0.35">
      <c r="A240" s="8"/>
      <c r="B240" s="9" t="s">
        <v>1220</v>
      </c>
      <c r="C240" s="9"/>
      <c r="D240" s="10" t="s">
        <v>150</v>
      </c>
      <c r="E240" s="10" t="s">
        <v>1163</v>
      </c>
      <c r="F240" s="9" t="s">
        <v>1120</v>
      </c>
      <c r="G240" s="9" t="str">
        <f t="shared" si="3"/>
        <v>TBA</v>
      </c>
      <c r="H240" s="10" t="e">
        <v>#N/A</v>
      </c>
      <c r="I240" s="10" t="s">
        <v>1038</v>
      </c>
      <c r="J240" s="12" t="s">
        <v>1103</v>
      </c>
    </row>
    <row r="241" spans="1:10" x14ac:dyDescent="0.35">
      <c r="A241" s="8"/>
      <c r="B241" s="9" t="s">
        <v>1221</v>
      </c>
      <c r="C241" s="9"/>
      <c r="D241" s="10" t="s">
        <v>860</v>
      </c>
      <c r="E241" s="9" t="s">
        <v>104</v>
      </c>
      <c r="F241" s="9" t="s">
        <v>1030</v>
      </c>
      <c r="G241" s="9" t="str">
        <f t="shared" si="3"/>
        <v>TBA</v>
      </c>
      <c r="H241" s="10" t="s">
        <v>1031</v>
      </c>
      <c r="I241" s="10" t="s">
        <v>30</v>
      </c>
      <c r="J241" s="12" t="s">
        <v>1059</v>
      </c>
    </row>
    <row r="242" spans="1:10" x14ac:dyDescent="0.35">
      <c r="A242" s="8"/>
      <c r="B242" s="14" t="s">
        <v>1222</v>
      </c>
      <c r="C242" s="14"/>
      <c r="D242" s="10" t="s">
        <v>150</v>
      </c>
      <c r="E242" s="10" t="s">
        <v>1163</v>
      </c>
      <c r="F242" s="9" t="s">
        <v>1120</v>
      </c>
      <c r="G242" s="9" t="str">
        <f t="shared" si="3"/>
        <v>TBA</v>
      </c>
      <c r="H242" s="10" t="e">
        <v>#N/A</v>
      </c>
      <c r="I242" s="10" t="s">
        <v>1038</v>
      </c>
      <c r="J242" s="12" t="s">
        <v>1103</v>
      </c>
    </row>
    <row r="243" spans="1:10" x14ac:dyDescent="0.35">
      <c r="A243" s="8"/>
      <c r="B243" s="9" t="s">
        <v>1223</v>
      </c>
      <c r="C243" s="9"/>
      <c r="D243" s="10" t="s">
        <v>150</v>
      </c>
      <c r="E243" s="10" t="s">
        <v>1163</v>
      </c>
      <c r="F243" s="9" t="s">
        <v>1120</v>
      </c>
      <c r="G243" s="9" t="str">
        <f t="shared" si="3"/>
        <v>TBA</v>
      </c>
      <c r="H243" s="10" t="e">
        <v>#N/A</v>
      </c>
      <c r="I243" s="10" t="s">
        <v>1038</v>
      </c>
      <c r="J243" s="12" t="s">
        <v>1103</v>
      </c>
    </row>
    <row r="244" spans="1:10" x14ac:dyDescent="0.35">
      <c r="A244" s="8"/>
      <c r="B244" s="9" t="s">
        <v>1224</v>
      </c>
      <c r="C244" s="9"/>
      <c r="D244" s="10" t="s">
        <v>150</v>
      </c>
      <c r="E244" s="10" t="s">
        <v>1163</v>
      </c>
      <c r="F244" s="9" t="s">
        <v>1120</v>
      </c>
      <c r="G244" s="9" t="str">
        <f t="shared" si="3"/>
        <v>TBA</v>
      </c>
      <c r="H244" s="10" t="e">
        <v>#N/A</v>
      </c>
      <c r="I244" s="10" t="s">
        <v>1038</v>
      </c>
      <c r="J244" s="12" t="s">
        <v>1103</v>
      </c>
    </row>
    <row r="245" spans="1:10" x14ac:dyDescent="0.35">
      <c r="A245" s="8"/>
      <c r="B245" s="14" t="s">
        <v>1225</v>
      </c>
      <c r="C245" s="14"/>
      <c r="D245" s="10" t="s">
        <v>150</v>
      </c>
      <c r="E245" s="10" t="s">
        <v>1163</v>
      </c>
      <c r="F245" s="9" t="s">
        <v>1120</v>
      </c>
      <c r="G245" s="9" t="str">
        <f t="shared" si="3"/>
        <v>TBA</v>
      </c>
      <c r="H245" s="10" t="e">
        <v>#N/A</v>
      </c>
      <c r="I245" s="10" t="s">
        <v>1038</v>
      </c>
      <c r="J245" s="12" t="s">
        <v>1103</v>
      </c>
    </row>
    <row r="246" spans="1:10" x14ac:dyDescent="0.35">
      <c r="A246" s="8"/>
      <c r="B246" s="14" t="s">
        <v>1226</v>
      </c>
      <c r="C246" s="14"/>
      <c r="D246" s="10" t="s">
        <v>150</v>
      </c>
      <c r="E246" s="10" t="s">
        <v>1163</v>
      </c>
      <c r="F246" s="9" t="s">
        <v>1120</v>
      </c>
      <c r="G246" s="9" t="str">
        <f t="shared" si="3"/>
        <v>TBA</v>
      </c>
      <c r="H246" s="10" t="e">
        <v>#N/A</v>
      </c>
      <c r="I246" s="10" t="s">
        <v>1038</v>
      </c>
      <c r="J246" s="12" t="s">
        <v>1103</v>
      </c>
    </row>
    <row r="247" spans="1:10" x14ac:dyDescent="0.35">
      <c r="A247" s="8"/>
      <c r="B247" s="14" t="s">
        <v>1227</v>
      </c>
      <c r="C247" s="14"/>
      <c r="D247" s="10" t="s">
        <v>150</v>
      </c>
      <c r="E247" s="10" t="s">
        <v>1163</v>
      </c>
      <c r="F247" s="9" t="s">
        <v>1120</v>
      </c>
      <c r="G247" s="9" t="str">
        <f t="shared" si="3"/>
        <v>TBA</v>
      </c>
      <c r="H247" s="10" t="e">
        <v>#N/A</v>
      </c>
      <c r="I247" s="10" t="s">
        <v>1038</v>
      </c>
      <c r="J247" s="12" t="s">
        <v>1103</v>
      </c>
    </row>
    <row r="248" spans="1:10" x14ac:dyDescent="0.35">
      <c r="A248" s="8"/>
      <c r="B248" s="9" t="s">
        <v>1228</v>
      </c>
      <c r="C248" s="9"/>
      <c r="D248" s="10" t="s">
        <v>65</v>
      </c>
      <c r="E248" s="11" t="s">
        <v>89</v>
      </c>
      <c r="F248" s="9" t="s">
        <v>1079</v>
      </c>
      <c r="G248" s="9" t="str">
        <f t="shared" si="3"/>
        <v>TBA</v>
      </c>
      <c r="H248" s="10" t="s">
        <v>1103</v>
      </c>
      <c r="I248" s="10" t="s">
        <v>65</v>
      </c>
      <c r="J248" s="12" t="e">
        <v>#N/A</v>
      </c>
    </row>
    <row r="249" spans="1:10" x14ac:dyDescent="0.35">
      <c r="A249" s="8"/>
      <c r="B249" s="19" t="s">
        <v>1229</v>
      </c>
      <c r="C249" s="19"/>
      <c r="D249" s="10" t="s">
        <v>1071</v>
      </c>
      <c r="E249" s="9" t="s">
        <v>1034</v>
      </c>
      <c r="F249" s="9" t="s">
        <v>1030</v>
      </c>
      <c r="G249" s="9" t="str">
        <f t="shared" si="3"/>
        <v>TBA</v>
      </c>
      <c r="H249" s="10" t="s">
        <v>1031</v>
      </c>
      <c r="I249" s="10" t="s">
        <v>30</v>
      </c>
      <c r="J249" s="12" t="e">
        <v>#N/A</v>
      </c>
    </row>
    <row r="250" spans="1:10" x14ac:dyDescent="0.35">
      <c r="A250" s="8"/>
      <c r="B250" s="19" t="s">
        <v>1230</v>
      </c>
      <c r="C250" s="19"/>
      <c r="D250" s="10" t="s">
        <v>1068</v>
      </c>
      <c r="E250" s="9" t="s">
        <v>114</v>
      </c>
      <c r="F250" s="9" t="s">
        <v>1042</v>
      </c>
      <c r="G250" s="9" t="s">
        <v>1231</v>
      </c>
      <c r="H250" s="10" t="s">
        <v>1031</v>
      </c>
      <c r="I250" s="10" t="s">
        <v>1042</v>
      </c>
      <c r="J250" s="12" t="s">
        <v>1053</v>
      </c>
    </row>
    <row r="251" spans="1:10" x14ac:dyDescent="0.35">
      <c r="A251" s="8"/>
      <c r="B251" s="19" t="s">
        <v>1232</v>
      </c>
      <c r="C251" s="19"/>
      <c r="D251" s="10" t="s">
        <v>1068</v>
      </c>
      <c r="E251" s="9" t="s">
        <v>114</v>
      </c>
      <c r="F251" s="9" t="s">
        <v>1042</v>
      </c>
      <c r="G251" s="9" t="s">
        <v>1231</v>
      </c>
      <c r="H251" s="10" t="s">
        <v>1031</v>
      </c>
      <c r="I251" s="10" t="s">
        <v>1042</v>
      </c>
      <c r="J251" s="12" t="s">
        <v>1053</v>
      </c>
    </row>
    <row r="252" spans="1:10" x14ac:dyDescent="0.35">
      <c r="A252" s="8"/>
      <c r="B252" s="19" t="s">
        <v>1233</v>
      </c>
      <c r="C252" s="19"/>
      <c r="D252" s="10" t="s">
        <v>1068</v>
      </c>
      <c r="E252" s="9" t="s">
        <v>114</v>
      </c>
      <c r="F252" s="9" t="s">
        <v>1042</v>
      </c>
      <c r="G252" s="9" t="s">
        <v>1231</v>
      </c>
      <c r="H252" s="10" t="s">
        <v>1031</v>
      </c>
      <c r="I252" s="10" t="s">
        <v>1042</v>
      </c>
      <c r="J252" s="12" t="s">
        <v>1053</v>
      </c>
    </row>
    <row r="253" spans="1:10" x14ac:dyDescent="0.35">
      <c r="A253" s="8"/>
      <c r="B253" s="19" t="s">
        <v>1234</v>
      </c>
      <c r="C253" s="19"/>
      <c r="D253" s="10" t="s">
        <v>1068</v>
      </c>
      <c r="E253" s="9" t="s">
        <v>114</v>
      </c>
      <c r="F253" s="9" t="s">
        <v>1042</v>
      </c>
      <c r="G253" s="9" t="s">
        <v>1231</v>
      </c>
      <c r="H253" s="10" t="s">
        <v>1031</v>
      </c>
      <c r="I253" s="10" t="s">
        <v>1042</v>
      </c>
      <c r="J253" s="12" t="s">
        <v>1053</v>
      </c>
    </row>
    <row r="254" spans="1:10" x14ac:dyDescent="0.35">
      <c r="A254" s="8"/>
      <c r="B254" s="19" t="s">
        <v>1235</v>
      </c>
      <c r="C254" s="19"/>
      <c r="D254" s="10" t="s">
        <v>1068</v>
      </c>
      <c r="E254" s="9" t="s">
        <v>114</v>
      </c>
      <c r="F254" s="9" t="s">
        <v>1042</v>
      </c>
      <c r="G254" s="9" t="s">
        <v>1231</v>
      </c>
      <c r="H254" s="10" t="s">
        <v>1031</v>
      </c>
      <c r="I254" s="10" t="s">
        <v>1042</v>
      </c>
      <c r="J254" s="12" t="s">
        <v>1053</v>
      </c>
    </row>
    <row r="255" spans="1:10" x14ac:dyDescent="0.35">
      <c r="A255" s="8"/>
      <c r="B255" s="9" t="s">
        <v>1236</v>
      </c>
      <c r="C255" s="9"/>
      <c r="D255" s="10" t="s">
        <v>150</v>
      </c>
      <c r="E255" s="9"/>
      <c r="F255" s="9" t="s">
        <v>1237</v>
      </c>
      <c r="G255" s="9" t="str">
        <f t="shared" ref="G255:G267" si="4">_xlfn.IFNA(VLOOKUP(B255,O:P,2,FALSE),"TBA")</f>
        <v>TBA</v>
      </c>
      <c r="H255" s="10" t="s">
        <v>1142</v>
      </c>
      <c r="I255" s="10" t="s">
        <v>1143</v>
      </c>
      <c r="J255" s="12" t="s">
        <v>1238</v>
      </c>
    </row>
    <row r="256" spans="1:10" x14ac:dyDescent="0.35">
      <c r="A256" s="8"/>
      <c r="B256" s="9" t="s">
        <v>1239</v>
      </c>
      <c r="C256" s="9"/>
      <c r="D256" s="10" t="s">
        <v>150</v>
      </c>
      <c r="E256" s="9"/>
      <c r="F256" s="9" t="s">
        <v>1237</v>
      </c>
      <c r="G256" s="9" t="str">
        <f t="shared" si="4"/>
        <v>TBA</v>
      </c>
      <c r="H256" s="10" t="s">
        <v>1142</v>
      </c>
      <c r="I256" s="10" t="s">
        <v>1143</v>
      </c>
      <c r="J256" s="12" t="s">
        <v>1238</v>
      </c>
    </row>
    <row r="257" spans="1:10" x14ac:dyDescent="0.35">
      <c r="A257" s="8"/>
      <c r="B257" s="9" t="s">
        <v>1240</v>
      </c>
      <c r="C257" s="9"/>
      <c r="D257" s="10" t="s">
        <v>150</v>
      </c>
      <c r="E257" s="9"/>
      <c r="F257" s="9" t="s">
        <v>1237</v>
      </c>
      <c r="G257" s="9" t="str">
        <f t="shared" si="4"/>
        <v>TBA</v>
      </c>
      <c r="H257" s="10" t="s">
        <v>1142</v>
      </c>
      <c r="I257" s="10" t="s">
        <v>1143</v>
      </c>
      <c r="J257" s="12" t="s">
        <v>1238</v>
      </c>
    </row>
    <row r="258" spans="1:10" x14ac:dyDescent="0.35">
      <c r="A258" s="8"/>
      <c r="B258" s="9" t="s">
        <v>1241</v>
      </c>
      <c r="C258" s="9"/>
      <c r="D258" s="10" t="s">
        <v>150</v>
      </c>
      <c r="E258" s="9"/>
      <c r="F258" s="9" t="s">
        <v>1237</v>
      </c>
      <c r="G258" s="9" t="str">
        <f t="shared" si="4"/>
        <v>TBA</v>
      </c>
      <c r="H258" s="10" t="s">
        <v>1142</v>
      </c>
      <c r="I258" s="10" t="s">
        <v>1143</v>
      </c>
      <c r="J258" s="12" t="s">
        <v>1238</v>
      </c>
    </row>
    <row r="259" spans="1:10" x14ac:dyDescent="0.35">
      <c r="A259" s="8"/>
      <c r="B259" s="9" t="s">
        <v>1242</v>
      </c>
      <c r="C259" s="9"/>
      <c r="D259" s="10" t="s">
        <v>150</v>
      </c>
      <c r="E259" s="9"/>
      <c r="F259" s="9" t="s">
        <v>1237</v>
      </c>
      <c r="G259" s="9" t="str">
        <f t="shared" si="4"/>
        <v>TBA</v>
      </c>
      <c r="H259" s="10" t="s">
        <v>1142</v>
      </c>
      <c r="I259" s="10" t="s">
        <v>1143</v>
      </c>
      <c r="J259" s="12" t="s">
        <v>1238</v>
      </c>
    </row>
    <row r="260" spans="1:10" x14ac:dyDescent="0.35">
      <c r="A260" s="8"/>
      <c r="B260" s="9" t="s">
        <v>1243</v>
      </c>
      <c r="C260" s="9"/>
      <c r="D260" s="10" t="s">
        <v>150</v>
      </c>
      <c r="E260" s="9"/>
      <c r="F260" s="9" t="s">
        <v>1237</v>
      </c>
      <c r="G260" s="9" t="str">
        <f t="shared" si="4"/>
        <v>TBA</v>
      </c>
      <c r="H260" s="10" t="s">
        <v>1142</v>
      </c>
      <c r="I260" s="10" t="s">
        <v>1143</v>
      </c>
      <c r="J260" s="12" t="s">
        <v>1238</v>
      </c>
    </row>
    <row r="261" spans="1:10" x14ac:dyDescent="0.35">
      <c r="A261" s="8"/>
      <c r="B261" s="9" t="s">
        <v>1244</v>
      </c>
      <c r="C261" s="9"/>
      <c r="D261" s="10" t="s">
        <v>150</v>
      </c>
      <c r="E261" s="9"/>
      <c r="F261" s="9" t="s">
        <v>1237</v>
      </c>
      <c r="G261" s="9" t="str">
        <f t="shared" si="4"/>
        <v>TBA</v>
      </c>
      <c r="H261" s="10" t="s">
        <v>1142</v>
      </c>
      <c r="I261" s="10" t="s">
        <v>1143</v>
      </c>
      <c r="J261" s="12" t="s">
        <v>1238</v>
      </c>
    </row>
    <row r="262" spans="1:10" x14ac:dyDescent="0.35">
      <c r="A262" s="8"/>
      <c r="B262" s="19" t="s">
        <v>1245</v>
      </c>
      <c r="C262" s="19"/>
      <c r="D262" s="10" t="s">
        <v>1141</v>
      </c>
      <c r="E262" s="9"/>
      <c r="F262" s="9" t="s">
        <v>1246</v>
      </c>
      <c r="G262" s="9" t="str">
        <f t="shared" si="4"/>
        <v>TBA</v>
      </c>
      <c r="H262" s="10" t="s">
        <v>1142</v>
      </c>
      <c r="I262" s="10" t="s">
        <v>1143</v>
      </c>
      <c r="J262" s="12" t="s">
        <v>1144</v>
      </c>
    </row>
    <row r="263" spans="1:10" x14ac:dyDescent="0.35">
      <c r="A263" s="8"/>
      <c r="B263" s="19" t="s">
        <v>1247</v>
      </c>
      <c r="C263" s="19"/>
      <c r="D263" s="10" t="s">
        <v>1141</v>
      </c>
      <c r="E263" s="9"/>
      <c r="F263" s="9" t="s">
        <v>1246</v>
      </c>
      <c r="G263" s="9" t="str">
        <f t="shared" si="4"/>
        <v>TBA</v>
      </c>
      <c r="H263" s="10" t="s">
        <v>1142</v>
      </c>
      <c r="I263" s="10" t="s">
        <v>1143</v>
      </c>
      <c r="J263" s="12" t="s">
        <v>1144</v>
      </c>
    </row>
    <row r="264" spans="1:10" x14ac:dyDescent="0.35">
      <c r="A264" s="8"/>
      <c r="B264" s="19" t="s">
        <v>1248</v>
      </c>
      <c r="C264" s="19"/>
      <c r="D264" s="10" t="s">
        <v>1141</v>
      </c>
      <c r="E264" s="9"/>
      <c r="F264" s="9" t="s">
        <v>1246</v>
      </c>
      <c r="G264" s="9" t="str">
        <f t="shared" si="4"/>
        <v>TBA</v>
      </c>
      <c r="H264" s="10" t="s">
        <v>1142</v>
      </c>
      <c r="I264" s="10" t="s">
        <v>1143</v>
      </c>
      <c r="J264" s="12" t="s">
        <v>1144</v>
      </c>
    </row>
    <row r="265" spans="1:10" x14ac:dyDescent="0.35">
      <c r="A265" s="8"/>
      <c r="B265" s="23" t="s">
        <v>1249</v>
      </c>
      <c r="C265" s="23"/>
      <c r="D265" s="10" t="s">
        <v>293</v>
      </c>
      <c r="E265" s="9"/>
      <c r="F265" s="9"/>
      <c r="G265" s="9" t="str">
        <f t="shared" si="4"/>
        <v>TBA</v>
      </c>
      <c r="H265" s="10"/>
      <c r="I265" s="10" t="s">
        <v>1038</v>
      </c>
      <c r="J265" s="12" t="e">
        <v>#N/A</v>
      </c>
    </row>
    <row r="266" spans="1:10" x14ac:dyDescent="0.35">
      <c r="A266" s="8"/>
      <c r="B266" s="24" t="s">
        <v>1250</v>
      </c>
      <c r="C266" s="25"/>
      <c r="D266" s="10" t="s">
        <v>1071</v>
      </c>
      <c r="E266" s="25"/>
      <c r="F266" s="25" t="s">
        <v>1030</v>
      </c>
      <c r="G266" s="9" t="str">
        <f t="shared" si="4"/>
        <v>TBA</v>
      </c>
      <c r="H266" s="26" t="s">
        <v>1031</v>
      </c>
      <c r="I266" s="10" t="s">
        <v>1038</v>
      </c>
      <c r="J266" s="12" t="s">
        <v>1251</v>
      </c>
    </row>
    <row r="267" spans="1:10" x14ac:dyDescent="0.35">
      <c r="A267" s="8"/>
      <c r="B267" s="9" t="s">
        <v>1252</v>
      </c>
      <c r="C267" s="9"/>
      <c r="D267" s="10" t="s">
        <v>150</v>
      </c>
      <c r="E267" s="9"/>
      <c r="F267" s="9" t="s">
        <v>1237</v>
      </c>
      <c r="G267" s="9" t="str">
        <f t="shared" si="4"/>
        <v>TBA</v>
      </c>
      <c r="H267" s="10" t="s">
        <v>1142</v>
      </c>
      <c r="I267" s="10" t="s">
        <v>1143</v>
      </c>
      <c r="J267" s="12" t="s">
        <v>1238</v>
      </c>
    </row>
    <row r="268" spans="1:10" x14ac:dyDescent="0.35">
      <c r="A268" s="8"/>
      <c r="B268" s="9" t="s">
        <v>1253</v>
      </c>
      <c r="C268" s="9"/>
      <c r="D268" s="10" t="s">
        <v>1071</v>
      </c>
      <c r="E268" s="9"/>
      <c r="F268" s="9"/>
      <c r="G268" s="9" t="s">
        <v>1038</v>
      </c>
      <c r="H268" s="10" t="s">
        <v>1031</v>
      </c>
      <c r="I268" s="10" t="s">
        <v>30</v>
      </c>
      <c r="J268" s="12" t="s">
        <v>1059</v>
      </c>
    </row>
    <row r="269" spans="1:10" x14ac:dyDescent="0.35">
      <c r="A269" s="8"/>
      <c r="B269" s="9" t="s">
        <v>1254</v>
      </c>
      <c r="C269" s="9"/>
      <c r="D269" s="10" t="s">
        <v>343</v>
      </c>
      <c r="E269" s="9"/>
      <c r="F269" s="9"/>
      <c r="G269" s="9" t="s">
        <v>1038</v>
      </c>
      <c r="H269" s="10" t="s">
        <v>1031</v>
      </c>
      <c r="I269" s="10" t="s">
        <v>1044</v>
      </c>
      <c r="J269" s="12" t="s">
        <v>1059</v>
      </c>
    </row>
    <row r="270" spans="1:10" x14ac:dyDescent="0.35">
      <c r="A270" s="8"/>
      <c r="B270" s="9" t="s">
        <v>1255</v>
      </c>
      <c r="C270" s="9"/>
      <c r="D270" s="10" t="s">
        <v>1256</v>
      </c>
      <c r="E270" s="9"/>
      <c r="F270" s="9"/>
      <c r="G270" s="9" t="s">
        <v>1231</v>
      </c>
      <c r="H270" s="10" t="s">
        <v>1129</v>
      </c>
      <c r="I270" s="10" t="s">
        <v>1042</v>
      </c>
      <c r="J270" s="27" t="s">
        <v>1059</v>
      </c>
    </row>
    <row r="271" spans="1:10" x14ac:dyDescent="0.35">
      <c r="A271" s="8"/>
      <c r="B271" s="9" t="s">
        <v>1257</v>
      </c>
      <c r="C271" s="9"/>
      <c r="D271" s="10" t="s">
        <v>293</v>
      </c>
      <c r="E271" s="9"/>
      <c r="F271" s="9"/>
      <c r="G271" s="9" t="s">
        <v>1038</v>
      </c>
      <c r="H271" s="10" t="s">
        <v>1031</v>
      </c>
      <c r="I271" s="10" t="s">
        <v>1044</v>
      </c>
      <c r="J271" s="12" t="s">
        <v>1059</v>
      </c>
    </row>
    <row r="272" spans="1:10" x14ac:dyDescent="0.35">
      <c r="A272" s="8"/>
      <c r="B272" s="9" t="s">
        <v>1258</v>
      </c>
      <c r="C272" s="9"/>
      <c r="D272" s="10" t="s">
        <v>293</v>
      </c>
      <c r="E272" s="9"/>
      <c r="F272" s="9"/>
      <c r="G272" s="9" t="s">
        <v>1038</v>
      </c>
      <c r="H272" s="10" t="s">
        <v>1031</v>
      </c>
      <c r="I272" s="10" t="s">
        <v>1044</v>
      </c>
      <c r="J272" s="12" t="s">
        <v>1059</v>
      </c>
    </row>
    <row r="273" spans="1:9" x14ac:dyDescent="0.35">
      <c r="A273" s="8"/>
      <c r="B273" s="8"/>
      <c r="C273" s="8"/>
      <c r="D273" s="28"/>
      <c r="E273" s="8"/>
      <c r="F273" s="8"/>
      <c r="G273" s="8"/>
      <c r="H273" s="28"/>
      <c r="I273" s="28"/>
    </row>
    <row r="274" spans="1:9" x14ac:dyDescent="0.35">
      <c r="A274" s="8"/>
      <c r="B274" s="8"/>
      <c r="C274" s="8"/>
      <c r="D274" s="28"/>
      <c r="E274" s="8"/>
      <c r="F274" s="8"/>
      <c r="G274" s="8"/>
      <c r="H274" s="28"/>
      <c r="I274" s="28"/>
    </row>
    <row r="275" spans="1:9" x14ac:dyDescent="0.35">
      <c r="A275" s="8"/>
      <c r="B275" s="8"/>
      <c r="C275" s="8"/>
      <c r="D275" s="28"/>
      <c r="E275" s="8"/>
      <c r="F275" s="8"/>
      <c r="G275" s="8"/>
      <c r="H275" s="28"/>
      <c r="I275" s="28"/>
    </row>
    <row r="276" spans="1:9" x14ac:dyDescent="0.35">
      <c r="A276" s="8"/>
      <c r="B276" s="8"/>
      <c r="C276" s="8"/>
      <c r="E276" s="8"/>
      <c r="F276" s="8"/>
      <c r="G276" s="8"/>
      <c r="H276" s="28"/>
      <c r="I276" s="28"/>
    </row>
    <row r="277" spans="1:9" x14ac:dyDescent="0.35">
      <c r="A277" s="8"/>
      <c r="B277" s="8"/>
      <c r="C277" s="8"/>
      <c r="E277" s="8"/>
      <c r="F277" s="8"/>
      <c r="G277" s="8"/>
      <c r="H277" s="28"/>
      <c r="I277" s="28"/>
    </row>
    <row r="278" spans="1:9" x14ac:dyDescent="0.35">
      <c r="A278" s="8"/>
      <c r="B278" s="8"/>
      <c r="C278" s="8"/>
      <c r="E278" s="8"/>
      <c r="F278" s="8"/>
      <c r="G278" s="8"/>
      <c r="H278" s="28"/>
      <c r="I278" s="28"/>
    </row>
    <row r="279" spans="1:9" x14ac:dyDescent="0.35">
      <c r="A279" s="8"/>
      <c r="B279" s="8"/>
      <c r="C279" s="8"/>
      <c r="E279" s="8"/>
      <c r="F279" s="8"/>
      <c r="G279" s="8"/>
      <c r="H279" s="28"/>
      <c r="I279" s="28"/>
    </row>
    <row r="280" spans="1:9" x14ac:dyDescent="0.35">
      <c r="A280" s="8"/>
      <c r="B280" s="8"/>
      <c r="C280" s="8"/>
      <c r="E280" s="8"/>
      <c r="F280" s="8"/>
      <c r="G280" s="8"/>
      <c r="H280" s="28"/>
      <c r="I280" s="28"/>
    </row>
    <row r="281" spans="1:9" x14ac:dyDescent="0.35">
      <c r="A281" s="8"/>
      <c r="B281" s="8"/>
      <c r="C281" s="8"/>
      <c r="E281" s="8"/>
      <c r="F281" s="8"/>
      <c r="G281" s="8"/>
      <c r="H281" s="28"/>
      <c r="I281" s="28"/>
    </row>
    <row r="282" spans="1:9" x14ac:dyDescent="0.35">
      <c r="A282" s="8"/>
      <c r="B282" s="8"/>
      <c r="C282" s="8"/>
      <c r="E282" s="8"/>
      <c r="F282" s="8"/>
      <c r="G282" s="8"/>
      <c r="H282" s="28"/>
      <c r="I282" s="28"/>
    </row>
    <row r="283" spans="1:9" x14ac:dyDescent="0.35">
      <c r="A283" s="8"/>
      <c r="B283" s="8"/>
      <c r="C283" s="8"/>
      <c r="E283" s="8"/>
      <c r="F283" s="8"/>
      <c r="G283" s="8"/>
      <c r="H283" s="28"/>
      <c r="I283" s="28"/>
    </row>
    <row r="284" spans="1:9" x14ac:dyDescent="0.35">
      <c r="A284" s="8"/>
      <c r="B284" s="8"/>
      <c r="C284" s="8"/>
      <c r="E284" s="8"/>
      <c r="F284" s="8"/>
      <c r="G284" s="8"/>
      <c r="H284" s="28"/>
      <c r="I284" s="28"/>
    </row>
    <row r="285" spans="1:9" x14ac:dyDescent="0.35">
      <c r="A285" s="8"/>
      <c r="B285" s="8"/>
      <c r="C285" s="8"/>
      <c r="E285" s="8"/>
      <c r="F285" s="8"/>
      <c r="G285" s="8"/>
      <c r="H285" s="28"/>
      <c r="I285" s="28"/>
    </row>
    <row r="286" spans="1:9" x14ac:dyDescent="0.35">
      <c r="A286" s="8"/>
      <c r="B286" s="8"/>
      <c r="C286" s="8"/>
      <c r="E286" s="8"/>
      <c r="F286" s="8"/>
      <c r="G286" s="8"/>
      <c r="H286" s="28"/>
      <c r="I286" s="28"/>
    </row>
    <row r="287" spans="1:9" x14ac:dyDescent="0.35">
      <c r="A287" s="8"/>
      <c r="B287" s="8"/>
      <c r="C287" s="8"/>
      <c r="E287" s="8"/>
      <c r="F287" s="8"/>
      <c r="G287" s="8"/>
      <c r="H287" s="28"/>
      <c r="I287" s="28"/>
    </row>
    <row r="288" spans="1:9" x14ac:dyDescent="0.35">
      <c r="A288" s="8"/>
      <c r="B288" s="8"/>
      <c r="C288" s="8"/>
      <c r="E288" s="8"/>
      <c r="F288" s="8"/>
      <c r="G288" s="8"/>
      <c r="H288" s="28"/>
      <c r="I288" s="28"/>
    </row>
    <row r="289" spans="1:9" x14ac:dyDescent="0.35">
      <c r="A289" s="8"/>
      <c r="B289" s="8"/>
      <c r="C289" s="8"/>
      <c r="E289" s="8"/>
      <c r="F289" s="8"/>
      <c r="G289" s="8"/>
      <c r="H289" s="28"/>
      <c r="I289" s="28"/>
    </row>
    <row r="290" spans="1:9" x14ac:dyDescent="0.35">
      <c r="A290" s="8"/>
      <c r="B290" s="8"/>
      <c r="C290" s="8"/>
      <c r="E290" s="8"/>
      <c r="F290" s="8"/>
      <c r="G290" s="8"/>
      <c r="H290" s="28"/>
      <c r="I290" s="28"/>
    </row>
    <row r="291" spans="1:9" x14ac:dyDescent="0.35">
      <c r="A291" s="8"/>
      <c r="B291" s="8"/>
      <c r="C291" s="8"/>
      <c r="E291" s="8"/>
      <c r="F291" s="8"/>
      <c r="G291" s="8"/>
      <c r="H291" s="28"/>
      <c r="I291" s="28"/>
    </row>
    <row r="292" spans="1:9" x14ac:dyDescent="0.35">
      <c r="A292" s="8"/>
      <c r="B292" s="8"/>
      <c r="C292" s="8"/>
      <c r="E292" s="8"/>
      <c r="F292" s="8"/>
      <c r="G292" s="8"/>
      <c r="H292" s="28"/>
      <c r="I292" s="28"/>
    </row>
    <row r="293" spans="1:9" x14ac:dyDescent="0.35">
      <c r="A293" s="8"/>
      <c r="B293" s="8"/>
      <c r="C293" s="8"/>
      <c r="E293" s="8"/>
      <c r="F293" s="8"/>
      <c r="G293" s="8"/>
      <c r="H293" s="28"/>
      <c r="I293" s="28"/>
    </row>
    <row r="294" spans="1:9" x14ac:dyDescent="0.35">
      <c r="A294" s="8"/>
      <c r="B294" s="8"/>
      <c r="C294" s="8"/>
      <c r="E294" s="8"/>
      <c r="F294" s="8"/>
      <c r="G294" s="8"/>
      <c r="H294" s="28"/>
      <c r="I294" s="28"/>
    </row>
    <row r="295" spans="1:9" x14ac:dyDescent="0.35">
      <c r="A295" s="8"/>
      <c r="B295" s="8"/>
      <c r="C295" s="8"/>
      <c r="E295" s="8"/>
      <c r="F295" s="8"/>
      <c r="G295" s="8"/>
      <c r="H295" s="28"/>
      <c r="I295" s="28"/>
    </row>
    <row r="296" spans="1:9" x14ac:dyDescent="0.35">
      <c r="A296" s="8"/>
      <c r="B296" s="8"/>
      <c r="C296" s="8"/>
      <c r="E296" s="8"/>
      <c r="F296" s="8"/>
      <c r="G296" s="8"/>
      <c r="H296" s="28"/>
      <c r="I296" s="28"/>
    </row>
    <row r="297" spans="1:9" x14ac:dyDescent="0.35">
      <c r="A297" s="8"/>
      <c r="B297" s="8"/>
      <c r="C297" s="8"/>
      <c r="E297" s="8"/>
      <c r="F297" s="8"/>
      <c r="G297" s="8"/>
      <c r="H297" s="28"/>
      <c r="I297" s="28"/>
    </row>
    <row r="298" spans="1:9" x14ac:dyDescent="0.35">
      <c r="A298" s="8"/>
      <c r="B298" s="8"/>
      <c r="C298" s="8"/>
      <c r="E298" s="8"/>
      <c r="F298" s="8"/>
      <c r="G298" s="8"/>
      <c r="H298" s="28"/>
      <c r="I298" s="28"/>
    </row>
    <row r="299" spans="1:9" x14ac:dyDescent="0.35">
      <c r="A299" s="8"/>
      <c r="B299" s="8"/>
      <c r="C299" s="8"/>
      <c r="E299" s="8"/>
      <c r="F299" s="8"/>
      <c r="G299" s="8"/>
      <c r="H299" s="28"/>
      <c r="I299" s="28"/>
    </row>
    <row r="300" spans="1:9" x14ac:dyDescent="0.35">
      <c r="A300" s="8"/>
      <c r="B300" s="8"/>
      <c r="C300" s="8"/>
      <c r="E300" s="8"/>
      <c r="F300" s="8"/>
      <c r="G300" s="8"/>
      <c r="H300" s="28"/>
      <c r="I300" s="28"/>
    </row>
    <row r="301" spans="1:9" x14ac:dyDescent="0.35">
      <c r="A301" s="8"/>
      <c r="B301" s="8"/>
      <c r="C301" s="8"/>
      <c r="E301" s="8"/>
      <c r="F301" s="8"/>
      <c r="G301" s="8"/>
      <c r="H301" s="28"/>
      <c r="I301" s="28"/>
    </row>
    <row r="302" spans="1:9" x14ac:dyDescent="0.35">
      <c r="A302" s="8"/>
      <c r="B302" s="8"/>
      <c r="C302" s="8"/>
      <c r="E302" s="8"/>
      <c r="F302" s="8"/>
      <c r="G302" s="8"/>
      <c r="H302" s="28"/>
      <c r="I302" s="28"/>
    </row>
    <row r="303" spans="1:9" x14ac:dyDescent="0.35">
      <c r="A303" s="8"/>
      <c r="B303" s="8"/>
      <c r="C303" s="8"/>
      <c r="E303" s="8"/>
      <c r="F303" s="8"/>
      <c r="G303" s="8"/>
      <c r="H303" s="28"/>
      <c r="I303" s="28"/>
    </row>
    <row r="304" spans="1:9" x14ac:dyDescent="0.35">
      <c r="A304" s="8"/>
      <c r="B304" s="8"/>
      <c r="C304" s="8"/>
      <c r="E304" s="8"/>
      <c r="F304" s="8"/>
      <c r="G304" s="8"/>
      <c r="H304" s="28"/>
      <c r="I304" s="28"/>
    </row>
    <row r="305" spans="1:9" x14ac:dyDescent="0.35">
      <c r="A305" s="8"/>
      <c r="B305" s="8"/>
      <c r="C305" s="8"/>
      <c r="E305" s="8"/>
      <c r="F305" s="8"/>
      <c r="G305" s="8"/>
      <c r="H305" s="28"/>
      <c r="I305" s="28"/>
    </row>
    <row r="306" spans="1:9" x14ac:dyDescent="0.35">
      <c r="A306" s="8"/>
      <c r="B306" s="8"/>
      <c r="C306" s="8"/>
      <c r="E306" s="8"/>
      <c r="F306" s="8"/>
      <c r="G306" s="8"/>
      <c r="H306" s="28"/>
      <c r="I306" s="28"/>
    </row>
    <row r="307" spans="1:9" x14ac:dyDescent="0.35">
      <c r="A307" s="8"/>
      <c r="B307" s="8"/>
      <c r="C307" s="8"/>
      <c r="E307" s="8"/>
      <c r="F307" s="8"/>
      <c r="G307" s="8"/>
      <c r="H307" s="28"/>
      <c r="I307" s="28"/>
    </row>
    <row r="308" spans="1:9" x14ac:dyDescent="0.35">
      <c r="A308" s="8"/>
      <c r="B308" s="8"/>
      <c r="C308" s="8"/>
      <c r="E308" s="8"/>
      <c r="F308" s="8"/>
      <c r="G308" s="8"/>
      <c r="H308" s="28"/>
      <c r="I308" s="28"/>
    </row>
    <row r="309" spans="1:9" x14ac:dyDescent="0.35">
      <c r="A309" s="8"/>
      <c r="B309" s="8"/>
      <c r="C309" s="8"/>
      <c r="E309" s="8"/>
      <c r="F309" s="8"/>
      <c r="G309" s="8"/>
      <c r="H309" s="28"/>
      <c r="I309" s="28"/>
    </row>
    <row r="310" spans="1:9" x14ac:dyDescent="0.35">
      <c r="A310" s="8"/>
      <c r="B310" s="8"/>
      <c r="C310" s="8"/>
      <c r="E310" s="8"/>
      <c r="F310" s="8"/>
      <c r="G310" s="8"/>
      <c r="H310" s="28"/>
      <c r="I310" s="28"/>
    </row>
    <row r="311" spans="1:9" x14ac:dyDescent="0.35">
      <c r="A311" s="8"/>
      <c r="B311" s="8"/>
      <c r="C311" s="8"/>
      <c r="E311" s="8"/>
      <c r="F311" s="8"/>
      <c r="G311" s="8"/>
      <c r="H311" s="28"/>
      <c r="I311" s="28"/>
    </row>
    <row r="312" spans="1:9" x14ac:dyDescent="0.35">
      <c r="A312" s="8"/>
      <c r="B312" s="8"/>
      <c r="C312" s="8"/>
      <c r="E312" s="8"/>
      <c r="F312" s="8"/>
      <c r="G312" s="8"/>
      <c r="H312" s="28"/>
      <c r="I312" s="28"/>
    </row>
    <row r="313" spans="1:9" x14ac:dyDescent="0.35">
      <c r="A313" s="8"/>
      <c r="B313" s="8"/>
      <c r="C313" s="8"/>
      <c r="E313" s="8"/>
      <c r="F313" s="8"/>
      <c r="G313" s="8"/>
      <c r="H313" s="28"/>
      <c r="I313" s="28"/>
    </row>
    <row r="314" spans="1:9" x14ac:dyDescent="0.35">
      <c r="A314" s="8"/>
      <c r="B314" s="8"/>
      <c r="C314" s="8"/>
      <c r="E314" s="8"/>
      <c r="F314" s="8"/>
      <c r="G314" s="8"/>
      <c r="H314" s="28"/>
      <c r="I314" s="28"/>
    </row>
    <row r="315" spans="1:9" x14ac:dyDescent="0.35">
      <c r="A315" s="8"/>
      <c r="B315" s="8"/>
      <c r="C315" s="8"/>
      <c r="E315" s="8"/>
      <c r="F315" s="8"/>
      <c r="G315" s="8"/>
      <c r="H315" s="28"/>
      <c r="I315" s="28"/>
    </row>
    <row r="316" spans="1:9" x14ac:dyDescent="0.35">
      <c r="A316" s="8"/>
      <c r="B316" s="8"/>
      <c r="C316" s="8"/>
      <c r="E316" s="8"/>
      <c r="F316" s="8"/>
      <c r="G316" s="8"/>
      <c r="H316" s="28"/>
      <c r="I316" s="28"/>
    </row>
    <row r="317" spans="1:9" x14ac:dyDescent="0.35">
      <c r="A317" s="8"/>
      <c r="B317" s="8"/>
      <c r="C317" s="8"/>
      <c r="E317" s="8"/>
      <c r="F317" s="8"/>
      <c r="G317" s="8"/>
      <c r="H317" s="28"/>
      <c r="I317" s="28"/>
    </row>
    <row r="318" spans="1:9" x14ac:dyDescent="0.35">
      <c r="A318" s="8"/>
      <c r="B318" s="8"/>
      <c r="C318" s="8"/>
      <c r="E318" s="8"/>
      <c r="F318" s="8"/>
      <c r="G318" s="8"/>
      <c r="H318" s="28"/>
      <c r="I318" s="28"/>
    </row>
    <row r="319" spans="1:9" x14ac:dyDescent="0.35">
      <c r="A319" s="8"/>
      <c r="B319" s="8"/>
      <c r="C319" s="8"/>
      <c r="E319" s="8"/>
      <c r="F319" s="8"/>
      <c r="G319" s="8"/>
      <c r="H319" s="28"/>
      <c r="I319" s="28"/>
    </row>
    <row r="320" spans="1:9" x14ac:dyDescent="0.35">
      <c r="A320" s="8"/>
      <c r="B320" s="8"/>
      <c r="C320" s="8"/>
      <c r="E320" s="8"/>
      <c r="F320" s="8"/>
      <c r="G320" s="8"/>
      <c r="H320" s="28"/>
      <c r="I320" s="28"/>
    </row>
    <row r="321" spans="1:9" x14ac:dyDescent="0.35">
      <c r="A321" s="8"/>
      <c r="B321" s="8"/>
      <c r="C321" s="8"/>
      <c r="E321" s="8"/>
      <c r="F321" s="8"/>
      <c r="G321" s="8"/>
      <c r="H321" s="28"/>
      <c r="I321" s="28"/>
    </row>
    <row r="322" spans="1:9" x14ac:dyDescent="0.35">
      <c r="A322" s="8"/>
      <c r="B322" s="8"/>
      <c r="C322" s="8"/>
      <c r="E322" s="8"/>
      <c r="F322" s="8"/>
      <c r="G322" s="8"/>
      <c r="H322" s="28"/>
      <c r="I322" s="28"/>
    </row>
    <row r="323" spans="1:9" x14ac:dyDescent="0.35">
      <c r="A323" s="8"/>
      <c r="B323" s="8"/>
      <c r="C323" s="8"/>
      <c r="E323" s="8"/>
      <c r="F323" s="8"/>
      <c r="G323" s="8"/>
      <c r="H323" s="28"/>
      <c r="I323" s="28"/>
    </row>
    <row r="324" spans="1:9" x14ac:dyDescent="0.35">
      <c r="A324" s="8"/>
      <c r="B324" s="8"/>
      <c r="C324" s="8"/>
      <c r="E324" s="8"/>
      <c r="F324" s="8"/>
      <c r="G324" s="8"/>
      <c r="H324" s="28"/>
      <c r="I324" s="28"/>
    </row>
    <row r="325" spans="1:9" x14ac:dyDescent="0.35">
      <c r="A325" s="8"/>
      <c r="B325" s="8"/>
      <c r="C325" s="8"/>
      <c r="E325" s="8"/>
      <c r="F325" s="8"/>
      <c r="G325" s="8"/>
      <c r="H325" s="28"/>
      <c r="I325" s="28"/>
    </row>
    <row r="326" spans="1:9" x14ac:dyDescent="0.35">
      <c r="A326" s="8"/>
      <c r="B326" s="8"/>
      <c r="C326" s="8"/>
      <c r="D326" s="28"/>
      <c r="E326" s="8"/>
      <c r="F326" s="8"/>
      <c r="G326" s="8"/>
      <c r="H326" s="28"/>
      <c r="I326" s="28"/>
    </row>
    <row r="327" spans="1:9" x14ac:dyDescent="0.35">
      <c r="A327" s="8"/>
      <c r="B327" s="8"/>
      <c r="C327" s="8"/>
      <c r="D327" s="28"/>
      <c r="E327" s="8"/>
      <c r="F327" s="8"/>
      <c r="G327" s="8"/>
      <c r="H327" s="28"/>
      <c r="I327" s="28"/>
    </row>
    <row r="328" spans="1:9" x14ac:dyDescent="0.35">
      <c r="A328" s="8"/>
      <c r="B328" s="8"/>
      <c r="C328" s="8"/>
      <c r="D328" s="28"/>
      <c r="E328" s="8"/>
      <c r="F328" s="8"/>
      <c r="G328" s="8"/>
      <c r="H328" s="28"/>
      <c r="I328" s="28"/>
    </row>
    <row r="329" spans="1:9" x14ac:dyDescent="0.35">
      <c r="A329" s="8"/>
      <c r="B329" s="8"/>
      <c r="C329" s="8"/>
      <c r="D329" s="28"/>
      <c r="E329" s="8"/>
      <c r="F329" s="8"/>
      <c r="G329" s="8"/>
      <c r="H329" s="28"/>
      <c r="I329" s="28"/>
    </row>
    <row r="330" spans="1:9" x14ac:dyDescent="0.35">
      <c r="A330" s="8"/>
      <c r="B330" s="8"/>
      <c r="C330" s="8"/>
      <c r="D330" s="28"/>
      <c r="E330" s="8"/>
      <c r="F330" s="8"/>
      <c r="G330" s="8"/>
      <c r="H330" s="28"/>
      <c r="I330" s="28"/>
    </row>
    <row r="331" spans="1:9" x14ac:dyDescent="0.35">
      <c r="A331" s="8"/>
      <c r="B331" s="8"/>
      <c r="C331" s="8"/>
      <c r="D331" s="28"/>
      <c r="E331" s="8"/>
      <c r="F331" s="8"/>
      <c r="G331" s="8"/>
      <c r="H331" s="28"/>
      <c r="I331" s="28"/>
    </row>
    <row r="332" spans="1:9" x14ac:dyDescent="0.35">
      <c r="A332" s="8"/>
      <c r="B332" s="8"/>
      <c r="C332" s="8"/>
      <c r="D332" s="28"/>
      <c r="E332" s="8"/>
      <c r="F332" s="8"/>
      <c r="G332" s="8"/>
      <c r="H332" s="28"/>
      <c r="I332" s="28"/>
    </row>
    <row r="333" spans="1:9" x14ac:dyDescent="0.35">
      <c r="A333" s="8"/>
      <c r="B333" s="8"/>
      <c r="C333" s="8"/>
      <c r="D333" s="28"/>
      <c r="E333" s="8"/>
      <c r="F333" s="8"/>
      <c r="G333" s="8"/>
      <c r="H333" s="28"/>
      <c r="I333" s="28"/>
    </row>
    <row r="334" spans="1:9" x14ac:dyDescent="0.35">
      <c r="A334" s="8"/>
      <c r="B334" s="8"/>
      <c r="C334" s="8"/>
      <c r="D334" s="28"/>
      <c r="E334" s="8"/>
      <c r="F334" s="8"/>
      <c r="G334" s="8"/>
      <c r="H334" s="28"/>
      <c r="I334" s="28"/>
    </row>
    <row r="335" spans="1:9" x14ac:dyDescent="0.35">
      <c r="A335" s="8"/>
      <c r="B335" s="8"/>
      <c r="C335" s="8"/>
      <c r="D335" s="28"/>
      <c r="E335" s="8"/>
      <c r="F335" s="8"/>
      <c r="G335" s="8"/>
      <c r="H335" s="28"/>
      <c r="I335" s="28"/>
    </row>
    <row r="336" spans="1:9" x14ac:dyDescent="0.35">
      <c r="A336" s="8"/>
      <c r="B336" s="8"/>
      <c r="C336" s="8"/>
      <c r="D336" s="28"/>
      <c r="E336" s="8"/>
      <c r="F336" s="8"/>
      <c r="G336" s="8"/>
      <c r="H336" s="28"/>
      <c r="I336" s="28"/>
    </row>
    <row r="337" spans="1:9" x14ac:dyDescent="0.35">
      <c r="A337" s="8"/>
      <c r="B337" s="8"/>
      <c r="C337" s="8"/>
      <c r="D337" s="28"/>
      <c r="E337" s="8"/>
      <c r="F337" s="8"/>
      <c r="G337" s="8"/>
      <c r="H337" s="28"/>
      <c r="I337" s="28"/>
    </row>
    <row r="338" spans="1:9" x14ac:dyDescent="0.35">
      <c r="A338" s="8"/>
      <c r="B338" s="8"/>
      <c r="C338" s="8"/>
      <c r="D338" s="28"/>
      <c r="E338" s="8"/>
      <c r="F338" s="8"/>
      <c r="G338" s="8"/>
      <c r="H338" s="28"/>
      <c r="I338" s="28"/>
    </row>
    <row r="339" spans="1:9" x14ac:dyDescent="0.35">
      <c r="A339" s="8"/>
      <c r="B339" s="8"/>
      <c r="C339" s="8"/>
      <c r="D339" s="28"/>
      <c r="E339" s="8"/>
      <c r="F339" s="8"/>
      <c r="G339" s="8"/>
      <c r="H339" s="28"/>
      <c r="I339" s="28"/>
    </row>
    <row r="340" spans="1:9" x14ac:dyDescent="0.35">
      <c r="A340" s="8"/>
      <c r="B340" s="8"/>
      <c r="C340" s="8"/>
      <c r="D340" s="28"/>
      <c r="E340" s="8"/>
      <c r="F340" s="8"/>
      <c r="G340" s="8"/>
      <c r="H340" s="28"/>
      <c r="I340" s="28"/>
    </row>
    <row r="341" spans="1:9" x14ac:dyDescent="0.35">
      <c r="A341" s="8"/>
      <c r="B341" s="8"/>
      <c r="C341" s="8"/>
      <c r="D341" s="28"/>
      <c r="E341" s="8"/>
      <c r="F341" s="8"/>
      <c r="G341" s="8"/>
      <c r="H341" s="28"/>
      <c r="I341" s="28"/>
    </row>
    <row r="342" spans="1:9" x14ac:dyDescent="0.35">
      <c r="A342" s="8"/>
      <c r="B342" s="8"/>
      <c r="C342" s="8"/>
      <c r="D342" s="28"/>
      <c r="E342" s="8"/>
      <c r="F342" s="8"/>
      <c r="G342" s="8"/>
      <c r="H342" s="28"/>
      <c r="I342" s="28"/>
    </row>
    <row r="343" spans="1:9" x14ac:dyDescent="0.35">
      <c r="A343" s="8"/>
      <c r="B343" s="8"/>
      <c r="C343" s="8"/>
      <c r="D343" s="28"/>
      <c r="E343" s="8"/>
      <c r="F343" s="8"/>
      <c r="G343" s="8"/>
      <c r="H343" s="28"/>
      <c r="I343" s="28"/>
    </row>
    <row r="344" spans="1:9" x14ac:dyDescent="0.35">
      <c r="A344" s="8"/>
      <c r="B344" s="8"/>
      <c r="C344" s="8"/>
      <c r="D344" s="28"/>
      <c r="E344" s="8"/>
      <c r="F344" s="8"/>
      <c r="G344" s="8"/>
      <c r="H344" s="28"/>
      <c r="I344" s="28"/>
    </row>
    <row r="345" spans="1:9" x14ac:dyDescent="0.35">
      <c r="A345" s="8"/>
      <c r="B345" s="8"/>
      <c r="C345" s="8"/>
      <c r="D345" s="28"/>
      <c r="E345" s="8"/>
      <c r="F345" s="8"/>
      <c r="G345" s="8"/>
      <c r="H345" s="28"/>
      <c r="I345" s="28"/>
    </row>
    <row r="346" spans="1:9" x14ac:dyDescent="0.35">
      <c r="A346" s="8"/>
      <c r="B346" s="8"/>
      <c r="C346" s="8"/>
      <c r="D346" s="28"/>
      <c r="E346" s="8"/>
      <c r="F346" s="8"/>
      <c r="G346" s="8"/>
      <c r="H346" s="28"/>
      <c r="I346" s="28"/>
    </row>
    <row r="347" spans="1:9" x14ac:dyDescent="0.35">
      <c r="A347" s="8"/>
      <c r="B347" s="8"/>
      <c r="C347" s="8"/>
      <c r="D347" s="28"/>
      <c r="E347" s="8"/>
      <c r="F347" s="8"/>
      <c r="G347" s="8"/>
      <c r="H347" s="28"/>
      <c r="I347" s="28"/>
    </row>
    <row r="348" spans="1:9" x14ac:dyDescent="0.35">
      <c r="A348" s="8"/>
      <c r="B348" s="8"/>
      <c r="C348" s="8"/>
      <c r="D348" s="28"/>
      <c r="E348" s="8"/>
      <c r="F348" s="8"/>
      <c r="G348" s="8"/>
      <c r="H348" s="28"/>
      <c r="I348" s="28"/>
    </row>
    <row r="349" spans="1:9" x14ac:dyDescent="0.35">
      <c r="A349" s="8"/>
      <c r="B349" s="8"/>
      <c r="C349" s="8"/>
      <c r="D349" s="28"/>
      <c r="E349" s="8"/>
      <c r="F349" s="8"/>
      <c r="G349" s="8"/>
      <c r="H349" s="28"/>
      <c r="I349" s="28"/>
    </row>
    <row r="350" spans="1:9" x14ac:dyDescent="0.35">
      <c r="A350" s="8"/>
      <c r="B350" s="8"/>
      <c r="C350" s="8"/>
      <c r="D350" s="28"/>
      <c r="E350" s="8"/>
      <c r="F350" s="8"/>
      <c r="G350" s="8"/>
      <c r="H350" s="28"/>
      <c r="I350" s="28"/>
    </row>
    <row r="351" spans="1:9" x14ac:dyDescent="0.35">
      <c r="A351" s="8"/>
      <c r="B351" s="8"/>
      <c r="C351" s="8"/>
      <c r="D351" s="28"/>
      <c r="E351" s="8"/>
      <c r="F351" s="8"/>
      <c r="G351" s="8"/>
      <c r="H351" s="28"/>
      <c r="I351" s="28"/>
    </row>
    <row r="352" spans="1:9" x14ac:dyDescent="0.35">
      <c r="A352" s="8"/>
      <c r="B352" s="8"/>
      <c r="C352" s="8"/>
      <c r="D352" s="28"/>
      <c r="E352" s="8"/>
      <c r="F352" s="8"/>
      <c r="G352" s="8"/>
      <c r="H352" s="28"/>
      <c r="I352" s="28"/>
    </row>
    <row r="353" spans="1:9" x14ac:dyDescent="0.35">
      <c r="A353" s="8"/>
      <c r="B353" s="8"/>
      <c r="C353" s="8"/>
      <c r="D353" s="28"/>
      <c r="E353" s="8"/>
      <c r="F353" s="8"/>
      <c r="G353" s="8"/>
      <c r="H353" s="28"/>
      <c r="I353" s="28"/>
    </row>
    <row r="354" spans="1:9" x14ac:dyDescent="0.35">
      <c r="A354" s="8"/>
      <c r="B354" s="8"/>
      <c r="C354" s="8"/>
      <c r="D354" s="28"/>
      <c r="E354" s="8"/>
      <c r="F354" s="8"/>
      <c r="G354" s="8"/>
      <c r="H354" s="28"/>
      <c r="I354" s="28"/>
    </row>
    <row r="355" spans="1:9" x14ac:dyDescent="0.35">
      <c r="A355" s="8"/>
      <c r="B355" s="8"/>
      <c r="C355" s="8"/>
      <c r="D355" s="28"/>
      <c r="E355" s="8"/>
      <c r="F355" s="8"/>
      <c r="G355" s="8"/>
      <c r="H355" s="28"/>
      <c r="I355" s="28"/>
    </row>
    <row r="356" spans="1:9" x14ac:dyDescent="0.35">
      <c r="A356" s="8"/>
      <c r="B356" s="8"/>
      <c r="C356" s="8"/>
      <c r="D356" s="28"/>
      <c r="E356" s="8"/>
      <c r="F356" s="8"/>
      <c r="G356" s="8"/>
      <c r="H356" s="28"/>
      <c r="I356" s="28"/>
    </row>
    <row r="357" spans="1:9" x14ac:dyDescent="0.35">
      <c r="A357" s="8"/>
      <c r="B357" s="8"/>
      <c r="C357" s="8"/>
      <c r="D357" s="28"/>
      <c r="E357" s="8"/>
      <c r="F357" s="8"/>
      <c r="G357" s="8"/>
      <c r="H357" s="28"/>
      <c r="I357" s="28"/>
    </row>
    <row r="358" spans="1:9" x14ac:dyDescent="0.35">
      <c r="A358" s="8"/>
      <c r="B358" s="8"/>
      <c r="C358" s="8"/>
      <c r="D358" s="28"/>
      <c r="E358" s="8"/>
      <c r="F358" s="8"/>
      <c r="G358" s="8"/>
      <c r="H358" s="28"/>
      <c r="I358" s="28"/>
    </row>
    <row r="359" spans="1:9" x14ac:dyDescent="0.35">
      <c r="A359" s="8"/>
      <c r="B359" s="8"/>
      <c r="C359" s="8"/>
      <c r="D359" s="28"/>
      <c r="E359" s="8"/>
      <c r="F359" s="8"/>
      <c r="G359" s="8"/>
      <c r="H359" s="28"/>
      <c r="I359" s="28"/>
    </row>
    <row r="360" spans="1:9" x14ac:dyDescent="0.35">
      <c r="A360" s="8"/>
      <c r="B360" s="8"/>
      <c r="C360" s="8"/>
      <c r="D360" s="28"/>
      <c r="E360" s="8"/>
      <c r="F360" s="8"/>
      <c r="G360" s="8"/>
      <c r="H360" s="28"/>
      <c r="I360" s="28"/>
    </row>
    <row r="361" spans="1:9" x14ac:dyDescent="0.35">
      <c r="A361" s="8"/>
      <c r="B361" s="8"/>
      <c r="C361" s="8"/>
      <c r="D361" s="28"/>
      <c r="E361" s="8"/>
      <c r="F361" s="8"/>
      <c r="G361" s="8"/>
      <c r="H361" s="28"/>
      <c r="I361" s="28"/>
    </row>
    <row r="362" spans="1:9" x14ac:dyDescent="0.35">
      <c r="A362" s="8"/>
      <c r="B362" s="8"/>
      <c r="C362" s="8"/>
      <c r="D362" s="28"/>
      <c r="E362" s="8"/>
      <c r="F362" s="8"/>
      <c r="G362" s="8"/>
      <c r="H362" s="28"/>
      <c r="I362" s="28"/>
    </row>
    <row r="363" spans="1:9" x14ac:dyDescent="0.35">
      <c r="A363" s="8"/>
      <c r="B363" s="8"/>
      <c r="C363" s="8"/>
      <c r="D363" s="28"/>
      <c r="E363" s="8"/>
      <c r="F363" s="8"/>
      <c r="G363" s="8"/>
      <c r="H363" s="28"/>
      <c r="I363" s="28"/>
    </row>
    <row r="364" spans="1:9" x14ac:dyDescent="0.35">
      <c r="A364" s="8"/>
      <c r="B364" s="8"/>
      <c r="C364" s="8"/>
      <c r="D364" s="28"/>
      <c r="E364" s="8"/>
      <c r="F364" s="8"/>
      <c r="G364" s="8"/>
      <c r="H364" s="28"/>
      <c r="I364" s="28"/>
    </row>
    <row r="365" spans="1:9" x14ac:dyDescent="0.35">
      <c r="A365" s="8"/>
      <c r="B365" s="8"/>
      <c r="C365" s="8"/>
      <c r="D365" s="28"/>
      <c r="E365" s="8"/>
      <c r="F365" s="8"/>
      <c r="G365" s="8"/>
      <c r="H365" s="28"/>
      <c r="I365" s="28"/>
    </row>
    <row r="366" spans="1:9" x14ac:dyDescent="0.35">
      <c r="A366" s="8"/>
      <c r="B366" s="8"/>
      <c r="C366" s="8"/>
      <c r="D366" s="28"/>
      <c r="E366" s="8"/>
      <c r="F366" s="8"/>
      <c r="G366" s="8"/>
      <c r="H366" s="28"/>
      <c r="I366" s="28"/>
    </row>
    <row r="367" spans="1:9" x14ac:dyDescent="0.35">
      <c r="A367" s="8"/>
      <c r="B367" s="8"/>
      <c r="C367" s="8"/>
      <c r="D367" s="28"/>
      <c r="E367" s="8"/>
      <c r="F367" s="8"/>
      <c r="G367" s="8"/>
      <c r="H367" s="28"/>
      <c r="I367" s="28"/>
    </row>
    <row r="368" spans="1:9" x14ac:dyDescent="0.35">
      <c r="A368" s="8"/>
      <c r="B368" s="8"/>
      <c r="C368" s="8"/>
      <c r="D368" s="28"/>
      <c r="E368" s="8"/>
      <c r="F368" s="8"/>
      <c r="G368" s="8"/>
      <c r="H368" s="28"/>
      <c r="I368" s="28"/>
    </row>
    <row r="369" spans="1:9" x14ac:dyDescent="0.35">
      <c r="A369" s="8"/>
      <c r="B369" s="8"/>
      <c r="C369" s="8"/>
      <c r="D369" s="28"/>
      <c r="E369" s="8"/>
      <c r="F369" s="8"/>
      <c r="G369" s="8"/>
      <c r="H369" s="28"/>
      <c r="I369" s="28"/>
    </row>
    <row r="370" spans="1:9" x14ac:dyDescent="0.35">
      <c r="A370" s="8"/>
      <c r="B370" s="8"/>
      <c r="C370" s="8"/>
      <c r="D370" s="28"/>
      <c r="E370" s="8"/>
      <c r="F370" s="8"/>
      <c r="G370" s="8"/>
      <c r="H370" s="28"/>
      <c r="I370" s="28"/>
    </row>
    <row r="371" spans="1:9" x14ac:dyDescent="0.35">
      <c r="A371" s="8"/>
      <c r="B371" s="8"/>
      <c r="C371" s="8"/>
      <c r="D371" s="28"/>
      <c r="E371" s="8"/>
      <c r="F371" s="8"/>
      <c r="G371" s="8"/>
      <c r="H371" s="28"/>
      <c r="I371" s="28"/>
    </row>
    <row r="372" spans="1:9" x14ac:dyDescent="0.35">
      <c r="A372" s="8"/>
      <c r="B372" s="8"/>
      <c r="C372" s="8"/>
      <c r="D372" s="28"/>
      <c r="E372" s="8"/>
      <c r="F372" s="8"/>
      <c r="G372" s="8"/>
      <c r="H372" s="28"/>
      <c r="I372" s="28"/>
    </row>
    <row r="373" spans="1:9" x14ac:dyDescent="0.35">
      <c r="A373" s="8"/>
      <c r="B373" s="8"/>
      <c r="C373" s="8"/>
      <c r="D373" s="28"/>
      <c r="E373" s="8"/>
      <c r="F373" s="8"/>
      <c r="G373" s="8"/>
      <c r="H373" s="28"/>
      <c r="I373" s="28"/>
    </row>
    <row r="374" spans="1:9" x14ac:dyDescent="0.35">
      <c r="A374" s="8"/>
      <c r="B374" s="8"/>
      <c r="C374" s="8"/>
      <c r="D374" s="28"/>
      <c r="E374" s="8"/>
      <c r="F374" s="8"/>
      <c r="G374" s="8"/>
      <c r="H374" s="28"/>
      <c r="I374" s="28"/>
    </row>
    <row r="375" spans="1:9" x14ac:dyDescent="0.35">
      <c r="A375" s="8"/>
      <c r="B375" s="8"/>
      <c r="C375" s="8"/>
      <c r="D375" s="28"/>
      <c r="E375" s="8"/>
      <c r="F375" s="8"/>
      <c r="G375" s="8"/>
      <c r="H375" s="28"/>
      <c r="I375" s="28"/>
    </row>
    <row r="376" spans="1:9" x14ac:dyDescent="0.35">
      <c r="A376" s="8"/>
      <c r="B376" s="8"/>
      <c r="C376" s="8"/>
      <c r="D376" s="28"/>
      <c r="E376" s="8"/>
      <c r="F376" s="8"/>
      <c r="G376" s="8"/>
      <c r="H376" s="28"/>
      <c r="I376" s="28"/>
    </row>
    <row r="377" spans="1:9" x14ac:dyDescent="0.35">
      <c r="A377" s="8"/>
      <c r="B377" s="8"/>
      <c r="C377" s="8"/>
      <c r="D377" s="28"/>
      <c r="E377" s="8"/>
      <c r="F377" s="8"/>
      <c r="G377" s="8"/>
      <c r="H377" s="28"/>
      <c r="I377" s="28"/>
    </row>
    <row r="378" spans="1:9" x14ac:dyDescent="0.35">
      <c r="A378" s="8"/>
      <c r="B378" s="8"/>
      <c r="C378" s="8"/>
      <c r="D378" s="28"/>
      <c r="E378" s="8"/>
      <c r="F378" s="8"/>
      <c r="G378" s="8"/>
      <c r="H378" s="28"/>
      <c r="I378" s="28"/>
    </row>
    <row r="379" spans="1:9" x14ac:dyDescent="0.35">
      <c r="A379" s="8"/>
      <c r="B379" s="8"/>
      <c r="C379" s="8"/>
      <c r="D379" s="28"/>
      <c r="E379" s="8"/>
      <c r="F379" s="8"/>
      <c r="G379" s="8"/>
      <c r="H379" s="28"/>
      <c r="I379" s="28"/>
    </row>
    <row r="380" spans="1:9" x14ac:dyDescent="0.35">
      <c r="A380" s="8"/>
      <c r="B380" s="8"/>
      <c r="C380" s="8"/>
      <c r="D380" s="28"/>
      <c r="E380" s="8"/>
      <c r="F380" s="8"/>
      <c r="G380" s="8"/>
      <c r="H380" s="28"/>
      <c r="I380" s="28"/>
    </row>
    <row r="381" spans="1:9" x14ac:dyDescent="0.35">
      <c r="A381" s="8"/>
      <c r="B381" s="8"/>
      <c r="C381" s="8"/>
      <c r="D381" s="28"/>
      <c r="E381" s="8"/>
      <c r="F381" s="8"/>
      <c r="G381" s="8"/>
      <c r="H381" s="28"/>
      <c r="I381" s="28"/>
    </row>
    <row r="382" spans="1:9" x14ac:dyDescent="0.35">
      <c r="A382" s="8"/>
      <c r="B382" s="8"/>
      <c r="C382" s="8"/>
      <c r="D382" s="28"/>
      <c r="E382" s="8"/>
      <c r="F382" s="8"/>
      <c r="G382" s="8"/>
      <c r="H382" s="28"/>
      <c r="I382" s="28"/>
    </row>
    <row r="383" spans="1:9" x14ac:dyDescent="0.35">
      <c r="A383" s="8"/>
      <c r="B383" s="8"/>
      <c r="C383" s="8"/>
      <c r="D383" s="28"/>
      <c r="E383" s="8"/>
      <c r="F383" s="8"/>
      <c r="G383" s="8"/>
      <c r="H383" s="28"/>
      <c r="I383" s="28"/>
    </row>
    <row r="384" spans="1:9" x14ac:dyDescent="0.35">
      <c r="A384" s="8"/>
      <c r="B384" s="8"/>
      <c r="C384" s="8"/>
      <c r="D384" s="28"/>
      <c r="E384" s="8"/>
      <c r="F384" s="8"/>
      <c r="G384" s="8"/>
      <c r="H384" s="28"/>
      <c r="I384" s="28"/>
    </row>
    <row r="385" spans="1:9" x14ac:dyDescent="0.35">
      <c r="A385" s="8"/>
      <c r="B385" s="8"/>
      <c r="C385" s="8"/>
      <c r="D385" s="28"/>
      <c r="E385" s="8"/>
      <c r="F385" s="8"/>
      <c r="G385" s="8"/>
      <c r="H385" s="28"/>
      <c r="I385" s="28"/>
    </row>
    <row r="386" spans="1:9" x14ac:dyDescent="0.35">
      <c r="A386" s="8"/>
      <c r="B386" s="8"/>
      <c r="C386" s="8"/>
      <c r="D386" s="28"/>
      <c r="E386" s="8"/>
      <c r="F386" s="8"/>
      <c r="G386" s="8"/>
      <c r="H386" s="28"/>
      <c r="I386" s="28"/>
    </row>
    <row r="387" spans="1:9" x14ac:dyDescent="0.35">
      <c r="A387" s="8"/>
      <c r="B387" s="8"/>
      <c r="C387" s="8"/>
      <c r="D387" s="28"/>
      <c r="E387" s="8"/>
      <c r="F387" s="8"/>
      <c r="G387" s="8"/>
      <c r="H387" s="28"/>
      <c r="I387" s="28"/>
    </row>
    <row r="388" spans="1:9" x14ac:dyDescent="0.35">
      <c r="A388" s="8"/>
      <c r="B388" s="8"/>
      <c r="C388" s="8"/>
      <c r="D388" s="28"/>
      <c r="E388" s="8"/>
      <c r="F388" s="8"/>
      <c r="G388" s="8"/>
      <c r="H388" s="28"/>
      <c r="I388" s="28"/>
    </row>
    <row r="389" spans="1:9" x14ac:dyDescent="0.35">
      <c r="A389" s="8"/>
      <c r="B389" s="8"/>
      <c r="C389" s="8"/>
      <c r="D389" s="28"/>
      <c r="E389" s="8"/>
      <c r="F389" s="8"/>
      <c r="G389" s="8"/>
      <c r="H389" s="28"/>
      <c r="I389" s="28"/>
    </row>
    <row r="390" spans="1:9" x14ac:dyDescent="0.35">
      <c r="A390" s="8"/>
      <c r="B390" s="8"/>
      <c r="C390" s="8"/>
      <c r="D390" s="28"/>
      <c r="E390" s="8"/>
      <c r="F390" s="8"/>
      <c r="G390" s="8"/>
      <c r="H390" s="28"/>
      <c r="I390" s="28"/>
    </row>
    <row r="391" spans="1:9" x14ac:dyDescent="0.35">
      <c r="A391" s="8"/>
      <c r="B391" s="8"/>
      <c r="C391" s="8"/>
      <c r="D391" s="28"/>
      <c r="E391" s="8"/>
      <c r="F391" s="8"/>
      <c r="G391" s="8"/>
      <c r="H391" s="28"/>
      <c r="I391" s="28"/>
    </row>
    <row r="392" spans="1:9" x14ac:dyDescent="0.35">
      <c r="A392" s="8"/>
      <c r="B392" s="8"/>
      <c r="C392" s="8"/>
      <c r="D392" s="28"/>
      <c r="E392" s="8"/>
      <c r="F392" s="8"/>
      <c r="G392" s="8"/>
      <c r="H392" s="28"/>
      <c r="I392" s="28"/>
    </row>
    <row r="393" spans="1:9" x14ac:dyDescent="0.35">
      <c r="A393" s="8"/>
      <c r="B393" s="8"/>
      <c r="C393" s="8"/>
      <c r="D393" s="28"/>
      <c r="E393" s="8"/>
      <c r="F393" s="8"/>
      <c r="G393" s="8"/>
      <c r="H393" s="28"/>
      <c r="I393" s="28"/>
    </row>
    <row r="394" spans="1:9" x14ac:dyDescent="0.35">
      <c r="A394" s="8"/>
      <c r="B394" s="8"/>
      <c r="C394" s="8"/>
      <c r="D394" s="28"/>
      <c r="E394" s="8"/>
      <c r="F394" s="8"/>
      <c r="G394" s="8"/>
      <c r="H394" s="28"/>
      <c r="I394" s="28"/>
    </row>
    <row r="395" spans="1:9" x14ac:dyDescent="0.35">
      <c r="A395" s="8"/>
      <c r="B395" s="8"/>
      <c r="C395" s="8"/>
      <c r="D395" s="28"/>
      <c r="E395" s="8"/>
      <c r="F395" s="8"/>
      <c r="G395" s="8"/>
      <c r="H395" s="28"/>
      <c r="I395" s="28"/>
    </row>
    <row r="396" spans="1:9" x14ac:dyDescent="0.35">
      <c r="A396" s="8"/>
      <c r="B396" s="8"/>
      <c r="C396" s="8"/>
      <c r="D396" s="28"/>
      <c r="E396" s="8"/>
      <c r="F396" s="8"/>
      <c r="G396" s="8"/>
      <c r="H396" s="28"/>
      <c r="I396" s="28"/>
    </row>
    <row r="397" spans="1:9" x14ac:dyDescent="0.35">
      <c r="A397" s="8"/>
      <c r="B397" s="8"/>
      <c r="C397" s="8"/>
      <c r="D397" s="28"/>
      <c r="E397" s="8"/>
      <c r="F397" s="8"/>
      <c r="G397" s="8"/>
      <c r="H397" s="28"/>
      <c r="I397" s="28"/>
    </row>
    <row r="398" spans="1:9" x14ac:dyDescent="0.35">
      <c r="A398" s="8"/>
      <c r="B398" s="8"/>
      <c r="C398" s="8"/>
      <c r="D398" s="28"/>
      <c r="E398" s="8"/>
      <c r="F398" s="8"/>
      <c r="G398" s="8"/>
      <c r="H398" s="28"/>
      <c r="I398" s="28"/>
    </row>
    <row r="399" spans="1:9" x14ac:dyDescent="0.35">
      <c r="A399" s="8"/>
      <c r="B399" s="8"/>
      <c r="C399" s="8"/>
      <c r="D399" s="28"/>
      <c r="E399" s="8"/>
      <c r="F399" s="8"/>
      <c r="G399" s="8"/>
      <c r="H399" s="28"/>
      <c r="I399" s="28"/>
    </row>
    <row r="400" spans="1:9" x14ac:dyDescent="0.35">
      <c r="A400" s="8"/>
      <c r="B400" s="8"/>
      <c r="C400" s="8"/>
      <c r="D400" s="28"/>
      <c r="E400" s="8"/>
      <c r="F400" s="8"/>
      <c r="G400" s="8"/>
      <c r="H400" s="28"/>
      <c r="I400" s="28"/>
    </row>
    <row r="401" spans="1:9" x14ac:dyDescent="0.35">
      <c r="A401" s="8"/>
      <c r="B401" s="8"/>
      <c r="C401" s="8"/>
      <c r="D401" s="28"/>
      <c r="E401" s="8"/>
      <c r="F401" s="8"/>
      <c r="G401" s="8"/>
      <c r="H401" s="28"/>
      <c r="I401" s="28"/>
    </row>
    <row r="402" spans="1:9" x14ac:dyDescent="0.35">
      <c r="A402" s="8"/>
      <c r="B402" s="8"/>
      <c r="C402" s="8"/>
      <c r="D402" s="28"/>
      <c r="E402" s="8"/>
      <c r="F402" s="8"/>
      <c r="G402" s="8"/>
      <c r="H402" s="28"/>
      <c r="I402" s="28"/>
    </row>
    <row r="403" spans="1:9" x14ac:dyDescent="0.35">
      <c r="A403" s="8"/>
      <c r="B403" s="8"/>
      <c r="C403" s="8"/>
      <c r="D403" s="28"/>
      <c r="E403" s="8"/>
      <c r="F403" s="8"/>
      <c r="G403" s="8"/>
      <c r="H403" s="28"/>
      <c r="I403" s="28"/>
    </row>
    <row r="404" spans="1:9" x14ac:dyDescent="0.35">
      <c r="A404" s="8"/>
      <c r="B404" s="8"/>
      <c r="C404" s="8"/>
      <c r="D404" s="28"/>
      <c r="E404" s="8"/>
      <c r="F404" s="8"/>
      <c r="G404" s="8"/>
      <c r="H404" s="28"/>
      <c r="I404" s="28"/>
    </row>
    <row r="405" spans="1:9" x14ac:dyDescent="0.35">
      <c r="A405" s="8"/>
      <c r="B405" s="8"/>
      <c r="C405" s="8"/>
      <c r="D405" s="28"/>
      <c r="E405" s="8"/>
      <c r="F405" s="8"/>
      <c r="G405" s="8"/>
      <c r="H405" s="28"/>
      <c r="I405" s="28"/>
    </row>
    <row r="406" spans="1:9" x14ac:dyDescent="0.35">
      <c r="A406" s="8"/>
      <c r="B406" s="8"/>
      <c r="C406" s="8"/>
      <c r="D406" s="28"/>
      <c r="E406" s="8"/>
      <c r="F406" s="8"/>
      <c r="G406" s="8"/>
      <c r="H406" s="28"/>
      <c r="I406" s="28"/>
    </row>
    <row r="407" spans="1:9" x14ac:dyDescent="0.35">
      <c r="A407" s="8"/>
      <c r="B407" s="8"/>
      <c r="C407" s="8"/>
      <c r="D407" s="28"/>
      <c r="E407" s="8"/>
      <c r="F407" s="8"/>
      <c r="G407" s="8"/>
      <c r="H407" s="28"/>
      <c r="I407" s="28"/>
    </row>
    <row r="408" spans="1:9" x14ac:dyDescent="0.35">
      <c r="A408" s="8"/>
      <c r="B408" s="8"/>
      <c r="C408" s="8"/>
      <c r="D408" s="28"/>
      <c r="E408" s="8"/>
      <c r="F408" s="8"/>
      <c r="G408" s="8"/>
      <c r="H408" s="28"/>
      <c r="I408" s="28"/>
    </row>
    <row r="409" spans="1:9" x14ac:dyDescent="0.35">
      <c r="A409" s="8"/>
      <c r="B409" s="8"/>
      <c r="C409" s="8"/>
      <c r="D409" s="28"/>
      <c r="E409" s="8"/>
      <c r="F409" s="8"/>
      <c r="G409" s="8"/>
      <c r="H409" s="28"/>
      <c r="I409" s="28"/>
    </row>
    <row r="410" spans="1:9" x14ac:dyDescent="0.35">
      <c r="A410" s="8"/>
      <c r="B410" s="8"/>
      <c r="C410" s="8"/>
      <c r="D410" s="28"/>
      <c r="E410" s="8"/>
      <c r="F410" s="8"/>
      <c r="G410" s="8"/>
      <c r="H410" s="28"/>
      <c r="I410" s="28"/>
    </row>
    <row r="411" spans="1:9" x14ac:dyDescent="0.35">
      <c r="A411" s="8"/>
      <c r="B411" s="8"/>
      <c r="C411" s="8"/>
      <c r="D411" s="28"/>
      <c r="E411" s="8"/>
      <c r="F411" s="8"/>
      <c r="G411" s="8"/>
      <c r="H411" s="28"/>
      <c r="I411" s="28"/>
    </row>
    <row r="412" spans="1:9" x14ac:dyDescent="0.35">
      <c r="A412" s="8"/>
      <c r="B412" s="8"/>
      <c r="C412" s="8"/>
      <c r="D412" s="28"/>
      <c r="E412" s="8"/>
      <c r="F412" s="8"/>
      <c r="G412" s="8"/>
      <c r="H412" s="28"/>
      <c r="I412" s="28"/>
    </row>
    <row r="413" spans="1:9" x14ac:dyDescent="0.35">
      <c r="A413" s="8"/>
      <c r="B413" s="8"/>
      <c r="C413" s="8"/>
      <c r="D413" s="28"/>
      <c r="E413" s="8"/>
      <c r="F413" s="8"/>
      <c r="G413" s="8"/>
      <c r="H413" s="28"/>
      <c r="I413" s="28"/>
    </row>
    <row r="414" spans="1:9" x14ac:dyDescent="0.35">
      <c r="A414" s="8"/>
      <c r="B414" s="8"/>
      <c r="C414" s="8"/>
      <c r="D414" s="28"/>
      <c r="E414" s="8"/>
      <c r="F414" s="8"/>
      <c r="G414" s="8"/>
      <c r="H414" s="28"/>
      <c r="I414" s="28"/>
    </row>
    <row r="415" spans="1:9" x14ac:dyDescent="0.35">
      <c r="A415" s="8"/>
      <c r="B415" s="8"/>
      <c r="C415" s="8"/>
      <c r="D415" s="28"/>
      <c r="E415" s="8"/>
      <c r="F415" s="8"/>
      <c r="G415" s="8"/>
      <c r="H415" s="28"/>
      <c r="I415" s="28"/>
    </row>
    <row r="416" spans="1:9" x14ac:dyDescent="0.35">
      <c r="A416" s="8"/>
      <c r="B416" s="8"/>
      <c r="C416" s="8"/>
      <c r="D416" s="28"/>
      <c r="E416" s="8"/>
      <c r="F416" s="8"/>
      <c r="G416" s="8"/>
      <c r="H416" s="28"/>
      <c r="I416" s="28"/>
    </row>
    <row r="417" spans="1:9" x14ac:dyDescent="0.35">
      <c r="A417" s="8"/>
      <c r="B417" s="8"/>
      <c r="C417" s="8"/>
      <c r="D417" s="28"/>
      <c r="E417" s="8"/>
      <c r="F417" s="8"/>
      <c r="G417" s="8"/>
      <c r="H417" s="28"/>
      <c r="I417" s="28"/>
    </row>
    <row r="418" spans="1:9" x14ac:dyDescent="0.35">
      <c r="A418" s="8"/>
      <c r="B418" s="8"/>
      <c r="C418" s="8"/>
      <c r="D418" s="28"/>
      <c r="E418" s="8"/>
      <c r="F418" s="8"/>
      <c r="G418" s="8"/>
      <c r="H418" s="28"/>
      <c r="I418" s="28"/>
    </row>
    <row r="419" spans="1:9" x14ac:dyDescent="0.35">
      <c r="A419" s="8"/>
      <c r="B419" s="8"/>
      <c r="C419" s="8"/>
      <c r="D419" s="28"/>
      <c r="E419" s="8"/>
      <c r="F419" s="8"/>
      <c r="G419" s="8"/>
      <c r="H419" s="28"/>
      <c r="I419" s="28"/>
    </row>
    <row r="420" spans="1:9" x14ac:dyDescent="0.35">
      <c r="A420" s="8"/>
      <c r="B420" s="8"/>
      <c r="C420" s="8"/>
      <c r="D420" s="28"/>
      <c r="E420" s="8"/>
      <c r="F420" s="8"/>
      <c r="G420" s="8"/>
      <c r="H420" s="28"/>
      <c r="I420" s="28"/>
    </row>
    <row r="421" spans="1:9" x14ac:dyDescent="0.35">
      <c r="A421" s="8"/>
      <c r="B421" s="8"/>
      <c r="C421" s="8"/>
      <c r="D421" s="28"/>
      <c r="E421" s="8"/>
      <c r="F421" s="8"/>
      <c r="G421" s="8"/>
      <c r="H421" s="28"/>
      <c r="I421" s="28"/>
    </row>
    <row r="422" spans="1:9" x14ac:dyDescent="0.35">
      <c r="A422" s="8"/>
      <c r="B422" s="8"/>
      <c r="C422" s="8"/>
      <c r="D422" s="28"/>
      <c r="E422" s="8"/>
      <c r="F422" s="8"/>
      <c r="G422" s="8"/>
      <c r="H422" s="28"/>
      <c r="I422" s="28"/>
    </row>
    <row r="423" spans="1:9" x14ac:dyDescent="0.35">
      <c r="A423" s="8"/>
      <c r="B423" s="8"/>
      <c r="C423" s="8"/>
      <c r="D423" s="28"/>
      <c r="E423" s="8"/>
      <c r="F423" s="8"/>
      <c r="G423" s="8"/>
      <c r="H423" s="28"/>
      <c r="I423" s="28"/>
    </row>
    <row r="424" spans="1:9" x14ac:dyDescent="0.35">
      <c r="A424" s="8"/>
      <c r="B424" s="8"/>
      <c r="C424" s="8"/>
      <c r="D424" s="28"/>
      <c r="E424" s="8"/>
      <c r="F424" s="8"/>
      <c r="G424" s="8"/>
      <c r="H424" s="28"/>
      <c r="I424" s="28"/>
    </row>
    <row r="425" spans="1:9" x14ac:dyDescent="0.35">
      <c r="A425" s="8"/>
      <c r="B425" s="8"/>
      <c r="C425" s="8"/>
      <c r="D425" s="28"/>
      <c r="E425" s="8"/>
      <c r="F425" s="8"/>
      <c r="G425" s="8"/>
      <c r="H425" s="28"/>
      <c r="I425" s="28"/>
    </row>
    <row r="426" spans="1:9" x14ac:dyDescent="0.35">
      <c r="A426" s="8"/>
      <c r="B426" s="8"/>
      <c r="C426" s="8"/>
      <c r="D426" s="28"/>
      <c r="E426" s="8"/>
      <c r="F426" s="8"/>
      <c r="G426" s="8"/>
      <c r="H426" s="28"/>
      <c r="I426" s="28"/>
    </row>
    <row r="427" spans="1:9" x14ac:dyDescent="0.35">
      <c r="A427" s="8"/>
      <c r="B427" s="8"/>
      <c r="C427" s="8"/>
      <c r="D427" s="28"/>
      <c r="E427" s="8"/>
      <c r="F427" s="8"/>
      <c r="G427" s="8"/>
      <c r="H427" s="28"/>
      <c r="I427" s="28"/>
    </row>
    <row r="428" spans="1:9" x14ac:dyDescent="0.35">
      <c r="A428" s="8"/>
      <c r="B428" s="8"/>
      <c r="C428" s="8"/>
      <c r="D428" s="28"/>
      <c r="E428" s="8"/>
      <c r="F428" s="8"/>
      <c r="G428" s="8"/>
      <c r="H428" s="28"/>
      <c r="I428" s="28"/>
    </row>
    <row r="429" spans="1:9" x14ac:dyDescent="0.35">
      <c r="A429" s="8"/>
      <c r="B429" s="8"/>
      <c r="C429" s="8"/>
      <c r="D429" s="28"/>
      <c r="E429" s="8"/>
      <c r="F429" s="8"/>
      <c r="G429" s="8"/>
      <c r="H429" s="28"/>
      <c r="I429" s="28"/>
    </row>
    <row r="430" spans="1:9" x14ac:dyDescent="0.35">
      <c r="A430" s="8"/>
      <c r="B430" s="8"/>
      <c r="C430" s="8"/>
      <c r="D430" s="28"/>
      <c r="E430" s="8"/>
      <c r="F430" s="8"/>
      <c r="G430" s="8"/>
      <c r="H430" s="28"/>
      <c r="I430" s="28"/>
    </row>
    <row r="431" spans="1:9" x14ac:dyDescent="0.35">
      <c r="A431" s="8"/>
      <c r="B431" s="8"/>
      <c r="C431" s="8"/>
      <c r="D431" s="28"/>
      <c r="E431" s="8"/>
      <c r="F431" s="8"/>
      <c r="G431" s="8"/>
      <c r="H431" s="28"/>
      <c r="I431" s="28"/>
    </row>
    <row r="432" spans="1:9" x14ac:dyDescent="0.35">
      <c r="A432" s="8"/>
      <c r="B432" s="8"/>
      <c r="C432" s="8"/>
      <c r="D432" s="28"/>
      <c r="E432" s="8"/>
      <c r="F432" s="8"/>
      <c r="G432" s="8"/>
      <c r="H432" s="28"/>
      <c r="I432" s="28"/>
    </row>
    <row r="433" spans="1:9" x14ac:dyDescent="0.35">
      <c r="A433" s="8"/>
      <c r="B433" s="8"/>
      <c r="C433" s="8"/>
      <c r="D433" s="28"/>
      <c r="E433" s="8"/>
      <c r="F433" s="8"/>
      <c r="G433" s="8"/>
      <c r="H433" s="28"/>
      <c r="I433" s="28"/>
    </row>
    <row r="434" spans="1:9" x14ac:dyDescent="0.35">
      <c r="A434" s="8"/>
      <c r="B434" s="8"/>
      <c r="C434" s="8"/>
      <c r="D434" s="28"/>
      <c r="E434" s="8"/>
      <c r="F434" s="8"/>
      <c r="G434" s="8"/>
      <c r="H434" s="28"/>
      <c r="I434" s="28"/>
    </row>
    <row r="435" spans="1:9" x14ac:dyDescent="0.35">
      <c r="A435" s="8"/>
      <c r="B435" s="8"/>
      <c r="C435" s="8"/>
      <c r="D435" s="28"/>
      <c r="E435" s="8"/>
      <c r="F435" s="8"/>
      <c r="G435" s="8"/>
      <c r="H435" s="28"/>
      <c r="I435" s="28"/>
    </row>
    <row r="436" spans="1:9" x14ac:dyDescent="0.35">
      <c r="A436" s="8"/>
      <c r="B436" s="8"/>
      <c r="C436" s="8"/>
      <c r="D436" s="28"/>
      <c r="E436" s="8"/>
      <c r="F436" s="8"/>
      <c r="G436" s="8"/>
      <c r="H436" s="28"/>
      <c r="I436" s="28"/>
    </row>
    <row r="437" spans="1:9" x14ac:dyDescent="0.35">
      <c r="A437" s="8"/>
      <c r="B437" s="8"/>
      <c r="C437" s="8"/>
      <c r="D437" s="28"/>
      <c r="E437" s="8"/>
      <c r="F437" s="8"/>
      <c r="G437" s="8"/>
      <c r="H437" s="28"/>
      <c r="I437" s="28"/>
    </row>
    <row r="438" spans="1:9" x14ac:dyDescent="0.35">
      <c r="A438" s="8"/>
      <c r="B438" s="8"/>
      <c r="C438" s="8"/>
      <c r="D438" s="28"/>
      <c r="E438" s="8"/>
      <c r="F438" s="8"/>
      <c r="G438" s="8"/>
      <c r="H438" s="28"/>
      <c r="I438" s="28"/>
    </row>
    <row r="439" spans="1:9" x14ac:dyDescent="0.35">
      <c r="A439" s="8"/>
      <c r="B439" s="8"/>
      <c r="C439" s="8"/>
      <c r="D439" s="28"/>
      <c r="E439" s="8"/>
      <c r="F439" s="8"/>
      <c r="G439" s="8"/>
      <c r="H439" s="28"/>
      <c r="I439" s="28"/>
    </row>
    <row r="440" spans="1:9" x14ac:dyDescent="0.35">
      <c r="A440" s="8"/>
      <c r="B440" s="8"/>
      <c r="C440" s="8"/>
      <c r="D440" s="28"/>
      <c r="E440" s="8"/>
      <c r="F440" s="8"/>
      <c r="G440" s="8"/>
      <c r="H440" s="28"/>
      <c r="I440" s="28"/>
    </row>
    <row r="441" spans="1:9" x14ac:dyDescent="0.35">
      <c r="A441" s="8"/>
      <c r="B441" s="8"/>
      <c r="C441" s="8"/>
      <c r="D441" s="28"/>
      <c r="E441" s="8"/>
      <c r="F441" s="8"/>
      <c r="G441" s="8"/>
      <c r="H441" s="28"/>
      <c r="I441" s="28"/>
    </row>
    <row r="442" spans="1:9" x14ac:dyDescent="0.35">
      <c r="A442" s="8"/>
      <c r="B442" s="8"/>
      <c r="C442" s="8"/>
      <c r="D442" s="28"/>
      <c r="E442" s="8"/>
      <c r="F442" s="8"/>
      <c r="G442" s="8"/>
      <c r="H442" s="28"/>
      <c r="I442" s="28"/>
    </row>
    <row r="443" spans="1:9" x14ac:dyDescent="0.35">
      <c r="A443" s="8"/>
      <c r="B443" s="8"/>
      <c r="C443" s="8"/>
      <c r="D443" s="28"/>
      <c r="E443" s="8"/>
      <c r="F443" s="8"/>
      <c r="G443" s="8"/>
      <c r="H443" s="28"/>
      <c r="I443" s="28"/>
    </row>
    <row r="444" spans="1:9" x14ac:dyDescent="0.35">
      <c r="A444" s="8"/>
      <c r="B444" s="8"/>
      <c r="C444" s="8"/>
      <c r="D444" s="28"/>
      <c r="E444" s="8"/>
      <c r="F444" s="8"/>
      <c r="G444" s="8"/>
      <c r="H444" s="28"/>
      <c r="I444" s="28"/>
    </row>
    <row r="445" spans="1:9" x14ac:dyDescent="0.35">
      <c r="A445" s="8"/>
      <c r="B445" s="8"/>
      <c r="C445" s="8"/>
      <c r="D445" s="28"/>
      <c r="E445" s="8"/>
      <c r="F445" s="8"/>
      <c r="G445" s="8"/>
      <c r="H445" s="28"/>
      <c r="I445" s="28"/>
    </row>
    <row r="446" spans="1:9" x14ac:dyDescent="0.35">
      <c r="A446" s="8"/>
      <c r="B446" s="8"/>
      <c r="C446" s="8"/>
      <c r="D446" s="28"/>
      <c r="E446" s="8"/>
      <c r="F446" s="8"/>
      <c r="G446" s="8"/>
      <c r="H446" s="28"/>
      <c r="I446" s="28"/>
    </row>
    <row r="447" spans="1:9" x14ac:dyDescent="0.35">
      <c r="A447" s="8"/>
      <c r="B447" s="8"/>
      <c r="C447" s="8"/>
      <c r="D447" s="28"/>
      <c r="E447" s="8"/>
      <c r="F447" s="8"/>
      <c r="G447" s="8"/>
      <c r="H447" s="28"/>
      <c r="I447" s="28"/>
    </row>
    <row r="448" spans="1:9" x14ac:dyDescent="0.35">
      <c r="A448" s="8"/>
      <c r="B448" s="8"/>
      <c r="C448" s="8"/>
      <c r="D448" s="28"/>
      <c r="E448" s="8"/>
      <c r="F448" s="8"/>
      <c r="G448" s="8"/>
      <c r="H448" s="28"/>
      <c r="I448" s="28"/>
    </row>
    <row r="449" spans="1:9" x14ac:dyDescent="0.35">
      <c r="A449" s="8"/>
      <c r="B449" s="8"/>
      <c r="C449" s="8"/>
      <c r="D449" s="28"/>
      <c r="E449" s="8"/>
      <c r="F449" s="8"/>
      <c r="G449" s="8"/>
      <c r="H449" s="28"/>
      <c r="I449" s="28"/>
    </row>
    <row r="450" spans="1:9" x14ac:dyDescent="0.35">
      <c r="A450" s="8"/>
      <c r="B450" s="8"/>
      <c r="C450" s="8"/>
      <c r="D450" s="28"/>
      <c r="E450" s="8"/>
      <c r="F450" s="8"/>
      <c r="G450" s="8"/>
      <c r="H450" s="28"/>
      <c r="I450" s="28"/>
    </row>
    <row r="451" spans="1:9" x14ac:dyDescent="0.35">
      <c r="A451" s="8"/>
      <c r="B451" s="8"/>
      <c r="C451" s="8"/>
      <c r="D451" s="28"/>
      <c r="E451" s="8"/>
      <c r="F451" s="8"/>
      <c r="G451" s="8"/>
      <c r="H451" s="28"/>
      <c r="I451" s="28"/>
    </row>
    <row r="452" spans="1:9" x14ac:dyDescent="0.35">
      <c r="A452" s="8"/>
      <c r="B452" s="8"/>
      <c r="C452" s="8"/>
      <c r="D452" s="28"/>
      <c r="E452" s="8"/>
      <c r="F452" s="8"/>
      <c r="G452" s="8"/>
      <c r="H452" s="28"/>
      <c r="I452" s="28"/>
    </row>
    <row r="453" spans="1:9" x14ac:dyDescent="0.35">
      <c r="A453" s="8"/>
      <c r="B453" s="8"/>
      <c r="C453" s="8"/>
      <c r="D453" s="28"/>
      <c r="E453" s="8"/>
      <c r="F453" s="8"/>
      <c r="G453" s="8"/>
      <c r="H453" s="28"/>
      <c r="I453" s="28"/>
    </row>
    <row r="454" spans="1:9" x14ac:dyDescent="0.35">
      <c r="A454" s="8"/>
      <c r="B454" s="8"/>
      <c r="C454" s="8"/>
      <c r="D454" s="28"/>
      <c r="E454" s="8"/>
      <c r="F454" s="8"/>
      <c r="G454" s="8"/>
      <c r="H454" s="28"/>
      <c r="I454" s="28"/>
    </row>
    <row r="455" spans="1:9" x14ac:dyDescent="0.35">
      <c r="A455" s="8"/>
      <c r="B455" s="8"/>
      <c r="C455" s="8"/>
      <c r="D455" s="28"/>
      <c r="E455" s="8"/>
      <c r="F455" s="8"/>
      <c r="G455" s="8"/>
      <c r="H455" s="28"/>
      <c r="I455" s="28"/>
    </row>
    <row r="456" spans="1:9" x14ac:dyDescent="0.35">
      <c r="A456" s="8"/>
      <c r="B456" s="8"/>
      <c r="C456" s="8"/>
      <c r="D456" s="28"/>
      <c r="E456" s="8"/>
      <c r="F456" s="8"/>
      <c r="G456" s="8"/>
      <c r="H456" s="28"/>
      <c r="I456" s="28"/>
    </row>
    <row r="457" spans="1:9" x14ac:dyDescent="0.35">
      <c r="A457" s="8"/>
      <c r="B457" s="8"/>
      <c r="C457" s="8"/>
      <c r="D457" s="28"/>
      <c r="E457" s="8"/>
      <c r="F457" s="8"/>
      <c r="G457" s="8"/>
      <c r="H457" s="28"/>
      <c r="I457" s="28"/>
    </row>
    <row r="458" spans="1:9" x14ac:dyDescent="0.35">
      <c r="A458" s="8"/>
      <c r="B458" s="8"/>
      <c r="C458" s="8"/>
      <c r="D458" s="28"/>
      <c r="E458" s="8"/>
      <c r="F458" s="8"/>
      <c r="G458" s="8"/>
      <c r="H458" s="28"/>
      <c r="I458" s="28"/>
    </row>
    <row r="459" spans="1:9" x14ac:dyDescent="0.35">
      <c r="A459" s="8"/>
      <c r="B459" s="8"/>
      <c r="C459" s="8"/>
      <c r="D459" s="28"/>
      <c r="E459" s="8"/>
      <c r="F459" s="8"/>
      <c r="G459" s="8"/>
      <c r="H459" s="28"/>
      <c r="I459" s="28"/>
    </row>
    <row r="460" spans="1:9" x14ac:dyDescent="0.35">
      <c r="A460" s="8"/>
      <c r="B460" s="8"/>
      <c r="C460" s="8"/>
      <c r="D460" s="28"/>
      <c r="E460" s="8"/>
      <c r="F460" s="8"/>
      <c r="G460" s="8"/>
      <c r="H460" s="28"/>
      <c r="I460" s="28"/>
    </row>
    <row r="461" spans="1:9" x14ac:dyDescent="0.35">
      <c r="A461" s="8"/>
      <c r="B461" s="8"/>
      <c r="C461" s="8"/>
      <c r="D461" s="28"/>
      <c r="E461" s="8"/>
      <c r="F461" s="8"/>
      <c r="G461" s="8"/>
      <c r="H461" s="28"/>
      <c r="I461" s="28"/>
    </row>
    <row r="462" spans="1:9" x14ac:dyDescent="0.35">
      <c r="A462" s="8"/>
      <c r="B462" s="8"/>
      <c r="C462" s="8"/>
      <c r="D462" s="28"/>
      <c r="E462" s="8"/>
      <c r="F462" s="8"/>
      <c r="G462" s="8"/>
      <c r="H462" s="28"/>
      <c r="I462" s="28"/>
    </row>
    <row r="463" spans="1:9" x14ac:dyDescent="0.35">
      <c r="A463" s="8"/>
      <c r="B463" s="8"/>
      <c r="C463" s="8"/>
      <c r="D463" s="28"/>
      <c r="E463" s="8"/>
      <c r="F463" s="8"/>
      <c r="G463" s="8"/>
      <c r="H463" s="28"/>
      <c r="I463" s="28"/>
    </row>
    <row r="464" spans="1:9" x14ac:dyDescent="0.35">
      <c r="A464" s="8"/>
      <c r="B464" s="8"/>
      <c r="C464" s="8"/>
      <c r="D464" s="28"/>
      <c r="E464" s="8"/>
      <c r="F464" s="8"/>
      <c r="G464" s="8"/>
      <c r="H464" s="28"/>
      <c r="I464" s="28"/>
    </row>
    <row r="465" spans="1:9" x14ac:dyDescent="0.35">
      <c r="A465" s="8"/>
      <c r="B465" s="8"/>
      <c r="C465" s="8"/>
      <c r="D465" s="28"/>
      <c r="E465" s="8"/>
      <c r="F465" s="8"/>
      <c r="G465" s="8"/>
      <c r="H465" s="28"/>
      <c r="I465" s="28"/>
    </row>
    <row r="466" spans="1:9" x14ac:dyDescent="0.35">
      <c r="A466" s="8"/>
      <c r="B466" s="8"/>
      <c r="C466" s="8"/>
      <c r="D466" s="28"/>
      <c r="E466" s="8"/>
      <c r="F466" s="8"/>
      <c r="G466" s="8"/>
      <c r="H466" s="28"/>
      <c r="I466" s="28"/>
    </row>
    <row r="467" spans="1:9" x14ac:dyDescent="0.35">
      <c r="A467" s="8"/>
      <c r="B467" s="8"/>
      <c r="C467" s="8"/>
      <c r="D467" s="28"/>
      <c r="E467" s="8"/>
      <c r="F467" s="8"/>
      <c r="G467" s="8"/>
      <c r="H467" s="28"/>
      <c r="I467" s="28"/>
    </row>
    <row r="468" spans="1:9" x14ac:dyDescent="0.35">
      <c r="A468" s="8"/>
      <c r="B468" s="8"/>
      <c r="C468" s="8"/>
      <c r="D468" s="28"/>
      <c r="E468" s="8"/>
      <c r="F468" s="8"/>
      <c r="G468" s="8"/>
      <c r="H468" s="28"/>
      <c r="I468" s="28"/>
    </row>
    <row r="469" spans="1:9" x14ac:dyDescent="0.35">
      <c r="A469" s="8"/>
      <c r="B469" s="8"/>
      <c r="C469" s="8"/>
      <c r="D469" s="28"/>
      <c r="E469" s="8"/>
      <c r="F469" s="8"/>
      <c r="G469" s="8"/>
      <c r="H469" s="28"/>
      <c r="I469" s="28"/>
    </row>
    <row r="470" spans="1:9" x14ac:dyDescent="0.35">
      <c r="A470" s="8"/>
      <c r="B470" s="8"/>
      <c r="C470" s="8"/>
      <c r="D470" s="28"/>
      <c r="E470" s="8"/>
      <c r="F470" s="8"/>
      <c r="G470" s="8"/>
      <c r="H470" s="28"/>
      <c r="I470" s="28"/>
    </row>
    <row r="471" spans="1:9" x14ac:dyDescent="0.35">
      <c r="A471" s="8"/>
      <c r="B471" s="8"/>
      <c r="C471" s="8"/>
      <c r="D471" s="28"/>
      <c r="E471" s="8"/>
      <c r="F471" s="8"/>
      <c r="G471" s="8"/>
      <c r="H471" s="28"/>
      <c r="I471" s="28"/>
    </row>
    <row r="472" spans="1:9" x14ac:dyDescent="0.35">
      <c r="A472" s="8"/>
      <c r="B472" s="8"/>
      <c r="C472" s="8"/>
      <c r="D472" s="28"/>
      <c r="E472" s="8"/>
      <c r="F472" s="8"/>
      <c r="G472" s="8"/>
      <c r="H472" s="28"/>
      <c r="I472" s="28"/>
    </row>
    <row r="473" spans="1:9" x14ac:dyDescent="0.35">
      <c r="A473" s="8"/>
      <c r="B473" s="8"/>
      <c r="C473" s="8"/>
      <c r="D473" s="28"/>
      <c r="E473" s="8"/>
      <c r="F473" s="8"/>
      <c r="G473" s="8"/>
      <c r="H473" s="28"/>
      <c r="I473" s="28"/>
    </row>
    <row r="474" spans="1:9" x14ac:dyDescent="0.35">
      <c r="A474" s="8"/>
      <c r="B474" s="8"/>
      <c r="C474" s="8"/>
      <c r="D474" s="28"/>
      <c r="E474" s="8"/>
      <c r="F474" s="8"/>
      <c r="G474" s="8"/>
      <c r="H474" s="28"/>
      <c r="I474" s="28"/>
    </row>
    <row r="475" spans="1:9" x14ac:dyDescent="0.35">
      <c r="A475" s="8"/>
      <c r="B475" s="8"/>
      <c r="C475" s="8"/>
      <c r="D475" s="28"/>
      <c r="E475" s="8"/>
      <c r="F475" s="8"/>
      <c r="G475" s="8"/>
      <c r="H475" s="28"/>
      <c r="I475" s="28"/>
    </row>
    <row r="476" spans="1:9" x14ac:dyDescent="0.35">
      <c r="A476" s="8"/>
      <c r="B476" s="8"/>
      <c r="C476" s="8"/>
      <c r="D476" s="28"/>
      <c r="E476" s="8"/>
      <c r="F476" s="8"/>
      <c r="G476" s="8"/>
      <c r="H476" s="28"/>
      <c r="I476" s="28"/>
    </row>
    <row r="477" spans="1:9" x14ac:dyDescent="0.35">
      <c r="A477" s="8"/>
      <c r="B477" s="8"/>
      <c r="C477" s="8"/>
      <c r="D477" s="28"/>
      <c r="E477" s="8"/>
      <c r="F477" s="8"/>
      <c r="G477" s="8"/>
      <c r="H477" s="28"/>
      <c r="I477" s="28"/>
    </row>
    <row r="478" spans="1:9" x14ac:dyDescent="0.35">
      <c r="A478" s="8"/>
      <c r="B478" s="8"/>
      <c r="C478" s="8"/>
      <c r="D478" s="28"/>
      <c r="E478" s="8"/>
      <c r="F478" s="8"/>
      <c r="G478" s="8"/>
      <c r="H478" s="28"/>
      <c r="I478" s="28"/>
    </row>
    <row r="479" spans="1:9" x14ac:dyDescent="0.35">
      <c r="A479" s="8"/>
      <c r="B479" s="8"/>
      <c r="C479" s="8"/>
      <c r="D479" s="28"/>
      <c r="E479" s="8"/>
      <c r="F479" s="8"/>
      <c r="G479" s="8"/>
      <c r="H479" s="28"/>
      <c r="I479" s="28"/>
    </row>
    <row r="480" spans="1:9" x14ac:dyDescent="0.35">
      <c r="A480" s="8"/>
      <c r="B480" s="8"/>
      <c r="C480" s="8"/>
      <c r="D480" s="28"/>
      <c r="E480" s="8"/>
      <c r="F480" s="8"/>
      <c r="G480" s="8"/>
      <c r="H480" s="28"/>
      <c r="I480" s="28"/>
    </row>
    <row r="481" spans="1:9" x14ac:dyDescent="0.35">
      <c r="A481" s="8"/>
      <c r="B481" s="8"/>
      <c r="C481" s="8"/>
      <c r="D481" s="28"/>
      <c r="E481" s="8"/>
      <c r="F481" s="8"/>
      <c r="G481" s="8"/>
      <c r="H481" s="28"/>
      <c r="I481" s="28"/>
    </row>
    <row r="482" spans="1:9" x14ac:dyDescent="0.35">
      <c r="A482" s="8"/>
      <c r="B482" s="8"/>
      <c r="C482" s="8"/>
      <c r="D482" s="28"/>
      <c r="E482" s="8"/>
      <c r="F482" s="8"/>
      <c r="G482" s="8"/>
      <c r="H482" s="28"/>
      <c r="I482" s="28"/>
    </row>
    <row r="483" spans="1:9" x14ac:dyDescent="0.35">
      <c r="A483" s="8"/>
      <c r="B483" s="8"/>
      <c r="C483" s="8"/>
      <c r="D483" s="28"/>
      <c r="E483" s="8"/>
      <c r="F483" s="8"/>
      <c r="G483" s="8"/>
      <c r="H483" s="28"/>
      <c r="I483" s="28"/>
    </row>
    <row r="484" spans="1:9" x14ac:dyDescent="0.35">
      <c r="A484" s="8"/>
      <c r="B484" s="8"/>
      <c r="C484" s="8"/>
      <c r="D484" s="28"/>
      <c r="E484" s="8"/>
      <c r="F484" s="8"/>
      <c r="G484" s="8"/>
      <c r="H484" s="28"/>
      <c r="I484" s="28"/>
    </row>
    <row r="485" spans="1:9" x14ac:dyDescent="0.35">
      <c r="A485" s="8"/>
      <c r="B485" s="8"/>
      <c r="C485" s="8"/>
      <c r="D485" s="28"/>
      <c r="E485" s="8"/>
      <c r="F485" s="8"/>
      <c r="G485" s="8"/>
      <c r="H485" s="28"/>
      <c r="I485" s="28"/>
    </row>
    <row r="486" spans="1:9" x14ac:dyDescent="0.35">
      <c r="A486" s="8"/>
      <c r="B486" s="8"/>
      <c r="C486" s="8"/>
      <c r="D486" s="28"/>
      <c r="E486" s="8"/>
      <c r="F486" s="8"/>
      <c r="G486" s="8"/>
      <c r="H486" s="28"/>
      <c r="I486" s="28"/>
    </row>
    <row r="487" spans="1:9" x14ac:dyDescent="0.35">
      <c r="A487" s="8"/>
      <c r="B487" s="8"/>
      <c r="C487" s="8"/>
      <c r="D487" s="28"/>
      <c r="E487" s="8"/>
      <c r="F487" s="8"/>
      <c r="G487" s="8"/>
      <c r="H487" s="28"/>
      <c r="I487" s="28"/>
    </row>
    <row r="488" spans="1:9" x14ac:dyDescent="0.35">
      <c r="A488" s="8"/>
      <c r="B488" s="8"/>
      <c r="C488" s="8"/>
      <c r="D488" s="28"/>
      <c r="E488" s="8"/>
      <c r="F488" s="8"/>
      <c r="G488" s="8"/>
      <c r="H488" s="28"/>
      <c r="I488" s="28"/>
    </row>
    <row r="489" spans="1:9" x14ac:dyDescent="0.35">
      <c r="A489" s="8"/>
      <c r="B489" s="8"/>
      <c r="C489" s="8"/>
      <c r="D489" s="28"/>
      <c r="E489" s="8"/>
      <c r="F489" s="8"/>
      <c r="G489" s="8"/>
      <c r="H489" s="28"/>
      <c r="I489" s="28"/>
    </row>
    <row r="490" spans="1:9" x14ac:dyDescent="0.35">
      <c r="A490" s="8"/>
      <c r="B490" s="8"/>
      <c r="C490" s="8"/>
      <c r="D490" s="28"/>
      <c r="E490" s="8"/>
      <c r="F490" s="8"/>
      <c r="G490" s="8"/>
      <c r="H490" s="28"/>
      <c r="I490" s="28"/>
    </row>
    <row r="491" spans="1:9" x14ac:dyDescent="0.35">
      <c r="A491" s="8"/>
      <c r="B491" s="8"/>
      <c r="C491" s="8"/>
      <c r="D491" s="28"/>
      <c r="E491" s="8"/>
      <c r="F491" s="8"/>
      <c r="G491" s="8"/>
      <c r="H491" s="28"/>
      <c r="I491" s="28"/>
    </row>
    <row r="492" spans="1:9" x14ac:dyDescent="0.35">
      <c r="A492" s="8"/>
      <c r="B492" s="8"/>
      <c r="C492" s="8"/>
      <c r="D492" s="28"/>
      <c r="E492" s="8"/>
      <c r="F492" s="8"/>
      <c r="G492" s="8"/>
      <c r="H492" s="28"/>
      <c r="I492" s="28"/>
    </row>
    <row r="493" spans="1:9" x14ac:dyDescent="0.35">
      <c r="A493" s="8"/>
      <c r="B493" s="8"/>
      <c r="C493" s="8"/>
      <c r="D493" s="28"/>
      <c r="E493" s="8"/>
      <c r="F493" s="8"/>
      <c r="G493" s="8"/>
      <c r="H493" s="28"/>
      <c r="I493" s="28"/>
    </row>
    <row r="494" spans="1:9" x14ac:dyDescent="0.35">
      <c r="A494" s="8"/>
      <c r="B494" s="8"/>
      <c r="C494" s="8"/>
      <c r="D494" s="28"/>
      <c r="E494" s="8"/>
      <c r="F494" s="8"/>
      <c r="G494" s="8"/>
      <c r="H494" s="28"/>
      <c r="I494" s="28"/>
    </row>
    <row r="495" spans="1:9" x14ac:dyDescent="0.35">
      <c r="A495" s="8"/>
      <c r="B495" s="8"/>
      <c r="C495" s="8"/>
      <c r="D495" s="28"/>
      <c r="E495" s="8"/>
      <c r="F495" s="8"/>
      <c r="G495" s="8"/>
      <c r="H495" s="28"/>
      <c r="I495" s="28"/>
    </row>
    <row r="496" spans="1:9" x14ac:dyDescent="0.35">
      <c r="A496" s="8"/>
      <c r="B496" s="8"/>
      <c r="C496" s="8"/>
      <c r="D496" s="28"/>
      <c r="E496" s="8"/>
      <c r="F496" s="8"/>
      <c r="G496" s="8"/>
      <c r="H496" s="28"/>
      <c r="I496" s="28"/>
    </row>
    <row r="497" spans="1:9" x14ac:dyDescent="0.35">
      <c r="A497" s="8"/>
      <c r="B497" s="8"/>
      <c r="C497" s="8"/>
      <c r="D497" s="28"/>
      <c r="E497" s="8"/>
      <c r="F497" s="8"/>
      <c r="G497" s="8"/>
      <c r="H497" s="28"/>
      <c r="I497" s="28"/>
    </row>
    <row r="498" spans="1:9" x14ac:dyDescent="0.35">
      <c r="A498" s="8"/>
      <c r="B498" s="8"/>
      <c r="C498" s="8"/>
      <c r="D498" s="28"/>
      <c r="E498" s="8"/>
      <c r="F498" s="8"/>
      <c r="G498" s="8"/>
      <c r="H498" s="28"/>
      <c r="I498" s="28"/>
    </row>
    <row r="499" spans="1:9" x14ac:dyDescent="0.35">
      <c r="A499" s="8"/>
      <c r="B499" s="8"/>
      <c r="C499" s="8"/>
      <c r="D499" s="28"/>
      <c r="E499" s="8"/>
      <c r="F499" s="8"/>
      <c r="G499" s="8"/>
      <c r="H499" s="28"/>
      <c r="I499" s="28"/>
    </row>
    <row r="500" spans="1:9" x14ac:dyDescent="0.35">
      <c r="A500" s="8"/>
      <c r="B500" s="8"/>
      <c r="C500" s="8"/>
      <c r="D500" s="28"/>
      <c r="E500" s="8"/>
      <c r="F500" s="8"/>
      <c r="G500" s="8"/>
      <c r="H500" s="28"/>
      <c r="I500" s="28"/>
    </row>
    <row r="501" spans="1:9" x14ac:dyDescent="0.35">
      <c r="A501" s="8"/>
      <c r="B501" s="8"/>
      <c r="C501" s="8"/>
      <c r="D501" s="28"/>
      <c r="E501" s="8"/>
      <c r="F501" s="8"/>
      <c r="G501" s="8"/>
      <c r="H501" s="28"/>
      <c r="I501" s="28"/>
    </row>
    <row r="502" spans="1:9" x14ac:dyDescent="0.35">
      <c r="A502" s="8"/>
      <c r="B502" s="8"/>
      <c r="C502" s="8"/>
      <c r="D502" s="28"/>
      <c r="E502" s="8"/>
      <c r="F502" s="8"/>
      <c r="G502" s="8"/>
      <c r="H502" s="28"/>
      <c r="I502" s="28"/>
    </row>
    <row r="503" spans="1:9" x14ac:dyDescent="0.35">
      <c r="A503" s="8"/>
      <c r="B503" s="8"/>
      <c r="C503" s="8"/>
      <c r="D503" s="28"/>
      <c r="E503" s="8"/>
      <c r="F503" s="8"/>
      <c r="G503" s="8"/>
      <c r="H503" s="28"/>
      <c r="I503" s="28"/>
    </row>
    <row r="504" spans="1:9" x14ac:dyDescent="0.35">
      <c r="A504" s="8"/>
      <c r="B504" s="8"/>
      <c r="C504" s="8"/>
      <c r="D504" s="28"/>
      <c r="E504" s="8"/>
      <c r="F504" s="8"/>
      <c r="G504" s="8"/>
      <c r="H504" s="28"/>
      <c r="I504" s="28"/>
    </row>
    <row r="505" spans="1:9" x14ac:dyDescent="0.35">
      <c r="A505" s="8"/>
      <c r="B505" s="8"/>
      <c r="C505" s="8"/>
      <c r="D505" s="28"/>
      <c r="E505" s="8"/>
      <c r="F505" s="8"/>
      <c r="G505" s="8"/>
      <c r="H505" s="28"/>
      <c r="I505" s="28"/>
    </row>
    <row r="506" spans="1:9" x14ac:dyDescent="0.35">
      <c r="A506" s="8"/>
      <c r="B506" s="8"/>
      <c r="C506" s="8"/>
      <c r="D506" s="28"/>
      <c r="E506" s="8"/>
      <c r="F506" s="8"/>
      <c r="G506" s="8"/>
      <c r="H506" s="28"/>
      <c r="I506" s="28"/>
    </row>
    <row r="507" spans="1:9" x14ac:dyDescent="0.35">
      <c r="A507" s="8"/>
      <c r="B507" s="8"/>
      <c r="C507" s="8"/>
      <c r="D507" s="28"/>
      <c r="E507" s="8"/>
      <c r="F507" s="8"/>
      <c r="G507" s="8"/>
      <c r="H507" s="28"/>
      <c r="I507" s="28"/>
    </row>
    <row r="508" spans="1:9" x14ac:dyDescent="0.35">
      <c r="A508" s="8"/>
      <c r="B508" s="8"/>
      <c r="C508" s="8"/>
      <c r="D508" s="28"/>
      <c r="E508" s="8"/>
      <c r="F508" s="8"/>
      <c r="G508" s="8"/>
      <c r="H508" s="28"/>
      <c r="I508" s="28"/>
    </row>
    <row r="509" spans="1:9" x14ac:dyDescent="0.35">
      <c r="A509" s="8"/>
      <c r="B509" s="8"/>
      <c r="C509" s="8"/>
      <c r="D509" s="28"/>
      <c r="E509" s="8"/>
      <c r="F509" s="8"/>
      <c r="G509" s="8"/>
      <c r="H509" s="28"/>
      <c r="I509" s="28"/>
    </row>
    <row r="510" spans="1:9" x14ac:dyDescent="0.35">
      <c r="A510" s="8"/>
      <c r="B510" s="8"/>
      <c r="C510" s="8"/>
      <c r="D510" s="28"/>
      <c r="E510" s="8"/>
      <c r="F510" s="8"/>
      <c r="G510" s="8"/>
      <c r="H510" s="28"/>
      <c r="I510" s="28"/>
    </row>
    <row r="511" spans="1:9" x14ac:dyDescent="0.35">
      <c r="A511" s="8"/>
      <c r="B511" s="8"/>
      <c r="C511" s="8"/>
      <c r="D511" s="28"/>
      <c r="E511" s="8"/>
      <c r="F511" s="8"/>
      <c r="G511" s="8"/>
      <c r="H511" s="28"/>
      <c r="I511" s="28"/>
    </row>
    <row r="512" spans="1:9" x14ac:dyDescent="0.35">
      <c r="A512" s="8"/>
      <c r="B512" s="8"/>
      <c r="C512" s="8"/>
      <c r="D512" s="28"/>
      <c r="E512" s="8"/>
      <c r="F512" s="8"/>
      <c r="G512" s="8"/>
      <c r="H512" s="28"/>
      <c r="I512" s="28"/>
    </row>
    <row r="513" spans="1:9" x14ac:dyDescent="0.35">
      <c r="A513" s="8"/>
      <c r="B513" s="8"/>
      <c r="C513" s="8"/>
      <c r="D513" s="28"/>
      <c r="E513" s="8"/>
      <c r="F513" s="8"/>
      <c r="G513" s="8"/>
      <c r="H513" s="28"/>
      <c r="I513" s="28"/>
    </row>
    <row r="514" spans="1:9" x14ac:dyDescent="0.35">
      <c r="A514" s="8"/>
      <c r="B514" s="8"/>
      <c r="C514" s="8"/>
      <c r="D514" s="28"/>
      <c r="E514" s="8"/>
      <c r="F514" s="8"/>
      <c r="G514" s="8"/>
      <c r="H514" s="28"/>
      <c r="I514" s="28"/>
    </row>
    <row r="515" spans="1:9" x14ac:dyDescent="0.35">
      <c r="A515" s="8"/>
      <c r="B515" s="8"/>
      <c r="C515" s="8"/>
      <c r="D515" s="28"/>
      <c r="E515" s="8"/>
      <c r="F515" s="8"/>
      <c r="G515" s="8"/>
      <c r="H515" s="28"/>
      <c r="I515" s="28"/>
    </row>
    <row r="516" spans="1:9" x14ac:dyDescent="0.35">
      <c r="A516" s="8"/>
      <c r="B516" s="8"/>
      <c r="C516" s="8"/>
      <c r="D516" s="28"/>
      <c r="E516" s="8"/>
      <c r="F516" s="8"/>
      <c r="G516" s="8"/>
      <c r="H516" s="28"/>
      <c r="I516" s="28"/>
    </row>
    <row r="517" spans="1:9" x14ac:dyDescent="0.35">
      <c r="A517" s="8"/>
      <c r="B517" s="8"/>
      <c r="C517" s="8"/>
      <c r="D517" s="28"/>
      <c r="E517" s="8"/>
      <c r="F517" s="8"/>
      <c r="G517" s="8"/>
      <c r="H517" s="28"/>
      <c r="I517" s="28"/>
    </row>
    <row r="518" spans="1:9" x14ac:dyDescent="0.35">
      <c r="A518" s="8"/>
      <c r="B518" s="8"/>
      <c r="C518" s="8"/>
      <c r="D518" s="28"/>
      <c r="E518" s="8"/>
      <c r="F518" s="8"/>
      <c r="G518" s="8"/>
      <c r="H518" s="28"/>
      <c r="I518" s="28"/>
    </row>
    <row r="519" spans="1:9" x14ac:dyDescent="0.35">
      <c r="A519" s="8"/>
      <c r="B519" s="8"/>
      <c r="C519" s="8"/>
      <c r="D519" s="28"/>
      <c r="E519" s="8"/>
      <c r="F519" s="8"/>
      <c r="G519" s="8"/>
      <c r="H519" s="28"/>
      <c r="I519" s="28"/>
    </row>
    <row r="520" spans="1:9" x14ac:dyDescent="0.35">
      <c r="A520" s="8"/>
      <c r="B520" s="8"/>
      <c r="C520" s="8"/>
      <c r="D520" s="28"/>
      <c r="E520" s="8"/>
      <c r="F520" s="8"/>
      <c r="G520" s="8"/>
      <c r="H520" s="28"/>
      <c r="I520" s="28"/>
    </row>
    <row r="521" spans="1:9" x14ac:dyDescent="0.35">
      <c r="A521" s="8"/>
      <c r="B521" s="8"/>
      <c r="C521" s="8"/>
      <c r="D521" s="28"/>
      <c r="E521" s="8"/>
      <c r="F521" s="8"/>
      <c r="G521" s="8"/>
      <c r="H521" s="28"/>
      <c r="I521" s="28"/>
    </row>
    <row r="522" spans="1:9" x14ac:dyDescent="0.35">
      <c r="A522" s="8"/>
      <c r="B522" s="8"/>
      <c r="C522" s="8"/>
      <c r="D522" s="28"/>
      <c r="E522" s="8"/>
      <c r="F522" s="8"/>
      <c r="G522" s="8"/>
      <c r="H522" s="28"/>
      <c r="I522" s="28"/>
    </row>
    <row r="523" spans="1:9" x14ac:dyDescent="0.35">
      <c r="A523" s="8"/>
      <c r="B523" s="8"/>
      <c r="C523" s="8"/>
      <c r="D523" s="28"/>
      <c r="E523" s="8"/>
      <c r="F523" s="8"/>
      <c r="G523" s="8"/>
      <c r="H523" s="28"/>
      <c r="I523" s="28"/>
    </row>
    <row r="524" spans="1:9" x14ac:dyDescent="0.35">
      <c r="A524" s="8"/>
      <c r="B524" s="8"/>
      <c r="C524" s="8"/>
      <c r="D524" s="28"/>
      <c r="E524" s="8"/>
      <c r="F524" s="8"/>
      <c r="G524" s="8"/>
      <c r="H524" s="28"/>
      <c r="I524" s="28"/>
    </row>
    <row r="525" spans="1:9" x14ac:dyDescent="0.35">
      <c r="A525" s="8"/>
      <c r="B525" s="8"/>
      <c r="C525" s="8"/>
      <c r="D525" s="28"/>
      <c r="E525" s="8"/>
      <c r="F525" s="8"/>
      <c r="G525" s="8"/>
      <c r="H525" s="28"/>
      <c r="I525" s="28"/>
    </row>
    <row r="526" spans="1:9" x14ac:dyDescent="0.35">
      <c r="A526" s="8"/>
      <c r="B526" s="8"/>
      <c r="C526" s="8"/>
      <c r="D526" s="28"/>
      <c r="E526" s="8"/>
      <c r="F526" s="8"/>
      <c r="G526" s="8"/>
      <c r="H526" s="28"/>
      <c r="I526" s="28"/>
    </row>
    <row r="527" spans="1:9" x14ac:dyDescent="0.35">
      <c r="A527" s="8"/>
      <c r="B527" s="8"/>
      <c r="C527" s="8"/>
      <c r="D527" s="28"/>
      <c r="E527" s="8"/>
      <c r="F527" s="8"/>
      <c r="G527" s="8"/>
      <c r="H527" s="28"/>
      <c r="I527" s="28"/>
    </row>
    <row r="528" spans="1:9" x14ac:dyDescent="0.35">
      <c r="A528" s="8"/>
      <c r="B528" s="8"/>
      <c r="C528" s="8"/>
      <c r="D528" s="28"/>
      <c r="E528" s="8"/>
      <c r="F528" s="8"/>
      <c r="G528" s="8"/>
      <c r="H528" s="28"/>
      <c r="I528" s="28"/>
    </row>
    <row r="529" spans="1:9" x14ac:dyDescent="0.35">
      <c r="A529" s="8"/>
      <c r="B529" s="8"/>
      <c r="C529" s="8"/>
      <c r="D529" s="28"/>
      <c r="E529" s="8"/>
      <c r="F529" s="8"/>
      <c r="G529" s="8"/>
      <c r="H529" s="28"/>
      <c r="I529" s="28"/>
    </row>
    <row r="530" spans="1:9" x14ac:dyDescent="0.35">
      <c r="A530" s="8"/>
      <c r="B530" s="8"/>
      <c r="C530" s="8"/>
      <c r="D530" s="28"/>
      <c r="E530" s="8"/>
      <c r="F530" s="8"/>
      <c r="G530" s="8"/>
      <c r="H530" s="28"/>
      <c r="I530" s="28"/>
    </row>
    <row r="531" spans="1:9" x14ac:dyDescent="0.35">
      <c r="A531" s="8"/>
      <c r="B531" s="8"/>
      <c r="C531" s="8"/>
      <c r="D531" s="28"/>
      <c r="E531" s="8"/>
      <c r="F531" s="8"/>
      <c r="G531" s="8"/>
      <c r="H531" s="28"/>
      <c r="I531" s="28"/>
    </row>
    <row r="532" spans="1:9" x14ac:dyDescent="0.35">
      <c r="A532" s="8"/>
      <c r="B532" s="8"/>
      <c r="C532" s="8"/>
      <c r="D532" s="28"/>
      <c r="E532" s="8"/>
      <c r="F532" s="8"/>
      <c r="G532" s="8"/>
      <c r="H532" s="28"/>
      <c r="I532" s="28"/>
    </row>
    <row r="533" spans="1:9" x14ac:dyDescent="0.35">
      <c r="A533" s="8"/>
      <c r="B533" s="8"/>
      <c r="C533" s="8"/>
      <c r="D533" s="28"/>
      <c r="E533" s="8"/>
      <c r="F533" s="8"/>
      <c r="G533" s="8"/>
      <c r="H533" s="28"/>
      <c r="I533" s="28"/>
    </row>
    <row r="534" spans="1:9" x14ac:dyDescent="0.35">
      <c r="A534" s="8"/>
      <c r="B534" s="8"/>
      <c r="C534" s="8"/>
      <c r="D534" s="28"/>
      <c r="E534" s="8"/>
      <c r="F534" s="8"/>
      <c r="G534" s="8"/>
      <c r="H534" s="28"/>
      <c r="I534" s="28"/>
    </row>
    <row r="535" spans="1:9" x14ac:dyDescent="0.35">
      <c r="A535" s="8"/>
      <c r="B535" s="8"/>
      <c r="C535" s="8"/>
      <c r="D535" s="28"/>
      <c r="E535" s="8"/>
      <c r="F535" s="8"/>
      <c r="G535" s="8"/>
      <c r="H535" s="28"/>
      <c r="I535" s="28"/>
    </row>
    <row r="536" spans="1:9" x14ac:dyDescent="0.35">
      <c r="A536" s="8"/>
      <c r="B536" s="8"/>
      <c r="C536" s="8"/>
      <c r="D536" s="28"/>
      <c r="E536" s="8"/>
      <c r="F536" s="8"/>
      <c r="G536" s="8"/>
      <c r="H536" s="28"/>
      <c r="I536" s="28"/>
    </row>
    <row r="537" spans="1:9" x14ac:dyDescent="0.35">
      <c r="A537" s="8"/>
      <c r="B537" s="8"/>
      <c r="C537" s="8"/>
      <c r="D537" s="28"/>
      <c r="E537" s="8"/>
      <c r="F537" s="8"/>
      <c r="G537" s="8"/>
      <c r="H537" s="28"/>
      <c r="I537" s="28"/>
    </row>
    <row r="538" spans="1:9" x14ac:dyDescent="0.35">
      <c r="A538" s="8"/>
      <c r="B538" s="8"/>
      <c r="C538" s="8"/>
      <c r="D538" s="28"/>
      <c r="E538" s="8"/>
      <c r="F538" s="8"/>
      <c r="G538" s="8"/>
      <c r="H538" s="28"/>
      <c r="I538" s="28"/>
    </row>
    <row r="539" spans="1:9" x14ac:dyDescent="0.35">
      <c r="A539" s="8"/>
      <c r="B539" s="8"/>
      <c r="C539" s="8"/>
      <c r="D539" s="28"/>
      <c r="E539" s="8"/>
      <c r="F539" s="8"/>
      <c r="G539" s="8"/>
      <c r="H539" s="28"/>
      <c r="I539" s="28"/>
    </row>
    <row r="540" spans="1:9" x14ac:dyDescent="0.35">
      <c r="A540" s="8"/>
      <c r="B540" s="8"/>
      <c r="C540" s="8"/>
      <c r="D540" s="28"/>
      <c r="E540" s="8"/>
      <c r="F540" s="8"/>
      <c r="G540" s="8"/>
      <c r="H540" s="28"/>
      <c r="I540" s="28"/>
    </row>
    <row r="541" spans="1:9" x14ac:dyDescent="0.35">
      <c r="A541" s="8"/>
      <c r="B541" s="8"/>
      <c r="C541" s="8"/>
      <c r="D541" s="28"/>
      <c r="E541" s="8"/>
      <c r="F541" s="8"/>
      <c r="G541" s="8"/>
      <c r="H541" s="28"/>
      <c r="I541" s="28"/>
    </row>
    <row r="542" spans="1:9" x14ac:dyDescent="0.35">
      <c r="A542" s="8"/>
      <c r="B542" s="8"/>
      <c r="C542" s="8"/>
      <c r="D542" s="28"/>
      <c r="E542" s="8"/>
      <c r="F542" s="8"/>
      <c r="G542" s="8"/>
      <c r="H542" s="28"/>
      <c r="I542" s="28"/>
    </row>
    <row r="543" spans="1:9" x14ac:dyDescent="0.35">
      <c r="A543" s="8"/>
      <c r="B543" s="8"/>
      <c r="C543" s="8"/>
      <c r="D543" s="28"/>
      <c r="E543" s="8"/>
      <c r="F543" s="8"/>
      <c r="G543" s="8"/>
      <c r="H543" s="28"/>
      <c r="I543" s="28"/>
    </row>
    <row r="544" spans="1:9" x14ac:dyDescent="0.35">
      <c r="A544" s="8"/>
      <c r="B544" s="8"/>
      <c r="C544" s="8"/>
      <c r="D544" s="28"/>
      <c r="E544" s="8"/>
      <c r="F544" s="8"/>
      <c r="G544" s="8"/>
      <c r="H544" s="28"/>
      <c r="I544" s="28"/>
    </row>
    <row r="545" spans="1:9" x14ac:dyDescent="0.35">
      <c r="A545" s="8"/>
      <c r="B545" s="8"/>
      <c r="C545" s="8"/>
      <c r="D545" s="28"/>
      <c r="E545" s="8"/>
      <c r="F545" s="8"/>
      <c r="G545" s="8"/>
      <c r="H545" s="28"/>
      <c r="I545" s="28"/>
    </row>
    <row r="546" spans="1:9" x14ac:dyDescent="0.35">
      <c r="A546" s="8"/>
      <c r="B546" s="8"/>
      <c r="C546" s="8"/>
      <c r="D546" s="28"/>
      <c r="E546" s="8"/>
      <c r="F546" s="8"/>
      <c r="G546" s="8"/>
      <c r="H546" s="28"/>
      <c r="I546" s="28"/>
    </row>
    <row r="547" spans="1:9" x14ac:dyDescent="0.35">
      <c r="A547" s="8"/>
      <c r="B547" s="8"/>
      <c r="C547" s="8"/>
      <c r="D547" s="28"/>
      <c r="E547" s="8"/>
      <c r="F547" s="8"/>
      <c r="G547" s="8"/>
      <c r="H547" s="28"/>
      <c r="I547" s="28"/>
    </row>
    <row r="548" spans="1:9" x14ac:dyDescent="0.35">
      <c r="A548" s="8"/>
      <c r="B548" s="8"/>
      <c r="C548" s="8"/>
      <c r="D548" s="28"/>
      <c r="E548" s="8"/>
      <c r="F548" s="8"/>
      <c r="G548" s="8"/>
      <c r="H548" s="28"/>
      <c r="I548" s="28"/>
    </row>
    <row r="549" spans="1:9" x14ac:dyDescent="0.35">
      <c r="A549" s="8"/>
      <c r="B549" s="8"/>
      <c r="C549" s="8"/>
      <c r="D549" s="28"/>
      <c r="E549" s="8"/>
      <c r="F549" s="8"/>
      <c r="G549" s="8"/>
      <c r="H549" s="28"/>
      <c r="I549" s="28"/>
    </row>
    <row r="550" spans="1:9" x14ac:dyDescent="0.35">
      <c r="A550" s="8"/>
      <c r="B550" s="8"/>
      <c r="C550" s="8"/>
      <c r="D550" s="28"/>
      <c r="E550" s="8"/>
      <c r="F550" s="8"/>
      <c r="G550" s="8"/>
      <c r="H550" s="28"/>
      <c r="I550" s="28"/>
    </row>
    <row r="551" spans="1:9" x14ac:dyDescent="0.35">
      <c r="A551" s="8"/>
      <c r="B551" s="8"/>
      <c r="C551" s="8"/>
      <c r="D551" s="28"/>
      <c r="E551" s="8"/>
      <c r="F551" s="8"/>
      <c r="G551" s="8"/>
      <c r="H551" s="28"/>
      <c r="I551" s="28"/>
    </row>
    <row r="552" spans="1:9" x14ac:dyDescent="0.35">
      <c r="A552" s="8"/>
      <c r="B552" s="8"/>
      <c r="C552" s="8"/>
      <c r="D552" s="28"/>
      <c r="E552" s="8"/>
      <c r="F552" s="8"/>
      <c r="G552" s="8"/>
      <c r="H552" s="28"/>
      <c r="I552" s="28"/>
    </row>
    <row r="553" spans="1:9" x14ac:dyDescent="0.35">
      <c r="A553" s="8"/>
      <c r="B553" s="8"/>
      <c r="C553" s="8"/>
      <c r="D553" s="28"/>
      <c r="E553" s="8"/>
      <c r="F553" s="8"/>
      <c r="G553" s="8"/>
      <c r="H553" s="28"/>
      <c r="I553" s="28"/>
    </row>
    <row r="554" spans="1:9" x14ac:dyDescent="0.35">
      <c r="A554" s="8"/>
      <c r="B554" s="8"/>
      <c r="C554" s="8"/>
      <c r="D554" s="28"/>
      <c r="E554" s="8"/>
      <c r="F554" s="8"/>
      <c r="G554" s="8"/>
      <c r="H554" s="28"/>
      <c r="I554" s="28"/>
    </row>
    <row r="555" spans="1:9" x14ac:dyDescent="0.35">
      <c r="A555" s="8"/>
      <c r="B555" s="8"/>
      <c r="C555" s="8"/>
      <c r="D555" s="28"/>
      <c r="E555" s="8"/>
      <c r="F555" s="8"/>
      <c r="G555" s="8"/>
      <c r="H555" s="28"/>
      <c r="I555" s="28"/>
    </row>
    <row r="556" spans="1:9" x14ac:dyDescent="0.35">
      <c r="A556" s="8"/>
      <c r="B556" s="8"/>
      <c r="C556" s="8"/>
      <c r="D556" s="28"/>
      <c r="E556" s="8"/>
      <c r="F556" s="8"/>
      <c r="G556" s="8"/>
      <c r="H556" s="28"/>
      <c r="I556" s="28"/>
    </row>
    <row r="557" spans="1:9" x14ac:dyDescent="0.35">
      <c r="A557" s="8"/>
      <c r="B557" s="8"/>
      <c r="C557" s="8"/>
      <c r="D557" s="28"/>
      <c r="E557" s="8"/>
      <c r="F557" s="8"/>
      <c r="G557" s="8"/>
      <c r="H557" s="28"/>
      <c r="I557" s="28"/>
    </row>
    <row r="558" spans="1:9" x14ac:dyDescent="0.35">
      <c r="A558" s="8"/>
      <c r="B558" s="8"/>
      <c r="C558" s="8"/>
      <c r="D558" s="28"/>
      <c r="E558" s="8"/>
      <c r="F558" s="8"/>
      <c r="G558" s="8"/>
      <c r="H558" s="28"/>
      <c r="I558" s="28"/>
    </row>
    <row r="559" spans="1:9" x14ac:dyDescent="0.35">
      <c r="A559" s="8"/>
      <c r="B559" s="8"/>
      <c r="C559" s="8"/>
      <c r="D559" s="28"/>
      <c r="E559" s="8"/>
      <c r="F559" s="8"/>
      <c r="G559" s="8"/>
      <c r="H559" s="28"/>
      <c r="I559" s="28"/>
    </row>
    <row r="560" spans="1:9" x14ac:dyDescent="0.35">
      <c r="A560" s="8"/>
      <c r="B560" s="8"/>
      <c r="C560" s="8"/>
      <c r="D560" s="28"/>
      <c r="E560" s="8"/>
      <c r="F560" s="8"/>
      <c r="G560" s="8"/>
      <c r="H560" s="28"/>
      <c r="I560" s="28"/>
    </row>
    <row r="561" spans="1:9" x14ac:dyDescent="0.35">
      <c r="A561" s="8"/>
      <c r="B561" s="8"/>
      <c r="C561" s="8"/>
      <c r="D561" s="28"/>
      <c r="E561" s="8"/>
      <c r="F561" s="8"/>
      <c r="G561" s="8"/>
      <c r="H561" s="28"/>
      <c r="I561" s="28"/>
    </row>
    <row r="562" spans="1:9" x14ac:dyDescent="0.35">
      <c r="A562" s="8"/>
      <c r="B562" s="8"/>
      <c r="C562" s="8"/>
      <c r="D562" s="28"/>
      <c r="E562" s="8"/>
      <c r="F562" s="8"/>
      <c r="G562" s="8"/>
      <c r="H562" s="28"/>
      <c r="I562" s="28"/>
    </row>
    <row r="563" spans="1:9" x14ac:dyDescent="0.35">
      <c r="A563" s="8"/>
      <c r="B563" s="8"/>
      <c r="C563" s="8"/>
      <c r="D563" s="28"/>
      <c r="E563" s="8"/>
      <c r="F563" s="8"/>
      <c r="G563" s="8"/>
      <c r="H563" s="28"/>
      <c r="I563" s="28"/>
    </row>
    <row r="564" spans="1:9" x14ac:dyDescent="0.35">
      <c r="A564" s="8"/>
      <c r="B564" s="8"/>
      <c r="C564" s="8"/>
      <c r="D564" s="28"/>
      <c r="E564" s="8"/>
      <c r="F564" s="8"/>
      <c r="G564" s="8"/>
      <c r="H564" s="28"/>
      <c r="I564" s="28"/>
    </row>
    <row r="565" spans="1:9" x14ac:dyDescent="0.35">
      <c r="A565" s="8"/>
      <c r="B565" s="8"/>
      <c r="C565" s="8"/>
      <c r="D565" s="28"/>
      <c r="E565" s="8"/>
      <c r="F565" s="8"/>
      <c r="G565" s="8"/>
      <c r="H565" s="28"/>
      <c r="I565" s="28"/>
    </row>
    <row r="566" spans="1:9" x14ac:dyDescent="0.35">
      <c r="A566" s="8"/>
      <c r="B566" s="8"/>
      <c r="C566" s="8"/>
      <c r="D566" s="28"/>
      <c r="E566" s="8"/>
      <c r="F566" s="8"/>
      <c r="G566" s="8"/>
      <c r="H566" s="28"/>
      <c r="I566" s="28"/>
    </row>
    <row r="567" spans="1:9" x14ac:dyDescent="0.35">
      <c r="A567" s="8"/>
      <c r="B567" s="8"/>
      <c r="C567" s="8"/>
      <c r="D567" s="28"/>
      <c r="E567" s="8"/>
      <c r="F567" s="8"/>
      <c r="G567" s="8"/>
      <c r="H567" s="28"/>
      <c r="I567" s="28"/>
    </row>
    <row r="568" spans="1:9" x14ac:dyDescent="0.35">
      <c r="A568" s="8"/>
      <c r="B568" s="8"/>
      <c r="C568" s="8"/>
      <c r="D568" s="28"/>
      <c r="E568" s="8"/>
      <c r="F568" s="8"/>
      <c r="G568" s="8"/>
      <c r="H568" s="28"/>
      <c r="I568" s="28"/>
    </row>
    <row r="569" spans="1:9" x14ac:dyDescent="0.35">
      <c r="A569" s="8"/>
      <c r="B569" s="8"/>
      <c r="C569" s="8"/>
      <c r="D569" s="28"/>
      <c r="E569" s="8"/>
      <c r="F569" s="8"/>
      <c r="G569" s="8"/>
      <c r="H569" s="28"/>
      <c r="I569" s="28"/>
    </row>
    <row r="570" spans="1:9" x14ac:dyDescent="0.35">
      <c r="A570" s="8"/>
      <c r="B570" s="8"/>
      <c r="C570" s="8"/>
      <c r="D570" s="28"/>
      <c r="E570" s="8"/>
      <c r="F570" s="8"/>
      <c r="G570" s="8"/>
      <c r="H570" s="28"/>
      <c r="I570" s="28"/>
    </row>
    <row r="571" spans="1:9" x14ac:dyDescent="0.35">
      <c r="A571" s="8"/>
      <c r="B571" s="8"/>
      <c r="C571" s="8"/>
      <c r="D571" s="28"/>
      <c r="E571" s="8"/>
      <c r="F571" s="8"/>
      <c r="G571" s="8"/>
      <c r="H571" s="28"/>
      <c r="I571" s="28"/>
    </row>
    <row r="572" spans="1:9" x14ac:dyDescent="0.35">
      <c r="A572" s="8"/>
      <c r="B572" s="8"/>
      <c r="C572" s="8"/>
      <c r="D572" s="28"/>
      <c r="E572" s="8"/>
      <c r="F572" s="8"/>
      <c r="G572" s="8"/>
      <c r="H572" s="28"/>
      <c r="I572" s="28"/>
    </row>
    <row r="573" spans="1:9" x14ac:dyDescent="0.35">
      <c r="A573" s="8"/>
      <c r="B573" s="8"/>
      <c r="C573" s="8"/>
      <c r="D573" s="28"/>
      <c r="E573" s="8"/>
      <c r="F573" s="8"/>
      <c r="G573" s="8"/>
      <c r="H573" s="28"/>
      <c r="I573" s="28"/>
    </row>
    <row r="574" spans="1:9" x14ac:dyDescent="0.35">
      <c r="A574" s="8"/>
      <c r="B574" s="8"/>
      <c r="C574" s="8"/>
      <c r="D574" s="28"/>
      <c r="E574" s="8"/>
      <c r="F574" s="8"/>
      <c r="G574" s="8"/>
      <c r="H574" s="28"/>
      <c r="I574" s="28"/>
    </row>
    <row r="575" spans="1:9" x14ac:dyDescent="0.35">
      <c r="A575" s="8"/>
      <c r="B575" s="8"/>
      <c r="C575" s="8"/>
      <c r="D575" s="28"/>
      <c r="E575" s="8"/>
      <c r="F575" s="8"/>
      <c r="G575" s="8"/>
      <c r="H575" s="28"/>
      <c r="I575" s="28"/>
    </row>
    <row r="576" spans="1:9" x14ac:dyDescent="0.35">
      <c r="A576" s="8"/>
      <c r="B576" s="8"/>
      <c r="C576" s="8"/>
      <c r="D576" s="28"/>
      <c r="E576" s="8"/>
      <c r="F576" s="8"/>
      <c r="G576" s="8"/>
      <c r="H576" s="28"/>
      <c r="I576" s="28"/>
    </row>
    <row r="577" spans="1:9" x14ac:dyDescent="0.35">
      <c r="A577" s="8"/>
      <c r="B577" s="8"/>
      <c r="C577" s="8"/>
      <c r="D577" s="28"/>
      <c r="E577" s="8"/>
      <c r="F577" s="8"/>
      <c r="G577" s="8"/>
      <c r="H577" s="28"/>
      <c r="I577" s="28"/>
    </row>
    <row r="578" spans="1:9" x14ac:dyDescent="0.35">
      <c r="A578" s="8"/>
      <c r="B578" s="8"/>
      <c r="C578" s="8"/>
      <c r="D578" s="28"/>
      <c r="E578" s="8"/>
      <c r="F578" s="8"/>
      <c r="G578" s="8"/>
      <c r="H578" s="28"/>
      <c r="I578" s="28"/>
    </row>
    <row r="579" spans="1:9" x14ac:dyDescent="0.35">
      <c r="A579" s="8"/>
      <c r="B579" s="8"/>
      <c r="C579" s="8"/>
      <c r="D579" s="28"/>
      <c r="E579" s="8"/>
      <c r="F579" s="8"/>
      <c r="G579" s="8"/>
      <c r="H579" s="28"/>
      <c r="I579" s="28"/>
    </row>
    <row r="580" spans="1:9" x14ac:dyDescent="0.35">
      <c r="A580" s="8"/>
      <c r="B580" s="8"/>
      <c r="C580" s="8"/>
      <c r="D580" s="28"/>
      <c r="E580" s="8"/>
      <c r="F580" s="8"/>
      <c r="G580" s="8"/>
      <c r="H580" s="28"/>
      <c r="I580" s="28"/>
    </row>
    <row r="581" spans="1:9" x14ac:dyDescent="0.35">
      <c r="A581" s="8"/>
      <c r="B581" s="8"/>
      <c r="C581" s="8"/>
      <c r="D581" s="28"/>
      <c r="E581" s="8"/>
      <c r="F581" s="8"/>
      <c r="G581" s="8"/>
      <c r="H581" s="28"/>
      <c r="I581" s="28"/>
    </row>
    <row r="582" spans="1:9" x14ac:dyDescent="0.35">
      <c r="A582" s="8"/>
      <c r="B582" s="8"/>
      <c r="C582" s="8"/>
      <c r="D582" s="28"/>
      <c r="E582" s="8"/>
      <c r="F582" s="8"/>
      <c r="G582" s="8"/>
      <c r="H582" s="28"/>
      <c r="I582" s="28"/>
    </row>
    <row r="583" spans="1:9" x14ac:dyDescent="0.35">
      <c r="A583" s="8"/>
      <c r="B583" s="8"/>
      <c r="C583" s="8"/>
      <c r="D583" s="28"/>
      <c r="E583" s="8"/>
      <c r="F583" s="8"/>
      <c r="G583" s="8"/>
      <c r="H583" s="28"/>
      <c r="I583" s="28"/>
    </row>
    <row r="584" spans="1:9" x14ac:dyDescent="0.35">
      <c r="A584" s="8"/>
      <c r="B584" s="8"/>
      <c r="C584" s="8"/>
      <c r="D584" s="28"/>
      <c r="E584" s="8"/>
      <c r="F584" s="8"/>
      <c r="G584" s="8"/>
      <c r="H584" s="28"/>
      <c r="I584" s="28"/>
    </row>
    <row r="585" spans="1:9" x14ac:dyDescent="0.35">
      <c r="A585" s="8"/>
      <c r="B585" s="8"/>
      <c r="C585" s="8"/>
      <c r="D585" s="28"/>
      <c r="E585" s="8"/>
      <c r="F585" s="8"/>
      <c r="G585" s="8"/>
      <c r="H585" s="28"/>
      <c r="I585" s="28"/>
    </row>
    <row r="586" spans="1:9" x14ac:dyDescent="0.35">
      <c r="A586" s="8"/>
      <c r="B586" s="8"/>
      <c r="C586" s="8"/>
      <c r="D586" s="28"/>
      <c r="E586" s="8"/>
      <c r="F586" s="8"/>
      <c r="G586" s="8"/>
      <c r="H586" s="28"/>
      <c r="I586" s="28"/>
    </row>
    <row r="587" spans="1:9" x14ac:dyDescent="0.35">
      <c r="A587" s="8"/>
      <c r="B587" s="8"/>
      <c r="C587" s="8"/>
      <c r="D587" s="28"/>
      <c r="E587" s="8"/>
      <c r="F587" s="8"/>
      <c r="G587" s="8"/>
      <c r="H587" s="28"/>
      <c r="I587" s="28"/>
    </row>
    <row r="588" spans="1:9" x14ac:dyDescent="0.35">
      <c r="A588" s="8"/>
      <c r="B588" s="8"/>
      <c r="C588" s="8"/>
      <c r="D588" s="28"/>
      <c r="E588" s="8"/>
      <c r="F588" s="8"/>
      <c r="G588" s="8"/>
      <c r="H588" s="28"/>
      <c r="I588" s="28"/>
    </row>
    <row r="589" spans="1:9" x14ac:dyDescent="0.35">
      <c r="A589" s="8"/>
      <c r="B589" s="8"/>
      <c r="C589" s="8"/>
      <c r="D589" s="28"/>
      <c r="E589" s="8"/>
      <c r="F589" s="8"/>
      <c r="G589" s="8"/>
      <c r="H589" s="28"/>
      <c r="I589" s="28"/>
    </row>
    <row r="590" spans="1:9" x14ac:dyDescent="0.35">
      <c r="A590" s="8"/>
      <c r="B590" s="8"/>
      <c r="C590" s="8"/>
      <c r="D590" s="28"/>
      <c r="E590" s="8"/>
      <c r="F590" s="8"/>
      <c r="G590" s="8"/>
      <c r="H590" s="28"/>
      <c r="I590" s="28"/>
    </row>
    <row r="591" spans="1:9" x14ac:dyDescent="0.35">
      <c r="A591" s="8"/>
      <c r="B591" s="8"/>
      <c r="C591" s="8"/>
      <c r="D591" s="28"/>
      <c r="E591" s="8"/>
      <c r="F591" s="8"/>
      <c r="G591" s="8"/>
      <c r="H591" s="28"/>
      <c r="I591" s="28"/>
    </row>
    <row r="592" spans="1:9" x14ac:dyDescent="0.35">
      <c r="A592" s="8"/>
      <c r="B592" s="8"/>
      <c r="C592" s="8"/>
      <c r="D592" s="28"/>
      <c r="E592" s="8"/>
      <c r="F592" s="8"/>
      <c r="G592" s="8"/>
      <c r="H592" s="28"/>
      <c r="I592" s="28"/>
    </row>
    <row r="593" spans="1:9" x14ac:dyDescent="0.35">
      <c r="A593" s="8"/>
      <c r="B593" s="8"/>
      <c r="C593" s="8"/>
      <c r="D593" s="28"/>
      <c r="E593" s="8"/>
      <c r="F593" s="8"/>
      <c r="G593" s="8"/>
      <c r="H593" s="28"/>
      <c r="I593" s="28"/>
    </row>
    <row r="594" spans="1:9" x14ac:dyDescent="0.35">
      <c r="A594" s="8"/>
      <c r="B594" s="8"/>
      <c r="C594" s="8"/>
      <c r="D594" s="28"/>
      <c r="E594" s="8"/>
      <c r="F594" s="8"/>
      <c r="G594" s="8"/>
      <c r="H594" s="28"/>
      <c r="I594" s="28"/>
    </row>
    <row r="595" spans="1:9" x14ac:dyDescent="0.35">
      <c r="A595" s="8"/>
      <c r="B595" s="8"/>
      <c r="C595" s="8"/>
      <c r="D595" s="28"/>
      <c r="E595" s="8"/>
      <c r="F595" s="8"/>
      <c r="G595" s="8"/>
      <c r="H595" s="28"/>
      <c r="I595" s="28"/>
    </row>
    <row r="596" spans="1:9" x14ac:dyDescent="0.35">
      <c r="A596" s="8"/>
      <c r="B596" s="8"/>
      <c r="C596" s="8"/>
      <c r="D596" s="28"/>
      <c r="E596" s="8"/>
      <c r="F596" s="8"/>
      <c r="G596" s="8"/>
      <c r="H596" s="28"/>
      <c r="I596" s="28"/>
    </row>
    <row r="597" spans="1:9" x14ac:dyDescent="0.35">
      <c r="A597" s="8"/>
      <c r="B597" s="8"/>
      <c r="C597" s="8"/>
      <c r="D597" s="28"/>
      <c r="E597" s="8"/>
      <c r="F597" s="8"/>
      <c r="G597" s="8"/>
      <c r="H597" s="28"/>
      <c r="I597" s="28"/>
    </row>
    <row r="598" spans="1:9" x14ac:dyDescent="0.35">
      <c r="A598" s="8"/>
      <c r="B598" s="8"/>
      <c r="C598" s="8"/>
      <c r="D598" s="28"/>
      <c r="E598" s="8"/>
      <c r="F598" s="8"/>
      <c r="G598" s="8"/>
      <c r="H598" s="28"/>
      <c r="I598" s="28"/>
    </row>
    <row r="599" spans="1:9" x14ac:dyDescent="0.35">
      <c r="A599" s="8"/>
      <c r="B599" s="8"/>
      <c r="C599" s="8"/>
      <c r="D599" s="28"/>
      <c r="E599" s="8"/>
      <c r="F599" s="8"/>
      <c r="G599" s="8"/>
      <c r="H599" s="28"/>
      <c r="I599" s="28"/>
    </row>
    <row r="600" spans="1:9" x14ac:dyDescent="0.35">
      <c r="A600" s="8"/>
      <c r="B600" s="8"/>
      <c r="C600" s="8"/>
      <c r="D600" s="28"/>
      <c r="E600" s="8"/>
      <c r="F600" s="8"/>
      <c r="G600" s="8"/>
      <c r="H600" s="28"/>
      <c r="I600" s="28"/>
    </row>
    <row r="601" spans="1:9" x14ac:dyDescent="0.35">
      <c r="A601" s="8"/>
      <c r="B601" s="8"/>
      <c r="C601" s="8"/>
      <c r="D601" s="28"/>
      <c r="E601" s="8"/>
      <c r="F601" s="8"/>
      <c r="G601" s="8"/>
      <c r="H601" s="28"/>
      <c r="I601" s="28"/>
    </row>
    <row r="602" spans="1:9" x14ac:dyDescent="0.35">
      <c r="A602" s="8"/>
      <c r="B602" s="8"/>
      <c r="C602" s="8"/>
      <c r="D602" s="28"/>
      <c r="E602" s="8"/>
      <c r="F602" s="8"/>
      <c r="G602" s="8"/>
      <c r="H602" s="28"/>
      <c r="I602" s="28"/>
    </row>
    <row r="603" spans="1:9" x14ac:dyDescent="0.35">
      <c r="A603" s="8"/>
      <c r="B603" s="8"/>
      <c r="C603" s="8"/>
      <c r="D603" s="28"/>
      <c r="E603" s="8"/>
      <c r="F603" s="8"/>
      <c r="G603" s="8"/>
      <c r="H603" s="28"/>
      <c r="I603" s="28"/>
    </row>
    <row r="604" spans="1:9" x14ac:dyDescent="0.35">
      <c r="A604" s="8"/>
      <c r="B604" s="8"/>
      <c r="C604" s="8"/>
      <c r="D604" s="28"/>
      <c r="E604" s="8"/>
      <c r="F604" s="8"/>
      <c r="G604" s="8"/>
      <c r="H604" s="28"/>
      <c r="I604" s="28"/>
    </row>
    <row r="605" spans="1:9" x14ac:dyDescent="0.35">
      <c r="A605" s="8"/>
      <c r="B605" s="8"/>
      <c r="C605" s="8"/>
      <c r="D605" s="28"/>
      <c r="E605" s="8"/>
      <c r="F605" s="8"/>
      <c r="G605" s="8"/>
      <c r="H605" s="28"/>
      <c r="I605" s="28"/>
    </row>
    <row r="606" spans="1:9" x14ac:dyDescent="0.35">
      <c r="A606" s="8"/>
      <c r="B606" s="8"/>
      <c r="C606" s="8"/>
      <c r="D606" s="28"/>
      <c r="E606" s="8"/>
      <c r="F606" s="8"/>
      <c r="G606" s="8"/>
      <c r="H606" s="28"/>
      <c r="I606" s="28"/>
    </row>
    <row r="607" spans="1:9" x14ac:dyDescent="0.35">
      <c r="A607" s="8"/>
      <c r="B607" s="8"/>
      <c r="C607" s="8"/>
      <c r="D607" s="28"/>
      <c r="E607" s="8"/>
      <c r="F607" s="8"/>
      <c r="G607" s="8"/>
      <c r="H607" s="28"/>
      <c r="I607" s="28"/>
    </row>
    <row r="608" spans="1:9" x14ac:dyDescent="0.35">
      <c r="A608" s="8"/>
      <c r="B608" s="8"/>
      <c r="C608" s="8"/>
      <c r="D608" s="28"/>
      <c r="E608" s="8"/>
      <c r="F608" s="8"/>
      <c r="G608" s="8"/>
      <c r="H608" s="28"/>
      <c r="I608" s="28"/>
    </row>
    <row r="609" spans="1:9" x14ac:dyDescent="0.35">
      <c r="A609" s="8"/>
      <c r="B609" s="8"/>
      <c r="C609" s="8"/>
      <c r="D609" s="28"/>
      <c r="E609" s="8"/>
      <c r="F609" s="8"/>
      <c r="G609" s="8"/>
      <c r="H609" s="28"/>
      <c r="I609" s="28"/>
    </row>
    <row r="610" spans="1:9" x14ac:dyDescent="0.35">
      <c r="A610" s="8"/>
      <c r="B610" s="8"/>
      <c r="C610" s="8"/>
      <c r="D610" s="28"/>
      <c r="E610" s="8"/>
      <c r="F610" s="8"/>
      <c r="G610" s="8"/>
      <c r="H610" s="28"/>
      <c r="I610" s="28"/>
    </row>
    <row r="611" spans="1:9" x14ac:dyDescent="0.35">
      <c r="A611" s="8"/>
      <c r="B611" s="8"/>
      <c r="C611" s="8"/>
      <c r="D611" s="28"/>
      <c r="E611" s="8"/>
      <c r="F611" s="8"/>
      <c r="G611" s="8"/>
      <c r="H611" s="28"/>
      <c r="I611" s="28"/>
    </row>
    <row r="612" spans="1:9" x14ac:dyDescent="0.35">
      <c r="A612" s="8"/>
      <c r="B612" s="8"/>
      <c r="C612" s="8"/>
      <c r="D612" s="28"/>
      <c r="E612" s="8"/>
      <c r="F612" s="8"/>
      <c r="G612" s="8"/>
      <c r="H612" s="28"/>
      <c r="I612" s="28"/>
    </row>
    <row r="613" spans="1:9" x14ac:dyDescent="0.35">
      <c r="A613" s="8"/>
      <c r="B613" s="8"/>
      <c r="C613" s="8"/>
      <c r="D613" s="28"/>
      <c r="E613" s="8"/>
      <c r="F613" s="8"/>
      <c r="G613" s="8"/>
      <c r="H613" s="28"/>
      <c r="I613" s="28"/>
    </row>
    <row r="614" spans="1:9" x14ac:dyDescent="0.35">
      <c r="A614" s="8"/>
      <c r="B614" s="8"/>
      <c r="C614" s="8"/>
      <c r="D614" s="28"/>
      <c r="E614" s="8"/>
      <c r="F614" s="8"/>
      <c r="G614" s="8"/>
      <c r="H614" s="28"/>
      <c r="I614" s="28"/>
    </row>
    <row r="615" spans="1:9" x14ac:dyDescent="0.35">
      <c r="A615" s="8"/>
      <c r="B615" s="8"/>
      <c r="C615" s="8"/>
      <c r="D615" s="28"/>
      <c r="E615" s="8"/>
      <c r="F615" s="8"/>
      <c r="G615" s="8"/>
      <c r="H615" s="28"/>
      <c r="I615" s="28"/>
    </row>
    <row r="616" spans="1:9" x14ac:dyDescent="0.35">
      <c r="A616" s="8"/>
      <c r="B616" s="8"/>
      <c r="C616" s="8"/>
      <c r="D616" s="28"/>
      <c r="E616" s="8"/>
      <c r="F616" s="8"/>
      <c r="G616" s="8"/>
      <c r="H616" s="28"/>
      <c r="I616" s="28"/>
    </row>
    <row r="617" spans="1:9" x14ac:dyDescent="0.35">
      <c r="A617" s="8"/>
      <c r="B617" s="8"/>
      <c r="C617" s="8"/>
      <c r="D617" s="28"/>
      <c r="E617" s="8"/>
      <c r="F617" s="8"/>
      <c r="G617" s="8"/>
      <c r="H617" s="28"/>
      <c r="I617" s="28"/>
    </row>
    <row r="618" spans="1:9" x14ac:dyDescent="0.35">
      <c r="A618" s="8"/>
      <c r="B618" s="8"/>
      <c r="C618" s="8"/>
      <c r="D618" s="28"/>
      <c r="E618" s="8"/>
      <c r="F618" s="8"/>
      <c r="G618" s="8"/>
      <c r="H618" s="28"/>
      <c r="I618" s="28"/>
    </row>
    <row r="619" spans="1:9" x14ac:dyDescent="0.35">
      <c r="A619" s="8"/>
      <c r="B619" s="8"/>
      <c r="C619" s="8"/>
      <c r="D619" s="28"/>
      <c r="E619" s="8"/>
      <c r="F619" s="8"/>
      <c r="G619" s="8"/>
      <c r="H619" s="28"/>
      <c r="I619" s="28"/>
    </row>
    <row r="620" spans="1:9" x14ac:dyDescent="0.35">
      <c r="A620" s="8"/>
      <c r="B620" s="8"/>
      <c r="C620" s="8"/>
      <c r="D620" s="28"/>
      <c r="E620" s="8"/>
      <c r="F620" s="8"/>
      <c r="G620" s="8"/>
      <c r="H620" s="28"/>
      <c r="I620" s="28"/>
    </row>
    <row r="621" spans="1:9" x14ac:dyDescent="0.35">
      <c r="A621" s="8"/>
      <c r="B621" s="8"/>
      <c r="C621" s="8"/>
      <c r="D621" s="28"/>
      <c r="E621" s="8"/>
      <c r="F621" s="8"/>
      <c r="G621" s="8"/>
      <c r="H621" s="28"/>
      <c r="I621" s="28"/>
    </row>
    <row r="622" spans="1:9" x14ac:dyDescent="0.35">
      <c r="A622" s="8"/>
      <c r="B622" s="8"/>
      <c r="C622" s="8"/>
      <c r="D622" s="28"/>
      <c r="E622" s="8"/>
      <c r="F622" s="8"/>
      <c r="G622" s="8"/>
      <c r="H622" s="28"/>
      <c r="I622" s="28"/>
    </row>
    <row r="623" spans="1:9" x14ac:dyDescent="0.35">
      <c r="A623" s="8"/>
      <c r="B623" s="8"/>
      <c r="C623" s="8"/>
      <c r="D623" s="28"/>
      <c r="E623" s="8"/>
      <c r="F623" s="8"/>
      <c r="G623" s="8"/>
      <c r="H623" s="28"/>
      <c r="I623" s="28"/>
    </row>
    <row r="624" spans="1:9" x14ac:dyDescent="0.35">
      <c r="A624" s="8"/>
      <c r="B624" s="8"/>
      <c r="C624" s="8"/>
      <c r="D624" s="28"/>
      <c r="E624" s="8"/>
      <c r="F624" s="8"/>
      <c r="G624" s="8"/>
      <c r="H624" s="28"/>
      <c r="I624" s="28"/>
    </row>
    <row r="625" spans="1:9" x14ac:dyDescent="0.35">
      <c r="A625" s="8"/>
      <c r="B625" s="8"/>
      <c r="C625" s="8"/>
      <c r="D625" s="28"/>
      <c r="E625" s="8"/>
      <c r="F625" s="8"/>
      <c r="G625" s="8"/>
      <c r="H625" s="28"/>
      <c r="I625" s="28"/>
    </row>
    <row r="626" spans="1:9" x14ac:dyDescent="0.35">
      <c r="A626" s="8"/>
      <c r="B626" s="8"/>
      <c r="C626" s="8"/>
      <c r="D626" s="28"/>
      <c r="E626" s="8"/>
      <c r="F626" s="8"/>
      <c r="G626" s="8"/>
      <c r="H626" s="28"/>
      <c r="I626" s="28"/>
    </row>
    <row r="627" spans="1:9" x14ac:dyDescent="0.35">
      <c r="A627" s="8"/>
      <c r="B627" s="8"/>
      <c r="C627" s="8"/>
      <c r="D627" s="28"/>
      <c r="E627" s="8"/>
      <c r="F627" s="8"/>
      <c r="G627" s="8"/>
      <c r="H627" s="28"/>
      <c r="I627" s="28"/>
    </row>
    <row r="628" spans="1:9" x14ac:dyDescent="0.35">
      <c r="A628" s="8"/>
      <c r="B628" s="8"/>
      <c r="C628" s="8"/>
      <c r="D628" s="28"/>
      <c r="E628" s="8"/>
      <c r="F628" s="8"/>
      <c r="G628" s="8"/>
      <c r="H628" s="28"/>
      <c r="I628" s="28"/>
    </row>
    <row r="629" spans="1:9" x14ac:dyDescent="0.35">
      <c r="A629" s="8"/>
      <c r="B629" s="8"/>
      <c r="C629" s="8"/>
      <c r="D629" s="28"/>
      <c r="E629" s="8"/>
      <c r="F629" s="8"/>
      <c r="G629" s="8"/>
      <c r="H629" s="28"/>
      <c r="I629" s="28"/>
    </row>
    <row r="630" spans="1:9" x14ac:dyDescent="0.35">
      <c r="A630" s="8"/>
      <c r="B630" s="8"/>
      <c r="C630" s="8"/>
      <c r="D630" s="28"/>
      <c r="E630" s="8"/>
      <c r="F630" s="8"/>
      <c r="G630" s="8"/>
      <c r="H630" s="28"/>
      <c r="I630" s="28"/>
    </row>
    <row r="631" spans="1:9" x14ac:dyDescent="0.35">
      <c r="A631" s="8"/>
      <c r="B631" s="8"/>
      <c r="C631" s="8"/>
      <c r="D631" s="28"/>
      <c r="E631" s="8"/>
      <c r="F631" s="8"/>
      <c r="G631" s="8"/>
      <c r="H631" s="28"/>
      <c r="I631" s="28"/>
    </row>
    <row r="632" spans="1:9" x14ac:dyDescent="0.35">
      <c r="A632" s="8"/>
      <c r="B632" s="8"/>
      <c r="C632" s="8"/>
      <c r="D632" s="28"/>
      <c r="E632" s="8"/>
      <c r="F632" s="8"/>
      <c r="G632" s="8"/>
      <c r="H632" s="28"/>
      <c r="I632" s="28"/>
    </row>
    <row r="633" spans="1:9" x14ac:dyDescent="0.35">
      <c r="A633" s="8"/>
      <c r="B633" s="8"/>
      <c r="C633" s="8"/>
      <c r="D633" s="28"/>
      <c r="E633" s="8"/>
      <c r="F633" s="8"/>
      <c r="G633" s="8"/>
      <c r="H633" s="28"/>
      <c r="I633" s="28"/>
    </row>
    <row r="634" spans="1:9" x14ac:dyDescent="0.35">
      <c r="A634" s="8"/>
      <c r="B634" s="8"/>
      <c r="C634" s="8"/>
      <c r="D634" s="28"/>
      <c r="E634" s="8"/>
      <c r="F634" s="8"/>
      <c r="G634" s="8"/>
      <c r="H634" s="28"/>
      <c r="I634" s="28"/>
    </row>
    <row r="635" spans="1:9" x14ac:dyDescent="0.35">
      <c r="A635" s="8"/>
      <c r="B635" s="8"/>
      <c r="C635" s="8"/>
      <c r="D635" s="28"/>
      <c r="E635" s="8"/>
      <c r="F635" s="8"/>
      <c r="G635" s="8"/>
      <c r="H635" s="28"/>
      <c r="I635" s="28"/>
    </row>
    <row r="636" spans="1:9" x14ac:dyDescent="0.35">
      <c r="A636" s="8"/>
      <c r="B636" s="8"/>
      <c r="C636" s="8"/>
      <c r="D636" s="28"/>
      <c r="E636" s="8"/>
      <c r="F636" s="8"/>
      <c r="G636" s="8"/>
      <c r="H636" s="28"/>
      <c r="I636" s="28"/>
    </row>
    <row r="637" spans="1:9" x14ac:dyDescent="0.35">
      <c r="A637" s="8"/>
      <c r="B637" s="8"/>
      <c r="C637" s="8"/>
      <c r="D637" s="28"/>
      <c r="E637" s="8"/>
      <c r="F637" s="8"/>
      <c r="G637" s="8"/>
      <c r="H637" s="28"/>
      <c r="I637" s="28"/>
    </row>
    <row r="638" spans="1:9" x14ac:dyDescent="0.35">
      <c r="A638" s="8"/>
      <c r="B638" s="8"/>
      <c r="C638" s="8"/>
      <c r="D638" s="28"/>
      <c r="E638" s="8"/>
      <c r="F638" s="8"/>
      <c r="G638" s="8"/>
      <c r="H638" s="28"/>
      <c r="I638" s="28"/>
    </row>
    <row r="639" spans="1:9" x14ac:dyDescent="0.35">
      <c r="A639" s="8"/>
      <c r="B639" s="8"/>
      <c r="C639" s="8"/>
      <c r="D639" s="28"/>
      <c r="E639" s="8"/>
      <c r="F639" s="8"/>
      <c r="G639" s="8"/>
      <c r="H639" s="28"/>
      <c r="I639" s="28"/>
    </row>
    <row r="640" spans="1:9" x14ac:dyDescent="0.35">
      <c r="A640" s="8"/>
      <c r="B640" s="8"/>
      <c r="C640" s="8"/>
      <c r="D640" s="28"/>
      <c r="E640" s="8"/>
      <c r="F640" s="8"/>
      <c r="G640" s="8"/>
      <c r="H640" s="28"/>
      <c r="I640" s="28"/>
    </row>
    <row r="641" spans="1:9" x14ac:dyDescent="0.35">
      <c r="A641" s="8"/>
      <c r="B641" s="8"/>
      <c r="C641" s="8"/>
      <c r="D641" s="28"/>
      <c r="E641" s="8"/>
      <c r="F641" s="8"/>
      <c r="G641" s="8"/>
      <c r="H641" s="28"/>
      <c r="I641" s="28"/>
    </row>
    <row r="642" spans="1:9" x14ac:dyDescent="0.35">
      <c r="A642" s="8"/>
      <c r="B642" s="8"/>
      <c r="C642" s="8"/>
      <c r="D642" s="28"/>
      <c r="E642" s="8"/>
      <c r="F642" s="8"/>
      <c r="G642" s="8"/>
      <c r="H642" s="28"/>
      <c r="I642" s="28"/>
    </row>
    <row r="643" spans="1:9" x14ac:dyDescent="0.35">
      <c r="A643" s="8"/>
      <c r="B643" s="8"/>
      <c r="C643" s="8"/>
      <c r="D643" s="28"/>
      <c r="E643" s="8"/>
      <c r="F643" s="8"/>
      <c r="G643" s="8"/>
      <c r="H643" s="28"/>
      <c r="I643" s="28"/>
    </row>
    <row r="644" spans="1:9" x14ac:dyDescent="0.35">
      <c r="A644" s="8"/>
      <c r="B644" s="8"/>
      <c r="C644" s="8"/>
      <c r="D644" s="28"/>
      <c r="E644" s="8"/>
      <c r="F644" s="8"/>
      <c r="G644" s="8"/>
      <c r="H644" s="28"/>
      <c r="I644" s="28"/>
    </row>
    <row r="645" spans="1:9" x14ac:dyDescent="0.35">
      <c r="A645" s="8"/>
      <c r="B645" s="8"/>
      <c r="C645" s="8"/>
      <c r="D645" s="28"/>
      <c r="E645" s="8"/>
      <c r="F645" s="8"/>
      <c r="G645" s="8"/>
      <c r="H645" s="28"/>
      <c r="I645" s="28"/>
    </row>
    <row r="646" spans="1:9" x14ac:dyDescent="0.35">
      <c r="A646" s="8"/>
      <c r="B646" s="8"/>
      <c r="C646" s="8"/>
      <c r="D646" s="28"/>
      <c r="E646" s="8"/>
      <c r="F646" s="8"/>
      <c r="G646" s="8"/>
      <c r="H646" s="28"/>
      <c r="I646" s="28"/>
    </row>
    <row r="647" spans="1:9" x14ac:dyDescent="0.35">
      <c r="A647" s="8"/>
      <c r="B647" s="8"/>
      <c r="C647" s="8"/>
      <c r="D647" s="28"/>
      <c r="E647" s="8"/>
      <c r="F647" s="8"/>
      <c r="G647" s="8"/>
      <c r="H647" s="28"/>
      <c r="I647" s="28"/>
    </row>
    <row r="648" spans="1:9" x14ac:dyDescent="0.35">
      <c r="A648" s="8"/>
      <c r="B648" s="8"/>
      <c r="C648" s="8"/>
      <c r="D648" s="28"/>
      <c r="E648" s="8"/>
      <c r="F648" s="8"/>
      <c r="G648" s="8"/>
      <c r="H648" s="28"/>
      <c r="I648" s="28"/>
    </row>
    <row r="649" spans="1:9" x14ac:dyDescent="0.35">
      <c r="A649" s="8"/>
      <c r="B649" s="8"/>
      <c r="C649" s="8"/>
      <c r="D649" s="28"/>
      <c r="E649" s="8"/>
      <c r="F649" s="8"/>
      <c r="G649" s="8"/>
      <c r="H649" s="28"/>
      <c r="I649" s="28"/>
    </row>
    <row r="650" spans="1:9" x14ac:dyDescent="0.35">
      <c r="A650" s="8"/>
      <c r="B650" s="8"/>
      <c r="C650" s="8"/>
      <c r="D650" s="28"/>
      <c r="E650" s="8"/>
      <c r="F650" s="8"/>
      <c r="G650" s="8"/>
      <c r="H650" s="28"/>
      <c r="I650" s="28"/>
    </row>
    <row r="651" spans="1:9" x14ac:dyDescent="0.35">
      <c r="A651" s="8"/>
      <c r="B651" s="8"/>
      <c r="C651" s="8"/>
      <c r="D651" s="28"/>
      <c r="E651" s="8"/>
      <c r="F651" s="8"/>
      <c r="G651" s="8"/>
      <c r="H651" s="28"/>
      <c r="I651" s="28"/>
    </row>
    <row r="652" spans="1:9" x14ac:dyDescent="0.35">
      <c r="A652" s="8"/>
      <c r="B652" s="8"/>
      <c r="C652" s="8"/>
      <c r="D652" s="28"/>
      <c r="E652" s="8"/>
      <c r="F652" s="8"/>
      <c r="G652" s="8"/>
      <c r="H652" s="28"/>
      <c r="I652" s="28"/>
    </row>
    <row r="653" spans="1:9" x14ac:dyDescent="0.35">
      <c r="A653" s="8"/>
      <c r="B653" s="8"/>
      <c r="C653" s="8"/>
      <c r="D653" s="28"/>
      <c r="E653" s="8"/>
      <c r="F653" s="8"/>
      <c r="G653" s="8"/>
      <c r="H653" s="28"/>
      <c r="I653" s="28"/>
    </row>
    <row r="654" spans="1:9" x14ac:dyDescent="0.35">
      <c r="A654" s="8"/>
      <c r="B654" s="8"/>
      <c r="C654" s="8"/>
      <c r="D654" s="28"/>
      <c r="E654" s="8"/>
      <c r="F654" s="8"/>
      <c r="G654" s="8"/>
      <c r="H654" s="28"/>
      <c r="I654" s="28"/>
    </row>
    <row r="655" spans="1:9" x14ac:dyDescent="0.35">
      <c r="A655" s="8"/>
      <c r="B655" s="8"/>
      <c r="C655" s="8"/>
      <c r="D655" s="28"/>
      <c r="E655" s="8"/>
      <c r="F655" s="8"/>
      <c r="G655" s="8"/>
      <c r="H655" s="28"/>
      <c r="I655" s="28"/>
    </row>
    <row r="656" spans="1:9" x14ac:dyDescent="0.35">
      <c r="A656" s="8"/>
      <c r="B656" s="8"/>
      <c r="C656" s="8"/>
      <c r="D656" s="28"/>
      <c r="E656" s="8"/>
      <c r="F656" s="8"/>
      <c r="G656" s="8"/>
      <c r="H656" s="28"/>
      <c r="I656" s="28"/>
    </row>
    <row r="657" spans="1:9" x14ac:dyDescent="0.35">
      <c r="A657" s="8"/>
      <c r="B657" s="8"/>
      <c r="C657" s="8"/>
      <c r="D657" s="28"/>
      <c r="E657" s="8"/>
      <c r="F657" s="8"/>
      <c r="G657" s="8"/>
      <c r="H657" s="28"/>
      <c r="I657" s="28"/>
    </row>
    <row r="658" spans="1:9" x14ac:dyDescent="0.35">
      <c r="A658" s="8"/>
      <c r="B658" s="8"/>
      <c r="C658" s="8"/>
      <c r="D658" s="28"/>
      <c r="E658" s="8"/>
      <c r="F658" s="8"/>
      <c r="G658" s="8"/>
      <c r="H658" s="28"/>
      <c r="I658" s="28"/>
    </row>
    <row r="659" spans="1:9" x14ac:dyDescent="0.35">
      <c r="A659" s="8"/>
      <c r="B659" s="8"/>
      <c r="C659" s="8"/>
      <c r="D659" s="28"/>
      <c r="E659" s="8"/>
      <c r="F659" s="8"/>
      <c r="G659" s="8"/>
      <c r="H659" s="28"/>
      <c r="I659" s="28"/>
    </row>
    <row r="660" spans="1:9" x14ac:dyDescent="0.35">
      <c r="A660" s="8"/>
      <c r="B660" s="8"/>
      <c r="C660" s="8"/>
      <c r="D660" s="28"/>
      <c r="E660" s="8"/>
      <c r="F660" s="8"/>
      <c r="G660" s="8"/>
      <c r="H660" s="28"/>
      <c r="I660" s="28"/>
    </row>
    <row r="661" spans="1:9" x14ac:dyDescent="0.35">
      <c r="A661" s="8"/>
      <c r="B661" s="8"/>
      <c r="C661" s="8"/>
      <c r="D661" s="28"/>
      <c r="E661" s="8"/>
      <c r="F661" s="8"/>
      <c r="G661" s="8"/>
      <c r="H661" s="28"/>
      <c r="I661" s="28"/>
    </row>
    <row r="662" spans="1:9" x14ac:dyDescent="0.35">
      <c r="A662" s="8"/>
      <c r="B662" s="8"/>
      <c r="C662" s="8"/>
      <c r="D662" s="28"/>
      <c r="E662" s="8"/>
      <c r="F662" s="8"/>
      <c r="G662" s="8"/>
      <c r="H662" s="28"/>
      <c r="I662" s="28"/>
    </row>
    <row r="663" spans="1:9" x14ac:dyDescent="0.35">
      <c r="A663" s="8"/>
      <c r="B663" s="8"/>
      <c r="C663" s="8"/>
      <c r="D663" s="28"/>
      <c r="E663" s="8"/>
      <c r="F663" s="8"/>
      <c r="G663" s="8"/>
      <c r="H663" s="28"/>
      <c r="I663" s="28"/>
    </row>
    <row r="664" spans="1:9" x14ac:dyDescent="0.35">
      <c r="A664" s="8"/>
      <c r="B664" s="8"/>
      <c r="C664" s="8"/>
      <c r="D664" s="28"/>
      <c r="E664" s="8"/>
      <c r="F664" s="8"/>
      <c r="G664" s="8"/>
      <c r="H664" s="28"/>
      <c r="I664" s="28"/>
    </row>
    <row r="665" spans="1:9" x14ac:dyDescent="0.35">
      <c r="A665" s="8"/>
      <c r="B665" s="8"/>
      <c r="C665" s="8"/>
      <c r="D665" s="28"/>
      <c r="E665" s="8"/>
      <c r="F665" s="8"/>
      <c r="G665" s="8"/>
      <c r="H665" s="28"/>
      <c r="I665" s="28"/>
    </row>
    <row r="666" spans="1:9" x14ac:dyDescent="0.35">
      <c r="A666" s="8"/>
      <c r="B666" s="8"/>
      <c r="C666" s="8"/>
      <c r="D666" s="28"/>
      <c r="E666" s="8"/>
      <c r="F666" s="8"/>
      <c r="G666" s="8"/>
      <c r="H666" s="28"/>
      <c r="I666" s="28"/>
    </row>
    <row r="667" spans="1:9" x14ac:dyDescent="0.35">
      <c r="A667" s="8"/>
      <c r="B667" s="8"/>
      <c r="C667" s="8"/>
      <c r="D667" s="28"/>
      <c r="E667" s="8"/>
      <c r="F667" s="8"/>
      <c r="G667" s="8"/>
      <c r="H667" s="28"/>
      <c r="I667" s="28"/>
    </row>
    <row r="668" spans="1:9" x14ac:dyDescent="0.35">
      <c r="A668" s="8"/>
      <c r="B668" s="8"/>
      <c r="C668" s="8"/>
      <c r="D668" s="28"/>
      <c r="E668" s="8"/>
      <c r="F668" s="8"/>
      <c r="G668" s="8"/>
      <c r="H668" s="28"/>
      <c r="I668" s="28"/>
    </row>
    <row r="669" spans="1:9" x14ac:dyDescent="0.35">
      <c r="A669" s="8"/>
      <c r="B669" s="8"/>
      <c r="C669" s="8"/>
      <c r="D669" s="28"/>
      <c r="E669" s="8"/>
      <c r="F669" s="8"/>
      <c r="G669" s="8"/>
      <c r="H669" s="28"/>
      <c r="I669" s="28"/>
    </row>
    <row r="670" spans="1:9" x14ac:dyDescent="0.35">
      <c r="A670" s="8"/>
      <c r="B670" s="8"/>
      <c r="C670" s="8"/>
      <c r="D670" s="28"/>
      <c r="E670" s="8"/>
      <c r="F670" s="8"/>
      <c r="G670" s="8"/>
      <c r="H670" s="28"/>
      <c r="I670" s="28"/>
    </row>
    <row r="671" spans="1:9" x14ac:dyDescent="0.35">
      <c r="A671" s="8"/>
      <c r="B671" s="8"/>
      <c r="C671" s="8"/>
      <c r="D671" s="28"/>
      <c r="E671" s="8"/>
      <c r="F671" s="8"/>
      <c r="G671" s="8"/>
      <c r="H671" s="28"/>
      <c r="I671" s="28"/>
    </row>
    <row r="672" spans="1:9" x14ac:dyDescent="0.35">
      <c r="A672" s="8"/>
      <c r="B672" s="8"/>
      <c r="C672" s="8"/>
      <c r="D672" s="28"/>
      <c r="E672" s="8"/>
      <c r="F672" s="8"/>
      <c r="G672" s="8"/>
      <c r="H672" s="28"/>
      <c r="I672" s="28"/>
    </row>
    <row r="673" spans="1:9" x14ac:dyDescent="0.35">
      <c r="A673" s="8"/>
      <c r="B673" s="8"/>
      <c r="C673" s="8"/>
      <c r="D673" s="28"/>
      <c r="E673" s="8"/>
      <c r="F673" s="8"/>
      <c r="G673" s="8"/>
      <c r="H673" s="28"/>
      <c r="I673" s="28"/>
    </row>
    <row r="674" spans="1:9" x14ac:dyDescent="0.35">
      <c r="A674" s="8"/>
      <c r="B674" s="8"/>
      <c r="C674" s="8"/>
      <c r="D674" s="28"/>
      <c r="E674" s="8"/>
      <c r="F674" s="8"/>
      <c r="G674" s="8"/>
      <c r="H674" s="28"/>
      <c r="I674" s="28"/>
    </row>
    <row r="675" spans="1:9" x14ac:dyDescent="0.35">
      <c r="A675" s="8"/>
      <c r="B675" s="8"/>
      <c r="C675" s="8"/>
      <c r="D675" s="28"/>
      <c r="E675" s="8"/>
      <c r="F675" s="8"/>
      <c r="G675" s="8"/>
      <c r="H675" s="28"/>
      <c r="I675" s="28"/>
    </row>
    <row r="676" spans="1:9" x14ac:dyDescent="0.35">
      <c r="A676" s="8"/>
      <c r="B676" s="8"/>
      <c r="C676" s="8"/>
      <c r="D676" s="28"/>
      <c r="E676" s="8"/>
      <c r="F676" s="8"/>
      <c r="G676" s="8"/>
      <c r="H676" s="28"/>
      <c r="I676" s="28"/>
    </row>
    <row r="677" spans="1:9" x14ac:dyDescent="0.35">
      <c r="A677" s="8"/>
      <c r="B677" s="8"/>
      <c r="C677" s="8"/>
      <c r="D677" s="28"/>
      <c r="E677" s="8"/>
      <c r="F677" s="8"/>
      <c r="G677" s="8"/>
      <c r="H677" s="28"/>
      <c r="I677" s="28"/>
    </row>
    <row r="678" spans="1:9" x14ac:dyDescent="0.35">
      <c r="A678" s="8"/>
      <c r="B678" s="8"/>
      <c r="C678" s="8"/>
      <c r="D678" s="28"/>
      <c r="E678" s="8"/>
      <c r="F678" s="8"/>
      <c r="G678" s="8"/>
      <c r="H678" s="28"/>
      <c r="I678" s="28"/>
    </row>
    <row r="679" spans="1:9" x14ac:dyDescent="0.35">
      <c r="A679" s="8"/>
      <c r="B679" s="8"/>
      <c r="C679" s="8"/>
      <c r="D679" s="28"/>
      <c r="E679" s="8"/>
      <c r="F679" s="8"/>
      <c r="G679" s="8"/>
      <c r="H679" s="28"/>
      <c r="I679" s="28"/>
    </row>
    <row r="680" spans="1:9" x14ac:dyDescent="0.35">
      <c r="A680" s="8"/>
      <c r="B680" s="8"/>
      <c r="C680" s="8"/>
      <c r="D680" s="28"/>
      <c r="E680" s="8"/>
      <c r="F680" s="8"/>
      <c r="G680" s="8"/>
      <c r="H680" s="28"/>
      <c r="I680" s="28"/>
    </row>
    <row r="681" spans="1:9" x14ac:dyDescent="0.35">
      <c r="A681" s="8"/>
      <c r="B681" s="8"/>
      <c r="C681" s="8"/>
      <c r="D681" s="28"/>
      <c r="E681" s="8"/>
      <c r="F681" s="8"/>
      <c r="G681" s="8"/>
      <c r="H681" s="28"/>
      <c r="I681" s="28"/>
    </row>
    <row r="682" spans="1:9" x14ac:dyDescent="0.35">
      <c r="A682" s="8"/>
      <c r="B682" s="8"/>
      <c r="C682" s="8"/>
      <c r="D682" s="28"/>
      <c r="E682" s="8"/>
      <c r="F682" s="8"/>
      <c r="G682" s="8"/>
      <c r="H682" s="28"/>
      <c r="I682" s="28"/>
    </row>
    <row r="683" spans="1:9" x14ac:dyDescent="0.35">
      <c r="A683" s="8"/>
      <c r="B683" s="8"/>
      <c r="C683" s="8"/>
      <c r="D683" s="28"/>
      <c r="E683" s="8"/>
      <c r="F683" s="8"/>
      <c r="G683" s="8"/>
      <c r="H683" s="28"/>
      <c r="I683" s="28"/>
    </row>
    <row r="684" spans="1:9" x14ac:dyDescent="0.35">
      <c r="A684" s="8"/>
      <c r="B684" s="8"/>
      <c r="C684" s="8"/>
      <c r="D684" s="28"/>
      <c r="E684" s="8"/>
      <c r="F684" s="8"/>
      <c r="G684" s="8"/>
      <c r="H684" s="28"/>
      <c r="I684" s="28"/>
    </row>
    <row r="685" spans="1:9" x14ac:dyDescent="0.35">
      <c r="A685" s="8"/>
      <c r="B685" s="8"/>
      <c r="C685" s="8"/>
      <c r="D685" s="28"/>
      <c r="E685" s="8"/>
      <c r="F685" s="8"/>
      <c r="G685" s="8"/>
      <c r="H685" s="28"/>
      <c r="I685" s="28"/>
    </row>
    <row r="686" spans="1:9" x14ac:dyDescent="0.35">
      <c r="A686" s="8"/>
      <c r="B686" s="8"/>
      <c r="C686" s="8"/>
      <c r="D686" s="28"/>
      <c r="E686" s="8"/>
      <c r="F686" s="8"/>
      <c r="G686" s="8"/>
      <c r="H686" s="28"/>
      <c r="I686" s="28"/>
    </row>
    <row r="687" spans="1:9" x14ac:dyDescent="0.35">
      <c r="A687" s="8"/>
      <c r="B687" s="8"/>
      <c r="C687" s="8"/>
      <c r="D687" s="28"/>
      <c r="E687" s="8"/>
      <c r="F687" s="8"/>
      <c r="G687" s="8"/>
      <c r="H687" s="28"/>
      <c r="I687" s="28"/>
    </row>
    <row r="688" spans="1:9" x14ac:dyDescent="0.35">
      <c r="A688" s="8"/>
      <c r="B688" s="8"/>
      <c r="C688" s="8"/>
      <c r="D688" s="28"/>
      <c r="E688" s="8"/>
      <c r="F688" s="8"/>
      <c r="G688" s="8"/>
      <c r="H688" s="28"/>
      <c r="I688" s="28"/>
    </row>
    <row r="689" spans="1:9" x14ac:dyDescent="0.35">
      <c r="A689" s="8"/>
      <c r="B689" s="8"/>
      <c r="C689" s="8"/>
      <c r="D689" s="28"/>
      <c r="E689" s="8"/>
      <c r="F689" s="8"/>
      <c r="G689" s="8"/>
      <c r="H689" s="28"/>
      <c r="I689" s="28"/>
    </row>
    <row r="690" spans="1:9" x14ac:dyDescent="0.35">
      <c r="A690" s="8"/>
      <c r="B690" s="8"/>
      <c r="C690" s="8"/>
      <c r="D690" s="28"/>
      <c r="E690" s="8"/>
      <c r="F690" s="8"/>
      <c r="G690" s="8"/>
      <c r="H690" s="28"/>
      <c r="I690" s="28"/>
    </row>
    <row r="691" spans="1:9" x14ac:dyDescent="0.35">
      <c r="A691" s="8"/>
      <c r="B691" s="8"/>
      <c r="C691" s="8"/>
      <c r="D691" s="28"/>
      <c r="E691" s="8"/>
      <c r="F691" s="8"/>
      <c r="G691" s="8"/>
      <c r="H691" s="28"/>
      <c r="I691" s="28"/>
    </row>
    <row r="692" spans="1:9" x14ac:dyDescent="0.35">
      <c r="A692" s="8"/>
      <c r="B692" s="8"/>
      <c r="C692" s="8"/>
      <c r="D692" s="28"/>
      <c r="E692" s="8"/>
      <c r="F692" s="8"/>
      <c r="G692" s="8"/>
      <c r="H692" s="28"/>
      <c r="I692" s="28"/>
    </row>
    <row r="693" spans="1:9" x14ac:dyDescent="0.35">
      <c r="A693" s="8"/>
      <c r="B693" s="8"/>
      <c r="C693" s="8"/>
      <c r="D693" s="28"/>
      <c r="E693" s="8"/>
      <c r="F693" s="8"/>
      <c r="G693" s="8"/>
      <c r="H693" s="28"/>
      <c r="I693" s="28"/>
    </row>
    <row r="694" spans="1:9" x14ac:dyDescent="0.35">
      <c r="A694" s="8"/>
      <c r="B694" s="8"/>
      <c r="C694" s="8"/>
      <c r="D694" s="28"/>
      <c r="E694" s="8"/>
      <c r="F694" s="8"/>
      <c r="G694" s="8"/>
      <c r="H694" s="28"/>
      <c r="I694" s="28"/>
    </row>
    <row r="695" spans="1:9" x14ac:dyDescent="0.35">
      <c r="A695" s="8"/>
      <c r="B695" s="8"/>
      <c r="C695" s="8"/>
      <c r="D695" s="28"/>
      <c r="E695" s="8"/>
      <c r="F695" s="8"/>
      <c r="G695" s="8"/>
      <c r="H695" s="28"/>
      <c r="I695" s="28"/>
    </row>
    <row r="696" spans="1:9" x14ac:dyDescent="0.35">
      <c r="A696" s="8"/>
      <c r="B696" s="8"/>
      <c r="C696" s="8"/>
      <c r="D696" s="28"/>
      <c r="E696" s="8"/>
      <c r="F696" s="8"/>
      <c r="G696" s="8"/>
      <c r="H696" s="28"/>
      <c r="I696" s="28"/>
    </row>
    <row r="697" spans="1:9" x14ac:dyDescent="0.35">
      <c r="A697" s="8"/>
      <c r="B697" s="8"/>
      <c r="C697" s="8"/>
      <c r="D697" s="28"/>
      <c r="E697" s="8"/>
      <c r="F697" s="8"/>
      <c r="G697" s="8"/>
      <c r="H697" s="28"/>
      <c r="I697" s="28"/>
    </row>
    <row r="698" spans="1:9" x14ac:dyDescent="0.35">
      <c r="A698" s="8"/>
      <c r="B698" s="8"/>
      <c r="C698" s="8"/>
      <c r="D698" s="28"/>
      <c r="E698" s="8"/>
      <c r="F698" s="8"/>
      <c r="G698" s="8"/>
      <c r="H698" s="28"/>
      <c r="I698" s="28"/>
    </row>
    <row r="699" spans="1:9" x14ac:dyDescent="0.35">
      <c r="A699" s="8"/>
      <c r="B699" s="8"/>
      <c r="C699" s="8"/>
      <c r="D699" s="28"/>
      <c r="E699" s="8"/>
      <c r="F699" s="8"/>
      <c r="G699" s="8"/>
      <c r="H699" s="28"/>
      <c r="I699" s="28"/>
    </row>
    <row r="700" spans="1:9" x14ac:dyDescent="0.35">
      <c r="A700" s="8"/>
      <c r="B700" s="8"/>
      <c r="C700" s="8"/>
      <c r="D700" s="28"/>
      <c r="E700" s="8"/>
      <c r="F700" s="8"/>
      <c r="G700" s="8"/>
      <c r="H700" s="28"/>
      <c r="I700" s="28"/>
    </row>
    <row r="701" spans="1:9" x14ac:dyDescent="0.35">
      <c r="A701" s="8"/>
      <c r="B701" s="8"/>
      <c r="C701" s="8"/>
      <c r="D701" s="28"/>
      <c r="E701" s="8"/>
      <c r="F701" s="8"/>
      <c r="G701" s="8"/>
      <c r="H701" s="28"/>
      <c r="I701" s="28"/>
    </row>
    <row r="702" spans="1:9" x14ac:dyDescent="0.35">
      <c r="A702" s="8"/>
      <c r="B702" s="8"/>
      <c r="C702" s="8"/>
      <c r="D702" s="28"/>
      <c r="E702" s="8"/>
      <c r="F702" s="8"/>
      <c r="G702" s="8"/>
      <c r="H702" s="28"/>
      <c r="I702" s="28"/>
    </row>
    <row r="703" spans="1:9" x14ac:dyDescent="0.35">
      <c r="A703" s="8"/>
      <c r="B703" s="8"/>
      <c r="C703" s="8"/>
      <c r="D703" s="28"/>
      <c r="E703" s="8"/>
      <c r="F703" s="8"/>
      <c r="G703" s="8"/>
      <c r="H703" s="28"/>
      <c r="I703" s="28"/>
    </row>
    <row r="704" spans="1:9" x14ac:dyDescent="0.35">
      <c r="A704" s="8"/>
      <c r="B704" s="8"/>
      <c r="C704" s="8"/>
      <c r="D704" s="28"/>
      <c r="E704" s="8"/>
      <c r="F704" s="8"/>
      <c r="G704" s="8"/>
      <c r="H704" s="28"/>
      <c r="I704" s="28"/>
    </row>
    <row r="705" spans="1:9" x14ac:dyDescent="0.35">
      <c r="A705" s="8"/>
      <c r="B705" s="8"/>
      <c r="C705" s="8"/>
      <c r="D705" s="28"/>
      <c r="E705" s="8"/>
      <c r="F705" s="8"/>
      <c r="G705" s="8"/>
      <c r="H705" s="28"/>
      <c r="I705" s="28"/>
    </row>
    <row r="706" spans="1:9" x14ac:dyDescent="0.35">
      <c r="A706" s="8"/>
      <c r="B706" s="8"/>
      <c r="C706" s="8"/>
      <c r="D706" s="28"/>
      <c r="E706" s="8"/>
      <c r="F706" s="8"/>
      <c r="G706" s="8"/>
      <c r="H706" s="28"/>
      <c r="I706" s="28"/>
    </row>
    <row r="707" spans="1:9" x14ac:dyDescent="0.35">
      <c r="A707" s="8"/>
      <c r="B707" s="8"/>
      <c r="C707" s="8"/>
      <c r="D707" s="28"/>
      <c r="E707" s="8"/>
      <c r="F707" s="8"/>
      <c r="G707" s="8"/>
      <c r="H707" s="28"/>
      <c r="I707" s="28"/>
    </row>
    <row r="708" spans="1:9" x14ac:dyDescent="0.35">
      <c r="A708" s="8"/>
      <c r="B708" s="8"/>
      <c r="C708" s="8"/>
      <c r="D708" s="28"/>
      <c r="E708" s="8"/>
      <c r="F708" s="8"/>
      <c r="G708" s="8"/>
      <c r="H708" s="28"/>
      <c r="I708" s="28"/>
    </row>
    <row r="709" spans="1:9" x14ac:dyDescent="0.35">
      <c r="A709" s="8"/>
      <c r="B709" s="8"/>
      <c r="C709" s="8"/>
      <c r="D709" s="28"/>
      <c r="E709" s="8"/>
      <c r="F709" s="8"/>
      <c r="G709" s="8"/>
      <c r="H709" s="28"/>
      <c r="I709" s="28"/>
    </row>
    <row r="710" spans="1:9" x14ac:dyDescent="0.35">
      <c r="A710" s="8"/>
      <c r="B710" s="8"/>
      <c r="C710" s="8"/>
      <c r="D710" s="28"/>
      <c r="E710" s="8"/>
      <c r="F710" s="8"/>
      <c r="G710" s="8"/>
      <c r="H710" s="28"/>
      <c r="I710" s="28"/>
    </row>
    <row r="711" spans="1:9" x14ac:dyDescent="0.35">
      <c r="A711" s="8"/>
      <c r="B711" s="8"/>
      <c r="C711" s="8"/>
      <c r="D711" s="28"/>
      <c r="E711" s="8"/>
      <c r="F711" s="8"/>
      <c r="G711" s="8"/>
      <c r="H711" s="28"/>
      <c r="I711" s="28"/>
    </row>
    <row r="712" spans="1:9" x14ac:dyDescent="0.35">
      <c r="A712" s="8"/>
      <c r="B712" s="8"/>
      <c r="C712" s="8"/>
      <c r="D712" s="28"/>
      <c r="E712" s="8"/>
      <c r="F712" s="8"/>
      <c r="G712" s="8"/>
      <c r="H712" s="28"/>
      <c r="I712" s="28"/>
    </row>
    <row r="713" spans="1:9" x14ac:dyDescent="0.35">
      <c r="A713" s="8"/>
      <c r="B713" s="8"/>
      <c r="C713" s="8"/>
      <c r="D713" s="28"/>
      <c r="E713" s="8"/>
      <c r="F713" s="8"/>
      <c r="G713" s="8"/>
      <c r="H713" s="28"/>
      <c r="I713" s="28"/>
    </row>
    <row r="714" spans="1:9" x14ac:dyDescent="0.35">
      <c r="A714" s="8"/>
      <c r="B714" s="8"/>
      <c r="C714" s="8"/>
      <c r="D714" s="28"/>
      <c r="E714" s="8"/>
      <c r="F714" s="8"/>
      <c r="G714" s="8"/>
      <c r="H714" s="28"/>
      <c r="I714" s="28"/>
    </row>
    <row r="715" spans="1:9" x14ac:dyDescent="0.35">
      <c r="A715" s="8"/>
      <c r="B715" s="8"/>
      <c r="C715" s="8"/>
      <c r="D715" s="28"/>
      <c r="E715" s="8"/>
      <c r="F715" s="8"/>
      <c r="G715" s="8"/>
      <c r="H715" s="28"/>
      <c r="I715" s="28"/>
    </row>
    <row r="716" spans="1:9" x14ac:dyDescent="0.35">
      <c r="A716" s="8"/>
      <c r="B716" s="8"/>
      <c r="C716" s="8"/>
      <c r="D716" s="28"/>
      <c r="E716" s="8"/>
      <c r="F716" s="8"/>
      <c r="G716" s="8"/>
      <c r="H716" s="28"/>
      <c r="I716" s="28"/>
    </row>
    <row r="717" spans="1:9" x14ac:dyDescent="0.35">
      <c r="A717" s="8"/>
      <c r="B717" s="8"/>
      <c r="C717" s="8"/>
      <c r="D717" s="28"/>
      <c r="E717" s="8"/>
      <c r="F717" s="8"/>
      <c r="G717" s="8"/>
      <c r="H717" s="28"/>
      <c r="I717" s="28"/>
    </row>
    <row r="718" spans="1:9" x14ac:dyDescent="0.35">
      <c r="A718" s="8"/>
      <c r="B718" s="8"/>
      <c r="C718" s="8"/>
      <c r="D718" s="28"/>
      <c r="E718" s="8"/>
      <c r="F718" s="8"/>
      <c r="G718" s="8"/>
      <c r="H718" s="28"/>
      <c r="I718" s="28"/>
    </row>
    <row r="719" spans="1:9" x14ac:dyDescent="0.35">
      <c r="A719" s="8"/>
      <c r="B719" s="8"/>
      <c r="C719" s="8"/>
      <c r="D719" s="28"/>
      <c r="E719" s="8"/>
      <c r="F719" s="8"/>
      <c r="G719" s="8"/>
      <c r="H719" s="28"/>
      <c r="I719" s="28"/>
    </row>
    <row r="720" spans="1:9" x14ac:dyDescent="0.35">
      <c r="A720" s="8"/>
      <c r="B720" s="8"/>
      <c r="C720" s="8"/>
      <c r="D720" s="28"/>
      <c r="E720" s="8"/>
      <c r="F720" s="8"/>
      <c r="G720" s="8"/>
      <c r="H720" s="28"/>
      <c r="I720" s="28"/>
    </row>
    <row r="721" spans="1:9" x14ac:dyDescent="0.35">
      <c r="A721" s="8"/>
      <c r="B721" s="8"/>
      <c r="C721" s="8"/>
      <c r="D721" s="28"/>
      <c r="E721" s="8"/>
      <c r="F721" s="8"/>
      <c r="G721" s="8"/>
      <c r="H721" s="28"/>
      <c r="I721" s="28"/>
    </row>
    <row r="722" spans="1:9" x14ac:dyDescent="0.35">
      <c r="A722" s="8"/>
      <c r="B722" s="8"/>
      <c r="C722" s="8"/>
      <c r="D722" s="28"/>
      <c r="E722" s="8"/>
      <c r="F722" s="8"/>
      <c r="G722" s="8"/>
      <c r="H722" s="28"/>
      <c r="I722" s="28"/>
    </row>
    <row r="723" spans="1:9" x14ac:dyDescent="0.35">
      <c r="A723" s="8"/>
      <c r="B723" s="8"/>
      <c r="C723" s="8"/>
      <c r="D723" s="28"/>
      <c r="E723" s="8"/>
      <c r="F723" s="8"/>
      <c r="G723" s="8"/>
      <c r="H723" s="28"/>
      <c r="I723" s="28"/>
    </row>
    <row r="724" spans="1:9" x14ac:dyDescent="0.35">
      <c r="A724" s="8"/>
      <c r="B724" s="8"/>
      <c r="C724" s="8"/>
      <c r="D724" s="28"/>
      <c r="E724" s="8"/>
      <c r="F724" s="8"/>
      <c r="G724" s="8"/>
      <c r="H724" s="28"/>
      <c r="I724" s="28"/>
    </row>
    <row r="725" spans="1:9" x14ac:dyDescent="0.35">
      <c r="A725" s="8"/>
      <c r="B725" s="8"/>
      <c r="C725" s="8"/>
      <c r="D725" s="28"/>
      <c r="E725" s="8"/>
      <c r="F725" s="8"/>
      <c r="G725" s="8"/>
      <c r="H725" s="28"/>
      <c r="I725" s="28"/>
    </row>
    <row r="726" spans="1:9" x14ac:dyDescent="0.35">
      <c r="A726" s="8"/>
      <c r="B726" s="8"/>
      <c r="C726" s="8"/>
      <c r="D726" s="28"/>
      <c r="E726" s="8"/>
      <c r="F726" s="8"/>
      <c r="G726" s="8"/>
      <c r="H726" s="28"/>
      <c r="I726" s="28"/>
    </row>
    <row r="727" spans="1:9" x14ac:dyDescent="0.35">
      <c r="A727" s="8"/>
      <c r="B727" s="8"/>
      <c r="C727" s="8"/>
      <c r="D727" s="28"/>
      <c r="E727" s="8"/>
      <c r="F727" s="8"/>
      <c r="G727" s="8"/>
      <c r="H727" s="28"/>
      <c r="I727" s="28"/>
    </row>
    <row r="728" spans="1:9" x14ac:dyDescent="0.35">
      <c r="A728" s="8"/>
      <c r="B728" s="8"/>
      <c r="C728" s="8"/>
      <c r="D728" s="28"/>
      <c r="E728" s="8"/>
      <c r="F728" s="8"/>
      <c r="G728" s="8"/>
      <c r="H728" s="28"/>
      <c r="I728" s="28"/>
    </row>
    <row r="729" spans="1:9" x14ac:dyDescent="0.35">
      <c r="A729" s="8"/>
      <c r="B729" s="8"/>
      <c r="C729" s="8"/>
      <c r="D729" s="28"/>
      <c r="E729" s="8"/>
      <c r="F729" s="8"/>
      <c r="G729" s="8"/>
      <c r="H729" s="28"/>
      <c r="I729" s="28"/>
    </row>
    <row r="730" spans="1:9" x14ac:dyDescent="0.35">
      <c r="A730" s="8"/>
      <c r="B730" s="8"/>
      <c r="C730" s="8"/>
      <c r="D730" s="28"/>
      <c r="E730" s="8"/>
      <c r="F730" s="8"/>
      <c r="G730" s="8"/>
      <c r="H730" s="28"/>
      <c r="I730" s="28"/>
    </row>
    <row r="731" spans="1:9" x14ac:dyDescent="0.35">
      <c r="A731" s="8"/>
      <c r="B731" s="8"/>
      <c r="C731" s="8"/>
      <c r="D731" s="28"/>
      <c r="E731" s="8"/>
      <c r="F731" s="8"/>
      <c r="G731" s="8"/>
      <c r="H731" s="28"/>
      <c r="I731" s="28"/>
    </row>
    <row r="732" spans="1:9" x14ac:dyDescent="0.35">
      <c r="A732" s="8"/>
      <c r="B732" s="8"/>
      <c r="C732" s="8"/>
      <c r="D732" s="28"/>
      <c r="E732" s="8"/>
      <c r="F732" s="8"/>
      <c r="G732" s="8"/>
      <c r="H732" s="28"/>
      <c r="I732" s="28"/>
    </row>
    <row r="733" spans="1:9" x14ac:dyDescent="0.35">
      <c r="A733" s="8"/>
      <c r="B733" s="8"/>
      <c r="C733" s="8"/>
      <c r="D733" s="28"/>
      <c r="E733" s="8"/>
      <c r="F733" s="8"/>
      <c r="G733" s="8"/>
      <c r="H733" s="28"/>
      <c r="I733" s="28"/>
    </row>
    <row r="734" spans="1:9" x14ac:dyDescent="0.35">
      <c r="A734" s="8"/>
      <c r="B734" s="8"/>
      <c r="C734" s="8"/>
      <c r="D734" s="28"/>
      <c r="E734" s="8"/>
      <c r="F734" s="8"/>
      <c r="G734" s="8"/>
      <c r="H734" s="28"/>
      <c r="I734" s="28"/>
    </row>
    <row r="735" spans="1:9" x14ac:dyDescent="0.35">
      <c r="A735" s="8"/>
      <c r="B735" s="8"/>
      <c r="C735" s="8"/>
      <c r="D735" s="28"/>
      <c r="E735" s="8"/>
      <c r="F735" s="8"/>
      <c r="G735" s="8"/>
      <c r="H735" s="28"/>
      <c r="I735" s="28"/>
    </row>
    <row r="736" spans="1:9" x14ac:dyDescent="0.35">
      <c r="A736" s="8"/>
      <c r="B736" s="8"/>
      <c r="C736" s="8"/>
      <c r="D736" s="28"/>
      <c r="E736" s="8"/>
      <c r="F736" s="8"/>
      <c r="G736" s="8"/>
      <c r="H736" s="28"/>
      <c r="I736" s="28"/>
    </row>
    <row r="737" spans="1:9" x14ac:dyDescent="0.35">
      <c r="A737" s="8"/>
      <c r="B737" s="8"/>
      <c r="C737" s="8"/>
      <c r="D737" s="28"/>
      <c r="E737" s="8"/>
      <c r="F737" s="8"/>
      <c r="G737" s="8"/>
      <c r="H737" s="28"/>
      <c r="I737" s="28"/>
    </row>
    <row r="738" spans="1:9" x14ac:dyDescent="0.35">
      <c r="A738" s="8"/>
      <c r="B738" s="8"/>
      <c r="C738" s="8"/>
      <c r="D738" s="28"/>
      <c r="E738" s="8"/>
      <c r="F738" s="8"/>
      <c r="G738" s="8"/>
      <c r="H738" s="28"/>
      <c r="I738" s="28"/>
    </row>
    <row r="739" spans="1:9" x14ac:dyDescent="0.35">
      <c r="A739" s="8"/>
      <c r="B739" s="8"/>
      <c r="C739" s="8"/>
      <c r="D739" s="28"/>
      <c r="E739" s="8"/>
      <c r="F739" s="8"/>
      <c r="G739" s="8"/>
      <c r="H739" s="28"/>
      <c r="I739" s="28"/>
    </row>
    <row r="740" spans="1:9" x14ac:dyDescent="0.35">
      <c r="A740" s="8"/>
      <c r="B740" s="8"/>
      <c r="C740" s="8"/>
      <c r="D740" s="28"/>
      <c r="E740" s="8"/>
      <c r="F740" s="8"/>
      <c r="G740" s="8"/>
      <c r="H740" s="28"/>
      <c r="I740" s="28"/>
    </row>
    <row r="741" spans="1:9" x14ac:dyDescent="0.35">
      <c r="A741" s="8"/>
      <c r="B741" s="8"/>
      <c r="C741" s="8"/>
      <c r="D741" s="28"/>
      <c r="E741" s="8"/>
      <c r="F741" s="8"/>
      <c r="G741" s="8"/>
      <c r="H741" s="28"/>
      <c r="I741" s="28"/>
    </row>
    <row r="742" spans="1:9" x14ac:dyDescent="0.35">
      <c r="A742" s="8"/>
      <c r="B742" s="8"/>
      <c r="C742" s="8"/>
      <c r="D742" s="28"/>
      <c r="E742" s="8"/>
      <c r="F742" s="8"/>
      <c r="G742" s="8"/>
      <c r="H742" s="28"/>
      <c r="I742" s="28"/>
    </row>
    <row r="743" spans="1:9" x14ac:dyDescent="0.35">
      <c r="A743" s="8"/>
      <c r="B743" s="8"/>
      <c r="C743" s="8"/>
      <c r="D743" s="28"/>
      <c r="E743" s="8"/>
      <c r="F743" s="8"/>
      <c r="G743" s="8"/>
      <c r="H743" s="28"/>
      <c r="I743" s="28"/>
    </row>
    <row r="744" spans="1:9" x14ac:dyDescent="0.35">
      <c r="A744" s="8"/>
      <c r="B744" s="8"/>
      <c r="C744" s="8"/>
      <c r="D744" s="28"/>
      <c r="E744" s="8"/>
      <c r="F744" s="8"/>
      <c r="G744" s="8"/>
      <c r="H744" s="28"/>
      <c r="I744" s="28"/>
    </row>
    <row r="745" spans="1:9" x14ac:dyDescent="0.35">
      <c r="A745" s="8"/>
      <c r="B745" s="8"/>
      <c r="C745" s="8"/>
      <c r="D745" s="28"/>
      <c r="E745" s="8"/>
      <c r="F745" s="8"/>
      <c r="G745" s="8"/>
      <c r="H745" s="28"/>
      <c r="I745" s="28"/>
    </row>
    <row r="746" spans="1:9" x14ac:dyDescent="0.35">
      <c r="A746" s="8"/>
      <c r="B746" s="8"/>
      <c r="C746" s="8"/>
      <c r="D746" s="28"/>
      <c r="E746" s="8"/>
      <c r="F746" s="8"/>
      <c r="G746" s="8"/>
      <c r="H746" s="28"/>
      <c r="I746" s="28"/>
    </row>
    <row r="747" spans="1:9" x14ac:dyDescent="0.35">
      <c r="A747" s="8"/>
      <c r="B747" s="8"/>
      <c r="C747" s="8"/>
      <c r="D747" s="28"/>
      <c r="E747" s="8"/>
      <c r="F747" s="8"/>
      <c r="G747" s="8"/>
      <c r="H747" s="28"/>
      <c r="I747" s="28"/>
    </row>
    <row r="748" spans="1:9" x14ac:dyDescent="0.35">
      <c r="A748" s="8"/>
      <c r="B748" s="8"/>
      <c r="C748" s="8"/>
      <c r="D748" s="28"/>
      <c r="E748" s="8"/>
      <c r="F748" s="8"/>
      <c r="G748" s="8"/>
      <c r="H748" s="28"/>
      <c r="I748" s="28"/>
    </row>
    <row r="749" spans="1:9" x14ac:dyDescent="0.35">
      <c r="A749" s="8"/>
      <c r="B749" s="8"/>
      <c r="C749" s="8"/>
      <c r="D749" s="28"/>
      <c r="E749" s="8"/>
      <c r="F749" s="8"/>
      <c r="G749" s="8"/>
      <c r="H749" s="28"/>
      <c r="I749" s="28"/>
    </row>
    <row r="750" spans="1:9" x14ac:dyDescent="0.35">
      <c r="A750" s="8"/>
      <c r="B750" s="8"/>
      <c r="C750" s="8"/>
      <c r="D750" s="28"/>
      <c r="E750" s="8"/>
      <c r="F750" s="8"/>
      <c r="G750" s="8"/>
      <c r="H750" s="28"/>
      <c r="I750" s="28"/>
    </row>
    <row r="751" spans="1:9" x14ac:dyDescent="0.35">
      <c r="A751" s="8"/>
      <c r="B751" s="8"/>
      <c r="C751" s="8"/>
      <c r="D751" s="28"/>
      <c r="E751" s="8"/>
      <c r="F751" s="8"/>
      <c r="G751" s="8"/>
      <c r="H751" s="28"/>
      <c r="I751" s="28"/>
    </row>
    <row r="752" spans="1:9" x14ac:dyDescent="0.35">
      <c r="A752" s="8"/>
      <c r="B752" s="8"/>
      <c r="C752" s="8"/>
      <c r="D752" s="28"/>
      <c r="E752" s="8"/>
      <c r="F752" s="8"/>
      <c r="G752" s="8"/>
      <c r="H752" s="28"/>
      <c r="I752" s="28"/>
    </row>
    <row r="753" spans="1:9" x14ac:dyDescent="0.35">
      <c r="A753" s="8"/>
      <c r="B753" s="8"/>
      <c r="C753" s="8"/>
      <c r="D753" s="28"/>
      <c r="E753" s="8"/>
      <c r="F753" s="8"/>
      <c r="G753" s="8"/>
      <c r="H753" s="28"/>
      <c r="I753" s="28"/>
    </row>
    <row r="754" spans="1:9" x14ac:dyDescent="0.35">
      <c r="A754" s="8"/>
      <c r="B754" s="8"/>
      <c r="C754" s="8"/>
      <c r="D754" s="28"/>
      <c r="E754" s="8"/>
      <c r="F754" s="8"/>
      <c r="G754" s="8"/>
      <c r="H754" s="28"/>
      <c r="I754" s="28"/>
    </row>
    <row r="755" spans="1:9" x14ac:dyDescent="0.35">
      <c r="A755" s="8"/>
      <c r="B755" s="8"/>
      <c r="C755" s="8"/>
      <c r="D755" s="28"/>
      <c r="E755" s="8"/>
      <c r="F755" s="8"/>
      <c r="G755" s="8"/>
      <c r="H755" s="28"/>
      <c r="I755" s="28"/>
    </row>
    <row r="756" spans="1:9" x14ac:dyDescent="0.35">
      <c r="A756" s="8"/>
      <c r="B756" s="8"/>
      <c r="C756" s="8"/>
      <c r="D756" s="28"/>
      <c r="E756" s="8"/>
      <c r="F756" s="8"/>
      <c r="G756" s="8"/>
      <c r="H756" s="28"/>
      <c r="I756" s="28"/>
    </row>
    <row r="757" spans="1:9" x14ac:dyDescent="0.35">
      <c r="A757" s="8"/>
      <c r="B757" s="8"/>
      <c r="C757" s="8"/>
      <c r="D757" s="28"/>
      <c r="E757" s="8"/>
      <c r="F757" s="8"/>
      <c r="G757" s="8"/>
      <c r="H757" s="28"/>
      <c r="I757" s="28"/>
    </row>
    <row r="758" spans="1:9" x14ac:dyDescent="0.35">
      <c r="A758" s="8"/>
      <c r="B758" s="8"/>
      <c r="C758" s="8"/>
      <c r="D758" s="28"/>
      <c r="E758" s="8"/>
      <c r="F758" s="8"/>
      <c r="G758" s="8"/>
      <c r="H758" s="28"/>
      <c r="I758" s="28"/>
    </row>
    <row r="759" spans="1:9" x14ac:dyDescent="0.35">
      <c r="A759" s="8"/>
      <c r="B759" s="8"/>
      <c r="C759" s="8"/>
      <c r="D759" s="28"/>
      <c r="E759" s="8"/>
      <c r="F759" s="8"/>
      <c r="G759" s="8"/>
      <c r="H759" s="28"/>
      <c r="I759" s="28"/>
    </row>
    <row r="760" spans="1:9" x14ac:dyDescent="0.35">
      <c r="A760" s="8"/>
      <c r="B760" s="8"/>
      <c r="C760" s="8"/>
      <c r="D760" s="28"/>
      <c r="E760" s="8"/>
      <c r="F760" s="8"/>
      <c r="G760" s="8"/>
      <c r="H760" s="28"/>
      <c r="I760" s="28"/>
    </row>
    <row r="761" spans="1:9" x14ac:dyDescent="0.35">
      <c r="A761" s="8"/>
      <c r="B761" s="8"/>
      <c r="C761" s="8"/>
      <c r="D761" s="28"/>
      <c r="E761" s="8"/>
      <c r="F761" s="8"/>
      <c r="G761" s="8"/>
      <c r="H761" s="28"/>
      <c r="I761" s="28"/>
    </row>
    <row r="762" spans="1:9" x14ac:dyDescent="0.35">
      <c r="A762" s="8"/>
      <c r="B762" s="8"/>
      <c r="C762" s="8"/>
      <c r="D762" s="28"/>
      <c r="E762" s="8"/>
      <c r="F762" s="8"/>
      <c r="G762" s="8"/>
      <c r="H762" s="28"/>
      <c r="I762" s="28"/>
    </row>
    <row r="763" spans="1:9" x14ac:dyDescent="0.35">
      <c r="A763" s="8"/>
      <c r="B763" s="8"/>
      <c r="C763" s="8"/>
      <c r="D763" s="28"/>
      <c r="E763" s="8"/>
      <c r="F763" s="8"/>
      <c r="G763" s="8"/>
      <c r="H763" s="28"/>
      <c r="I763" s="28"/>
    </row>
    <row r="764" spans="1:9" x14ac:dyDescent="0.35">
      <c r="A764" s="8"/>
      <c r="B764" s="8"/>
      <c r="C764" s="8"/>
      <c r="D764" s="28"/>
      <c r="E764" s="8"/>
      <c r="F764" s="8"/>
      <c r="G764" s="8"/>
      <c r="H764" s="28"/>
      <c r="I764" s="28"/>
    </row>
    <row r="765" spans="1:9" x14ac:dyDescent="0.35">
      <c r="A765" s="8"/>
      <c r="B765" s="8"/>
      <c r="C765" s="8"/>
      <c r="D765" s="28"/>
      <c r="E765" s="8"/>
      <c r="F765" s="8"/>
      <c r="G765" s="8"/>
      <c r="H765" s="28"/>
      <c r="I765" s="28"/>
    </row>
    <row r="766" spans="1:9" x14ac:dyDescent="0.35">
      <c r="A766" s="8"/>
      <c r="B766" s="8"/>
      <c r="C766" s="8"/>
      <c r="D766" s="28"/>
      <c r="E766" s="8"/>
      <c r="F766" s="8"/>
      <c r="G766" s="8"/>
      <c r="H766" s="28"/>
      <c r="I766" s="28"/>
    </row>
    <row r="767" spans="1:9" x14ac:dyDescent="0.35">
      <c r="A767" s="8"/>
      <c r="B767" s="8"/>
      <c r="C767" s="8"/>
      <c r="D767" s="28"/>
      <c r="E767" s="8"/>
      <c r="F767" s="8"/>
      <c r="G767" s="8"/>
      <c r="H767" s="28"/>
      <c r="I767" s="28"/>
    </row>
    <row r="768" spans="1:9" x14ac:dyDescent="0.35">
      <c r="A768" s="8"/>
      <c r="B768" s="8"/>
      <c r="C768" s="8"/>
      <c r="D768" s="28"/>
      <c r="E768" s="8"/>
      <c r="F768" s="8"/>
      <c r="G768" s="8"/>
      <c r="H768" s="28"/>
      <c r="I768" s="28"/>
    </row>
    <row r="769" spans="1:9" x14ac:dyDescent="0.35">
      <c r="A769" s="8"/>
      <c r="B769" s="8"/>
      <c r="C769" s="8"/>
      <c r="D769" s="28"/>
      <c r="E769" s="8"/>
      <c r="F769" s="8"/>
      <c r="G769" s="8"/>
      <c r="H769" s="28"/>
      <c r="I769" s="28"/>
    </row>
    <row r="770" spans="1:9" x14ac:dyDescent="0.35">
      <c r="A770" s="8"/>
      <c r="B770" s="8"/>
      <c r="C770" s="8"/>
      <c r="D770" s="28"/>
      <c r="E770" s="8"/>
      <c r="F770" s="8"/>
      <c r="G770" s="8"/>
      <c r="H770" s="28"/>
      <c r="I770" s="28"/>
    </row>
    <row r="771" spans="1:9" x14ac:dyDescent="0.35">
      <c r="A771" s="8"/>
      <c r="B771" s="8"/>
      <c r="C771" s="8"/>
      <c r="D771" s="28"/>
      <c r="E771" s="8"/>
      <c r="F771" s="8"/>
      <c r="G771" s="8"/>
      <c r="H771" s="28"/>
      <c r="I771" s="28"/>
    </row>
    <row r="772" spans="1:9" x14ac:dyDescent="0.35">
      <c r="A772" s="8"/>
      <c r="B772" s="8"/>
      <c r="C772" s="8"/>
      <c r="D772" s="28"/>
      <c r="E772" s="8"/>
      <c r="F772" s="8"/>
      <c r="G772" s="8"/>
      <c r="H772" s="28"/>
      <c r="I772" s="28"/>
    </row>
    <row r="773" spans="1:9" x14ac:dyDescent="0.35">
      <c r="A773" s="8"/>
      <c r="B773" s="8"/>
      <c r="C773" s="8"/>
      <c r="D773" s="28"/>
      <c r="E773" s="8"/>
      <c r="F773" s="8"/>
      <c r="G773" s="8"/>
      <c r="H773" s="28"/>
      <c r="I773" s="28"/>
    </row>
    <row r="774" spans="1:9" x14ac:dyDescent="0.35">
      <c r="A774" s="8"/>
      <c r="B774" s="8"/>
      <c r="C774" s="8"/>
      <c r="D774" s="28"/>
      <c r="E774" s="8"/>
      <c r="F774" s="8"/>
      <c r="G774" s="8"/>
      <c r="H774" s="28"/>
      <c r="I774" s="28"/>
    </row>
    <row r="775" spans="1:9" x14ac:dyDescent="0.35">
      <c r="A775" s="8"/>
      <c r="B775" s="8"/>
      <c r="C775" s="8"/>
      <c r="D775" s="28"/>
      <c r="E775" s="8"/>
      <c r="F775" s="8"/>
      <c r="G775" s="8"/>
      <c r="H775" s="28"/>
      <c r="I775" s="28"/>
    </row>
    <row r="776" spans="1:9" x14ac:dyDescent="0.35">
      <c r="A776" s="8"/>
      <c r="B776" s="8"/>
      <c r="C776" s="8"/>
      <c r="D776" s="28"/>
      <c r="E776" s="8"/>
      <c r="F776" s="8"/>
      <c r="G776" s="8"/>
      <c r="H776" s="28"/>
      <c r="I776" s="28"/>
    </row>
    <row r="777" spans="1:9" x14ac:dyDescent="0.35">
      <c r="A777" s="8"/>
      <c r="B777" s="8"/>
      <c r="C777" s="8"/>
      <c r="D777" s="28"/>
      <c r="E777" s="8"/>
      <c r="F777" s="8"/>
      <c r="G777" s="8"/>
      <c r="H777" s="28"/>
      <c r="I777" s="28"/>
    </row>
    <row r="778" spans="1:9" x14ac:dyDescent="0.35">
      <c r="A778" s="8"/>
      <c r="B778" s="8"/>
      <c r="C778" s="8"/>
      <c r="D778" s="28"/>
      <c r="E778" s="8"/>
      <c r="F778" s="8"/>
      <c r="G778" s="8"/>
      <c r="H778" s="28"/>
      <c r="I778" s="28"/>
    </row>
    <row r="779" spans="1:9" x14ac:dyDescent="0.35">
      <c r="A779" s="8"/>
      <c r="B779" s="8"/>
      <c r="C779" s="8"/>
      <c r="D779" s="28"/>
      <c r="E779" s="8"/>
      <c r="F779" s="8"/>
      <c r="G779" s="8"/>
      <c r="H779" s="28"/>
      <c r="I779" s="28"/>
    </row>
    <row r="780" spans="1:9" x14ac:dyDescent="0.35">
      <c r="A780" s="8"/>
      <c r="B780" s="8"/>
      <c r="C780" s="8"/>
      <c r="D780" s="28"/>
      <c r="E780" s="8"/>
      <c r="F780" s="8"/>
      <c r="G780" s="8"/>
      <c r="H780" s="28"/>
      <c r="I780" s="28"/>
    </row>
    <row r="781" spans="1:9" x14ac:dyDescent="0.35">
      <c r="A781" s="8"/>
      <c r="B781" s="8"/>
      <c r="C781" s="8"/>
      <c r="D781" s="28"/>
      <c r="E781" s="8"/>
      <c r="F781" s="8"/>
      <c r="G781" s="8"/>
      <c r="H781" s="28"/>
      <c r="I781" s="28"/>
    </row>
    <row r="782" spans="1:9" x14ac:dyDescent="0.35">
      <c r="A782" s="8"/>
      <c r="B782" s="8"/>
      <c r="C782" s="8"/>
      <c r="D782" s="28"/>
      <c r="E782" s="8"/>
      <c r="F782" s="8"/>
      <c r="G782" s="8"/>
      <c r="H782" s="28"/>
      <c r="I782" s="28"/>
    </row>
    <row r="783" spans="1:9" x14ac:dyDescent="0.35">
      <c r="A783" s="8"/>
      <c r="B783" s="8"/>
      <c r="C783" s="8"/>
      <c r="D783" s="28"/>
      <c r="E783" s="8"/>
      <c r="F783" s="8"/>
      <c r="G783" s="8"/>
      <c r="H783" s="28"/>
      <c r="I783" s="28"/>
    </row>
    <row r="784" spans="1:9" x14ac:dyDescent="0.35">
      <c r="A784" s="8"/>
      <c r="B784" s="8"/>
      <c r="C784" s="8"/>
      <c r="D784" s="28"/>
      <c r="E784" s="8"/>
      <c r="F784" s="8"/>
      <c r="G784" s="8"/>
      <c r="H784" s="28"/>
      <c r="I784" s="28"/>
    </row>
    <row r="785" spans="1:9" x14ac:dyDescent="0.35">
      <c r="A785" s="8"/>
      <c r="B785" s="8"/>
      <c r="C785" s="8"/>
      <c r="D785" s="28"/>
      <c r="E785" s="8"/>
      <c r="F785" s="8"/>
      <c r="G785" s="8"/>
      <c r="H785" s="28"/>
      <c r="I785" s="28"/>
    </row>
    <row r="786" spans="1:9" x14ac:dyDescent="0.35">
      <c r="A786" s="8"/>
      <c r="B786" s="8"/>
      <c r="C786" s="8"/>
      <c r="D786" s="28"/>
      <c r="E786" s="8"/>
      <c r="F786" s="8"/>
      <c r="G786" s="8"/>
      <c r="H786" s="28"/>
      <c r="I786" s="28"/>
    </row>
    <row r="787" spans="1:9" x14ac:dyDescent="0.35">
      <c r="A787" s="8"/>
      <c r="B787" s="8"/>
      <c r="C787" s="8"/>
      <c r="D787" s="28"/>
      <c r="E787" s="8"/>
      <c r="F787" s="8"/>
      <c r="G787" s="8"/>
      <c r="H787" s="28"/>
      <c r="I787" s="28"/>
    </row>
    <row r="788" spans="1:9" x14ac:dyDescent="0.35">
      <c r="A788" s="8"/>
      <c r="B788" s="8"/>
      <c r="C788" s="8"/>
      <c r="D788" s="28"/>
      <c r="E788" s="8"/>
      <c r="F788" s="8"/>
      <c r="G788" s="8"/>
      <c r="H788" s="28"/>
      <c r="I788" s="28"/>
    </row>
    <row r="789" spans="1:9" x14ac:dyDescent="0.35">
      <c r="A789" s="8"/>
      <c r="B789" s="8"/>
      <c r="C789" s="8"/>
      <c r="D789" s="28"/>
      <c r="E789" s="8"/>
      <c r="F789" s="8"/>
      <c r="G789" s="8"/>
      <c r="H789" s="28"/>
      <c r="I789" s="28"/>
    </row>
    <row r="790" spans="1:9" x14ac:dyDescent="0.35">
      <c r="A790" s="8"/>
      <c r="B790" s="8"/>
      <c r="C790" s="8"/>
      <c r="D790" s="28"/>
      <c r="E790" s="8"/>
      <c r="F790" s="8"/>
      <c r="G790" s="8"/>
      <c r="H790" s="28"/>
      <c r="I790" s="28"/>
    </row>
    <row r="791" spans="1:9" x14ac:dyDescent="0.35">
      <c r="A791" s="8"/>
      <c r="B791" s="8"/>
      <c r="C791" s="8"/>
      <c r="D791" s="28"/>
      <c r="E791" s="8"/>
      <c r="F791" s="8"/>
      <c r="G791" s="8"/>
      <c r="H791" s="28"/>
      <c r="I791" s="28"/>
    </row>
    <row r="792" spans="1:9" x14ac:dyDescent="0.35">
      <c r="A792" s="8"/>
      <c r="B792" s="8"/>
      <c r="C792" s="8"/>
      <c r="D792" s="28"/>
      <c r="E792" s="8"/>
      <c r="F792" s="8"/>
      <c r="G792" s="8"/>
      <c r="H792" s="28"/>
      <c r="I792" s="28"/>
    </row>
    <row r="793" spans="1:9" x14ac:dyDescent="0.35">
      <c r="A793" s="8"/>
      <c r="B793" s="8"/>
      <c r="C793" s="8"/>
      <c r="D793" s="28"/>
      <c r="E793" s="8"/>
      <c r="F793" s="8"/>
      <c r="G793" s="8"/>
      <c r="H793" s="28"/>
      <c r="I793" s="28"/>
    </row>
    <row r="794" spans="1:9" x14ac:dyDescent="0.35">
      <c r="A794" s="8"/>
      <c r="B794" s="8"/>
      <c r="C794" s="8"/>
      <c r="D794" s="28"/>
      <c r="E794" s="8"/>
      <c r="F794" s="8"/>
      <c r="G794" s="8"/>
      <c r="H794" s="28"/>
      <c r="I794" s="28"/>
    </row>
    <row r="795" spans="1:9" x14ac:dyDescent="0.35">
      <c r="A795" s="8"/>
      <c r="B795" s="8"/>
      <c r="C795" s="8"/>
      <c r="D795" s="28"/>
      <c r="E795" s="8"/>
      <c r="F795" s="8"/>
      <c r="G795" s="8"/>
      <c r="H795" s="28"/>
      <c r="I795" s="28"/>
    </row>
    <row r="796" spans="1:9" x14ac:dyDescent="0.35">
      <c r="A796" s="8"/>
      <c r="B796" s="8"/>
      <c r="C796" s="8"/>
      <c r="D796" s="28"/>
      <c r="E796" s="8"/>
      <c r="F796" s="8"/>
      <c r="G796" s="8"/>
      <c r="H796" s="28"/>
      <c r="I796" s="28"/>
    </row>
    <row r="797" spans="1:9" x14ac:dyDescent="0.35">
      <c r="A797" s="8"/>
      <c r="B797" s="8"/>
      <c r="C797" s="8"/>
      <c r="D797" s="28"/>
      <c r="E797" s="8"/>
      <c r="F797" s="8"/>
      <c r="G797" s="8"/>
      <c r="H797" s="28"/>
      <c r="I797" s="28"/>
    </row>
    <row r="798" spans="1:9" x14ac:dyDescent="0.35">
      <c r="A798" s="8"/>
      <c r="B798" s="8"/>
      <c r="C798" s="8"/>
      <c r="D798" s="28"/>
      <c r="E798" s="8"/>
      <c r="F798" s="8"/>
      <c r="G798" s="8"/>
      <c r="H798" s="28"/>
      <c r="I798" s="28"/>
    </row>
    <row r="799" spans="1:9" x14ac:dyDescent="0.35">
      <c r="A799" s="8"/>
      <c r="B799" s="8"/>
      <c r="C799" s="8"/>
      <c r="D799" s="28"/>
      <c r="E799" s="8"/>
      <c r="F799" s="8"/>
      <c r="G799" s="8"/>
      <c r="H799" s="28"/>
      <c r="I799" s="28"/>
    </row>
    <row r="800" spans="1:9" x14ac:dyDescent="0.35">
      <c r="A800" s="8"/>
      <c r="B800" s="8"/>
      <c r="C800" s="8"/>
      <c r="D800" s="28"/>
      <c r="E800" s="8"/>
      <c r="F800" s="8"/>
      <c r="G800" s="8"/>
      <c r="H800" s="28"/>
      <c r="I800" s="28"/>
    </row>
    <row r="801" spans="1:9" x14ac:dyDescent="0.35">
      <c r="A801" s="8"/>
      <c r="B801" s="8"/>
      <c r="C801" s="8"/>
      <c r="D801" s="28"/>
      <c r="E801" s="8"/>
      <c r="F801" s="8"/>
      <c r="G801" s="8"/>
      <c r="H801" s="28"/>
      <c r="I801" s="28"/>
    </row>
    <row r="802" spans="1:9" x14ac:dyDescent="0.35">
      <c r="A802" s="8"/>
      <c r="B802" s="8"/>
      <c r="C802" s="8"/>
      <c r="D802" s="28"/>
      <c r="E802" s="8"/>
      <c r="F802" s="8"/>
      <c r="G802" s="8"/>
      <c r="H802" s="28"/>
      <c r="I802" s="28"/>
    </row>
    <row r="803" spans="1:9" x14ac:dyDescent="0.35">
      <c r="A803" s="8"/>
      <c r="B803" s="8"/>
      <c r="C803" s="8"/>
      <c r="D803" s="28"/>
      <c r="E803" s="8"/>
      <c r="F803" s="8"/>
      <c r="G803" s="8"/>
      <c r="H803" s="28"/>
      <c r="I803" s="28"/>
    </row>
    <row r="804" spans="1:9" x14ac:dyDescent="0.35">
      <c r="A804" s="8"/>
      <c r="B804" s="8"/>
      <c r="C804" s="8"/>
      <c r="D804" s="28"/>
      <c r="E804" s="8"/>
      <c r="F804" s="8"/>
      <c r="G804" s="8"/>
      <c r="H804" s="28"/>
      <c r="I804" s="28"/>
    </row>
    <row r="805" spans="1:9" x14ac:dyDescent="0.35">
      <c r="A805" s="8"/>
      <c r="B805" s="8"/>
      <c r="C805" s="8"/>
      <c r="D805" s="28"/>
      <c r="E805" s="8"/>
      <c r="F805" s="8"/>
      <c r="G805" s="8"/>
      <c r="H805" s="28"/>
      <c r="I805" s="28"/>
    </row>
    <row r="806" spans="1:9" x14ac:dyDescent="0.35">
      <c r="A806" s="8"/>
      <c r="B806" s="8"/>
      <c r="C806" s="8"/>
      <c r="D806" s="28"/>
      <c r="E806" s="8"/>
      <c r="F806" s="8"/>
      <c r="G806" s="8"/>
      <c r="H806" s="28"/>
      <c r="I806" s="28"/>
    </row>
    <row r="807" spans="1:9" x14ac:dyDescent="0.35">
      <c r="A807" s="8"/>
      <c r="B807" s="8"/>
      <c r="C807" s="8"/>
      <c r="D807" s="28"/>
      <c r="E807" s="8"/>
      <c r="F807" s="8"/>
      <c r="G807" s="8"/>
      <c r="H807" s="28"/>
      <c r="I807" s="28"/>
    </row>
    <row r="808" spans="1:9" x14ac:dyDescent="0.35">
      <c r="A808" s="8"/>
      <c r="B808" s="8"/>
      <c r="C808" s="8"/>
      <c r="D808" s="28"/>
      <c r="E808" s="8"/>
      <c r="F808" s="8"/>
      <c r="G808" s="8"/>
      <c r="H808" s="28"/>
      <c r="I808" s="28"/>
    </row>
    <row r="809" spans="1:9" x14ac:dyDescent="0.35">
      <c r="A809" s="8"/>
      <c r="B809" s="8"/>
      <c r="C809" s="8"/>
      <c r="D809" s="28"/>
      <c r="E809" s="8"/>
      <c r="F809" s="8"/>
      <c r="G809" s="8"/>
      <c r="H809" s="28"/>
      <c r="I809" s="28"/>
    </row>
    <row r="810" spans="1:9" x14ac:dyDescent="0.35">
      <c r="A810" s="8"/>
      <c r="B810" s="8"/>
      <c r="C810" s="8"/>
      <c r="D810" s="28"/>
      <c r="E810" s="8"/>
      <c r="F810" s="8"/>
      <c r="G810" s="8"/>
      <c r="H810" s="28"/>
      <c r="I810" s="28"/>
    </row>
    <row r="811" spans="1:9" x14ac:dyDescent="0.35">
      <c r="A811" s="8"/>
      <c r="B811" s="8"/>
      <c r="C811" s="8"/>
      <c r="D811" s="28"/>
      <c r="E811" s="8"/>
      <c r="F811" s="8"/>
      <c r="G811" s="8"/>
      <c r="H811" s="28"/>
      <c r="I811" s="28"/>
    </row>
    <row r="812" spans="1:9" x14ac:dyDescent="0.35">
      <c r="A812" s="8"/>
      <c r="B812" s="8"/>
      <c r="C812" s="8"/>
      <c r="D812" s="28"/>
      <c r="E812" s="8"/>
      <c r="F812" s="8"/>
      <c r="G812" s="8"/>
      <c r="H812" s="28"/>
      <c r="I812" s="28"/>
    </row>
    <row r="813" spans="1:9" x14ac:dyDescent="0.35">
      <c r="A813" s="8"/>
      <c r="B813" s="8"/>
      <c r="C813" s="8"/>
      <c r="D813" s="28"/>
      <c r="E813" s="8"/>
      <c r="F813" s="8"/>
      <c r="G813" s="8"/>
      <c r="H813" s="28"/>
      <c r="I813" s="28"/>
    </row>
    <row r="814" spans="1:9" x14ac:dyDescent="0.35">
      <c r="A814" s="8"/>
      <c r="B814" s="8"/>
      <c r="C814" s="8"/>
      <c r="D814" s="28"/>
      <c r="E814" s="8"/>
      <c r="F814" s="8"/>
      <c r="G814" s="8"/>
      <c r="H814" s="28"/>
      <c r="I814" s="28"/>
    </row>
    <row r="815" spans="1:9" x14ac:dyDescent="0.35">
      <c r="A815" s="8"/>
      <c r="B815" s="8"/>
      <c r="C815" s="8"/>
      <c r="D815" s="28"/>
      <c r="E815" s="8"/>
      <c r="F815" s="8"/>
      <c r="G815" s="8"/>
      <c r="H815" s="28"/>
      <c r="I815" s="28"/>
    </row>
    <row r="816" spans="1:9" x14ac:dyDescent="0.35">
      <c r="A816" s="8"/>
      <c r="B816" s="8"/>
      <c r="C816" s="8"/>
      <c r="D816" s="28"/>
      <c r="E816" s="8"/>
      <c r="F816" s="8"/>
      <c r="G816" s="8"/>
      <c r="H816" s="28"/>
      <c r="I816" s="28"/>
    </row>
    <row r="817" spans="1:9" x14ac:dyDescent="0.35">
      <c r="A817" s="8"/>
      <c r="B817" s="8"/>
      <c r="C817" s="8"/>
      <c r="D817" s="28"/>
      <c r="E817" s="8"/>
      <c r="F817" s="8"/>
      <c r="G817" s="8"/>
      <c r="H817" s="28"/>
      <c r="I817" s="28"/>
    </row>
    <row r="818" spans="1:9" x14ac:dyDescent="0.35">
      <c r="A818" s="8"/>
      <c r="B818" s="8"/>
      <c r="C818" s="8"/>
      <c r="D818" s="28"/>
      <c r="E818" s="8"/>
      <c r="F818" s="8"/>
      <c r="G818" s="8"/>
      <c r="H818" s="28"/>
      <c r="I818" s="28"/>
    </row>
    <row r="819" spans="1:9" x14ac:dyDescent="0.35">
      <c r="A819" s="8"/>
      <c r="B819" s="8"/>
      <c r="C819" s="8"/>
      <c r="D819" s="28"/>
      <c r="E819" s="8"/>
      <c r="F819" s="8"/>
      <c r="G819" s="8"/>
      <c r="H819" s="28"/>
      <c r="I819" s="28"/>
    </row>
    <row r="820" spans="1:9" x14ac:dyDescent="0.35">
      <c r="A820" s="8"/>
      <c r="B820" s="8"/>
      <c r="C820" s="8"/>
      <c r="D820" s="28"/>
      <c r="E820" s="8"/>
      <c r="F820" s="8"/>
      <c r="G820" s="8"/>
      <c r="H820" s="28"/>
      <c r="I820" s="28"/>
    </row>
    <row r="821" spans="1:9" x14ac:dyDescent="0.35">
      <c r="A821" s="8"/>
      <c r="B821" s="8"/>
      <c r="C821" s="8"/>
      <c r="D821" s="28"/>
      <c r="E821" s="8"/>
      <c r="F821" s="8"/>
      <c r="G821" s="8"/>
      <c r="H821" s="28"/>
      <c r="I821" s="28"/>
    </row>
    <row r="822" spans="1:9" x14ac:dyDescent="0.35">
      <c r="A822" s="8"/>
      <c r="B822" s="8"/>
      <c r="C822" s="8"/>
      <c r="D822" s="28"/>
      <c r="E822" s="8"/>
      <c r="F822" s="8"/>
      <c r="G822" s="8"/>
      <c r="H822" s="28"/>
      <c r="I822" s="28"/>
    </row>
    <row r="823" spans="1:9" x14ac:dyDescent="0.35">
      <c r="A823" s="8"/>
      <c r="B823" s="8"/>
      <c r="C823" s="8"/>
      <c r="D823" s="28"/>
      <c r="E823" s="8"/>
      <c r="F823" s="8"/>
      <c r="G823" s="8"/>
      <c r="H823" s="28"/>
      <c r="I823" s="28"/>
    </row>
    <row r="824" spans="1:9" x14ac:dyDescent="0.35">
      <c r="A824" s="8"/>
      <c r="B824" s="8"/>
      <c r="C824" s="8"/>
      <c r="D824" s="28"/>
      <c r="E824" s="8"/>
      <c r="F824" s="8"/>
      <c r="G824" s="8"/>
      <c r="H824" s="28"/>
      <c r="I824" s="28"/>
    </row>
    <row r="825" spans="1:9" x14ac:dyDescent="0.35">
      <c r="A825" s="8"/>
      <c r="B825" s="8"/>
      <c r="C825" s="8"/>
      <c r="D825" s="28"/>
      <c r="E825" s="8"/>
      <c r="F825" s="8"/>
      <c r="G825" s="8"/>
      <c r="H825" s="28"/>
      <c r="I825" s="28"/>
    </row>
    <row r="826" spans="1:9" x14ac:dyDescent="0.35">
      <c r="A826" s="8"/>
      <c r="B826" s="8"/>
      <c r="C826" s="8"/>
      <c r="D826" s="28"/>
      <c r="E826" s="8"/>
      <c r="F826" s="8"/>
      <c r="G826" s="8"/>
      <c r="H826" s="28"/>
      <c r="I826" s="28"/>
    </row>
    <row r="827" spans="1:9" x14ac:dyDescent="0.35">
      <c r="A827" s="8"/>
      <c r="B827" s="8"/>
      <c r="C827" s="8"/>
      <c r="D827" s="28"/>
      <c r="E827" s="8"/>
      <c r="F827" s="8"/>
      <c r="G827" s="8"/>
      <c r="H827" s="28"/>
      <c r="I827" s="28"/>
    </row>
    <row r="828" spans="1:9" x14ac:dyDescent="0.35">
      <c r="A828" s="8"/>
      <c r="B828" s="8"/>
      <c r="C828" s="8"/>
      <c r="D828" s="28"/>
      <c r="E828" s="8"/>
      <c r="F828" s="8"/>
      <c r="G828" s="8"/>
      <c r="H828" s="28"/>
      <c r="I828" s="28"/>
    </row>
    <row r="829" spans="1:9" x14ac:dyDescent="0.35">
      <c r="A829" s="8"/>
      <c r="B829" s="8"/>
      <c r="C829" s="8"/>
      <c r="D829" s="28"/>
      <c r="E829" s="8"/>
      <c r="F829" s="8"/>
      <c r="G829" s="8"/>
      <c r="H829" s="28"/>
      <c r="I829" s="28"/>
    </row>
    <row r="830" spans="1:9" x14ac:dyDescent="0.35">
      <c r="A830" s="8"/>
      <c r="B830" s="8"/>
      <c r="C830" s="8"/>
      <c r="D830" s="28"/>
      <c r="E830" s="8"/>
      <c r="F830" s="8"/>
      <c r="G830" s="8"/>
      <c r="H830" s="28"/>
      <c r="I830" s="28"/>
    </row>
    <row r="831" spans="1:9" x14ac:dyDescent="0.35">
      <c r="A831" s="8"/>
      <c r="B831" s="8"/>
      <c r="C831" s="8"/>
      <c r="D831" s="28"/>
      <c r="E831" s="8"/>
      <c r="F831" s="8"/>
      <c r="G831" s="8"/>
      <c r="H831" s="28"/>
      <c r="I831" s="28"/>
    </row>
    <row r="832" spans="1:9" x14ac:dyDescent="0.35">
      <c r="A832" s="8"/>
      <c r="B832" s="8"/>
      <c r="C832" s="8"/>
      <c r="D832" s="28"/>
      <c r="E832" s="8"/>
      <c r="F832" s="8"/>
      <c r="G832" s="8"/>
      <c r="H832" s="28"/>
      <c r="I832" s="28"/>
    </row>
    <row r="833" spans="1:9" x14ac:dyDescent="0.35">
      <c r="A833" s="8"/>
      <c r="B833" s="8"/>
      <c r="C833" s="8"/>
      <c r="D833" s="28"/>
      <c r="E833" s="8"/>
      <c r="F833" s="8"/>
      <c r="G833" s="8"/>
      <c r="H833" s="28"/>
      <c r="I833" s="28"/>
    </row>
    <row r="834" spans="1:9" x14ac:dyDescent="0.35">
      <c r="A834" s="8"/>
      <c r="B834" s="8"/>
      <c r="C834" s="8"/>
      <c r="D834" s="28"/>
      <c r="E834" s="8"/>
      <c r="F834" s="8"/>
      <c r="G834" s="8"/>
      <c r="H834" s="28"/>
      <c r="I834" s="28"/>
    </row>
    <row r="835" spans="1:9" x14ac:dyDescent="0.35">
      <c r="A835" s="8"/>
      <c r="B835" s="8"/>
      <c r="C835" s="8"/>
      <c r="D835" s="28"/>
      <c r="E835" s="8"/>
      <c r="F835" s="8"/>
      <c r="G835" s="8"/>
      <c r="H835" s="28"/>
      <c r="I835" s="28"/>
    </row>
    <row r="836" spans="1:9" x14ac:dyDescent="0.35">
      <c r="A836" s="8"/>
      <c r="B836" s="8"/>
      <c r="C836" s="8"/>
      <c r="D836" s="28"/>
      <c r="E836" s="8"/>
      <c r="F836" s="8"/>
      <c r="G836" s="8"/>
      <c r="H836" s="28"/>
      <c r="I836" s="28"/>
    </row>
    <row r="837" spans="1:9" x14ac:dyDescent="0.35">
      <c r="A837" s="8"/>
      <c r="B837" s="8"/>
      <c r="C837" s="8"/>
      <c r="D837" s="28"/>
      <c r="E837" s="8"/>
      <c r="F837" s="8"/>
      <c r="G837" s="8"/>
      <c r="H837" s="28"/>
      <c r="I837" s="28"/>
    </row>
    <row r="838" spans="1:9" x14ac:dyDescent="0.35">
      <c r="A838" s="8"/>
      <c r="B838" s="8"/>
      <c r="C838" s="8"/>
      <c r="D838" s="28"/>
      <c r="E838" s="8"/>
      <c r="F838" s="8"/>
      <c r="G838" s="8"/>
      <c r="H838" s="28"/>
      <c r="I838" s="28"/>
    </row>
    <row r="839" spans="1:9" x14ac:dyDescent="0.35">
      <c r="A839" s="8"/>
      <c r="B839" s="8"/>
      <c r="C839" s="8"/>
      <c r="D839" s="28"/>
      <c r="E839" s="8"/>
      <c r="F839" s="8"/>
      <c r="G839" s="8"/>
      <c r="H839" s="28"/>
      <c r="I839" s="28"/>
    </row>
    <row r="840" spans="1:9" x14ac:dyDescent="0.35">
      <c r="A840" s="8"/>
      <c r="B840" s="8"/>
      <c r="C840" s="8"/>
      <c r="D840" s="28"/>
      <c r="E840" s="8"/>
      <c r="F840" s="8"/>
      <c r="G840" s="8"/>
      <c r="H840" s="28"/>
      <c r="I840" s="28"/>
    </row>
    <row r="841" spans="1:9" x14ac:dyDescent="0.35">
      <c r="A841" s="8"/>
      <c r="B841" s="8"/>
      <c r="C841" s="8"/>
      <c r="D841" s="28"/>
      <c r="E841" s="8"/>
      <c r="F841" s="8"/>
      <c r="G841" s="8"/>
      <c r="H841" s="28"/>
      <c r="I841" s="28"/>
    </row>
    <row r="842" spans="1:9" x14ac:dyDescent="0.35">
      <c r="A842" s="8"/>
      <c r="B842" s="8"/>
      <c r="C842" s="8"/>
      <c r="D842" s="28"/>
      <c r="E842" s="8"/>
      <c r="F842" s="8"/>
      <c r="G842" s="8"/>
      <c r="H842" s="28"/>
      <c r="I842" s="28"/>
    </row>
    <row r="843" spans="1:9" x14ac:dyDescent="0.35">
      <c r="A843" s="8"/>
      <c r="B843" s="8"/>
      <c r="C843" s="8"/>
      <c r="D843" s="28"/>
      <c r="E843" s="8"/>
      <c r="F843" s="8"/>
      <c r="G843" s="8"/>
      <c r="H843" s="28"/>
      <c r="I843" s="28"/>
    </row>
    <row r="844" spans="1:9" x14ac:dyDescent="0.35">
      <c r="A844" s="8"/>
      <c r="B844" s="8"/>
      <c r="C844" s="8"/>
      <c r="D844" s="28"/>
      <c r="E844" s="8"/>
      <c r="F844" s="8"/>
      <c r="G844" s="8"/>
      <c r="H844" s="28"/>
      <c r="I844" s="28"/>
    </row>
    <row r="845" spans="1:9" x14ac:dyDescent="0.35">
      <c r="A845" s="8"/>
      <c r="B845" s="8"/>
      <c r="C845" s="8"/>
      <c r="D845" s="28"/>
      <c r="E845" s="8"/>
      <c r="F845" s="8"/>
      <c r="G845" s="8"/>
      <c r="H845" s="28"/>
      <c r="I845" s="28"/>
    </row>
    <row r="846" spans="1:9" x14ac:dyDescent="0.35">
      <c r="A846" s="8"/>
      <c r="B846" s="8"/>
      <c r="C846" s="8"/>
      <c r="D846" s="28"/>
      <c r="E846" s="8"/>
      <c r="F846" s="8"/>
      <c r="G846" s="8"/>
      <c r="H846" s="28"/>
      <c r="I846" s="28"/>
    </row>
    <row r="847" spans="1:9" x14ac:dyDescent="0.35">
      <c r="A847" s="8"/>
      <c r="B847" s="8"/>
      <c r="C847" s="8"/>
      <c r="D847" s="28"/>
      <c r="E847" s="8"/>
      <c r="F847" s="8"/>
      <c r="G847" s="8"/>
      <c r="H847" s="28"/>
      <c r="I847" s="28"/>
    </row>
    <row r="848" spans="1:9" x14ac:dyDescent="0.35">
      <c r="A848" s="8"/>
      <c r="B848" s="8"/>
      <c r="C848" s="8"/>
      <c r="D848" s="28"/>
      <c r="E848" s="8"/>
      <c r="F848" s="8"/>
      <c r="G848" s="8"/>
      <c r="H848" s="28"/>
      <c r="I848" s="28"/>
    </row>
    <row r="849" spans="1:9" x14ac:dyDescent="0.35">
      <c r="A849" s="8"/>
      <c r="B849" s="8"/>
      <c r="C849" s="8"/>
      <c r="D849" s="28"/>
      <c r="E849" s="8"/>
      <c r="F849" s="8"/>
      <c r="G849" s="8"/>
      <c r="H849" s="28"/>
      <c r="I849" s="28"/>
    </row>
    <row r="850" spans="1:9" x14ac:dyDescent="0.35">
      <c r="A850" s="8"/>
      <c r="B850" s="8"/>
      <c r="C850" s="8"/>
      <c r="D850" s="28"/>
      <c r="E850" s="8"/>
      <c r="F850" s="8"/>
      <c r="G850" s="8"/>
      <c r="H850" s="28"/>
      <c r="I850" s="28"/>
    </row>
    <row r="851" spans="1:9" x14ac:dyDescent="0.35">
      <c r="A851" s="8"/>
      <c r="B851" s="8"/>
      <c r="C851" s="8"/>
      <c r="D851" s="28"/>
      <c r="E851" s="8"/>
      <c r="F851" s="8"/>
      <c r="G851" s="8"/>
      <c r="H851" s="28"/>
      <c r="I851" s="28"/>
    </row>
    <row r="852" spans="1:9" x14ac:dyDescent="0.35">
      <c r="A852" s="8"/>
      <c r="B852" s="8"/>
      <c r="C852" s="8"/>
      <c r="D852" s="28"/>
      <c r="E852" s="8"/>
      <c r="F852" s="8"/>
      <c r="G852" s="8"/>
      <c r="H852" s="28"/>
      <c r="I852" s="28"/>
    </row>
    <row r="853" spans="1:9" x14ac:dyDescent="0.35">
      <c r="A853" s="8"/>
      <c r="B853" s="8"/>
      <c r="C853" s="8"/>
      <c r="D853" s="28"/>
      <c r="E853" s="8"/>
      <c r="F853" s="8"/>
      <c r="G853" s="8"/>
      <c r="H853" s="28"/>
      <c r="I853" s="28"/>
    </row>
    <row r="854" spans="1:9" x14ac:dyDescent="0.35">
      <c r="A854" s="8"/>
      <c r="B854" s="8"/>
      <c r="C854" s="8"/>
      <c r="D854" s="28"/>
      <c r="E854" s="8"/>
      <c r="F854" s="8"/>
      <c r="G854" s="8"/>
      <c r="H854" s="28"/>
      <c r="I854" s="28"/>
    </row>
    <row r="855" spans="1:9" x14ac:dyDescent="0.35">
      <c r="A855" s="8"/>
      <c r="B855" s="8"/>
      <c r="C855" s="8"/>
      <c r="D855" s="28"/>
      <c r="E855" s="8"/>
      <c r="F855" s="8"/>
      <c r="G855" s="8"/>
      <c r="H855" s="28"/>
      <c r="I855" s="28"/>
    </row>
    <row r="856" spans="1:9" x14ac:dyDescent="0.35">
      <c r="A856" s="8"/>
      <c r="B856" s="8"/>
      <c r="C856" s="8"/>
      <c r="D856" s="28"/>
      <c r="E856" s="8"/>
      <c r="F856" s="8"/>
      <c r="G856" s="8"/>
      <c r="H856" s="28"/>
      <c r="I856" s="28"/>
    </row>
    <row r="857" spans="1:9" x14ac:dyDescent="0.35">
      <c r="A857" s="8"/>
      <c r="B857" s="8"/>
      <c r="C857" s="8"/>
      <c r="D857" s="28"/>
      <c r="E857" s="8"/>
      <c r="F857" s="8"/>
      <c r="G857" s="8"/>
      <c r="H857" s="28"/>
      <c r="I857" s="28"/>
    </row>
    <row r="858" spans="1:9" x14ac:dyDescent="0.35">
      <c r="A858" s="8"/>
      <c r="B858" s="8"/>
      <c r="C858" s="8"/>
      <c r="D858" s="28"/>
      <c r="E858" s="8"/>
      <c r="F858" s="8"/>
      <c r="G858" s="8"/>
      <c r="H858" s="28"/>
      <c r="I858" s="28"/>
    </row>
    <row r="859" spans="1:9" x14ac:dyDescent="0.35">
      <c r="A859" s="8"/>
      <c r="B859" s="8"/>
      <c r="C859" s="8"/>
      <c r="D859" s="28"/>
      <c r="E859" s="8"/>
      <c r="F859" s="8"/>
      <c r="G859" s="8"/>
      <c r="H859" s="28"/>
      <c r="I859" s="28"/>
    </row>
    <row r="860" spans="1:9" x14ac:dyDescent="0.35">
      <c r="A860" s="8"/>
      <c r="B860" s="8"/>
      <c r="C860" s="8"/>
      <c r="D860" s="28"/>
      <c r="E860" s="8"/>
      <c r="F860" s="8"/>
      <c r="G860" s="8"/>
      <c r="H860" s="28"/>
      <c r="I860" s="28"/>
    </row>
    <row r="861" spans="1:9" x14ac:dyDescent="0.35">
      <c r="A861" s="8"/>
      <c r="B861" s="8"/>
      <c r="C861" s="8"/>
      <c r="D861" s="28"/>
      <c r="E861" s="8"/>
      <c r="F861" s="8"/>
      <c r="G861" s="8"/>
      <c r="H861" s="28"/>
      <c r="I861" s="28"/>
    </row>
    <row r="862" spans="1:9" x14ac:dyDescent="0.35">
      <c r="A862" s="8"/>
      <c r="B862" s="8"/>
      <c r="C862" s="8"/>
      <c r="D862" s="28"/>
      <c r="E862" s="8"/>
      <c r="F862" s="8"/>
      <c r="G862" s="8"/>
      <c r="H862" s="28"/>
      <c r="I862" s="28"/>
    </row>
    <row r="863" spans="1:9" x14ac:dyDescent="0.35">
      <c r="A863" s="8"/>
      <c r="B863" s="8"/>
      <c r="C863" s="8"/>
      <c r="D863" s="28"/>
      <c r="E863" s="8"/>
      <c r="F863" s="8"/>
      <c r="G863" s="8"/>
      <c r="H863" s="28"/>
      <c r="I863" s="28"/>
    </row>
    <row r="864" spans="1:9" x14ac:dyDescent="0.35">
      <c r="A864" s="8"/>
      <c r="B864" s="8"/>
      <c r="C864" s="8"/>
      <c r="D864" s="28"/>
      <c r="E864" s="8"/>
      <c r="F864" s="8"/>
      <c r="G864" s="8"/>
      <c r="H864" s="28"/>
      <c r="I864" s="28"/>
    </row>
    <row r="865" spans="1:9" x14ac:dyDescent="0.35">
      <c r="A865" s="8"/>
      <c r="B865" s="8"/>
      <c r="C865" s="8"/>
      <c r="D865" s="28"/>
      <c r="E865" s="8"/>
      <c r="F865" s="8"/>
      <c r="G865" s="8"/>
      <c r="H865" s="28"/>
      <c r="I865" s="28"/>
    </row>
    <row r="866" spans="1:9" x14ac:dyDescent="0.35">
      <c r="A866" s="8"/>
      <c r="B866" s="8"/>
      <c r="C866" s="8"/>
      <c r="D866" s="28"/>
      <c r="E866" s="8"/>
      <c r="F866" s="8"/>
      <c r="G866" s="8"/>
      <c r="H866" s="28"/>
      <c r="I866" s="28"/>
    </row>
    <row r="867" spans="1:9" x14ac:dyDescent="0.35">
      <c r="A867" s="8"/>
      <c r="B867" s="8"/>
      <c r="C867" s="8"/>
      <c r="D867" s="28"/>
      <c r="E867" s="8"/>
      <c r="F867" s="8"/>
      <c r="G867" s="8"/>
      <c r="H867" s="28"/>
      <c r="I867" s="28"/>
    </row>
    <row r="868" spans="1:9" x14ac:dyDescent="0.35">
      <c r="A868" s="8"/>
      <c r="B868" s="8"/>
      <c r="C868" s="8"/>
      <c r="D868" s="28"/>
      <c r="E868" s="8"/>
      <c r="F868" s="8"/>
      <c r="G868" s="8"/>
      <c r="H868" s="28"/>
      <c r="I868" s="28"/>
    </row>
    <row r="869" spans="1:9" x14ac:dyDescent="0.35">
      <c r="A869" s="8"/>
      <c r="B869" s="8"/>
      <c r="C869" s="8"/>
      <c r="D869" s="28"/>
      <c r="E869" s="8"/>
      <c r="F869" s="8"/>
      <c r="G869" s="8"/>
      <c r="H869" s="28"/>
      <c r="I869" s="28"/>
    </row>
    <row r="870" spans="1:9" x14ac:dyDescent="0.35">
      <c r="A870" s="8"/>
      <c r="B870" s="8"/>
      <c r="C870" s="8"/>
      <c r="D870" s="28"/>
      <c r="E870" s="8"/>
      <c r="F870" s="8"/>
      <c r="G870" s="8"/>
      <c r="H870" s="28"/>
      <c r="I870" s="28"/>
    </row>
    <row r="871" spans="1:9" x14ac:dyDescent="0.35">
      <c r="A871" s="8"/>
      <c r="B871" s="8"/>
      <c r="C871" s="8"/>
      <c r="D871" s="28"/>
      <c r="E871" s="8"/>
      <c r="F871" s="8"/>
      <c r="G871" s="8"/>
      <c r="H871" s="28"/>
      <c r="I871" s="28"/>
    </row>
    <row r="872" spans="1:9" x14ac:dyDescent="0.35">
      <c r="A872" s="8"/>
      <c r="B872" s="8"/>
      <c r="C872" s="8"/>
      <c r="D872" s="28"/>
      <c r="E872" s="8"/>
      <c r="F872" s="8"/>
      <c r="G872" s="8"/>
      <c r="H872" s="28"/>
      <c r="I872" s="28"/>
    </row>
    <row r="873" spans="1:9" x14ac:dyDescent="0.35">
      <c r="A873" s="8"/>
      <c r="B873" s="8"/>
      <c r="C873" s="8"/>
      <c r="D873" s="28"/>
      <c r="E873" s="8"/>
      <c r="F873" s="8"/>
      <c r="G873" s="8"/>
      <c r="H873" s="28"/>
      <c r="I873" s="28"/>
    </row>
    <row r="874" spans="1:9" x14ac:dyDescent="0.35">
      <c r="A874" s="8"/>
      <c r="B874" s="8"/>
      <c r="C874" s="8"/>
      <c r="D874" s="28"/>
      <c r="E874" s="8"/>
      <c r="F874" s="8"/>
      <c r="G874" s="8"/>
      <c r="H874" s="28"/>
      <c r="I874" s="28"/>
    </row>
    <row r="875" spans="1:9" x14ac:dyDescent="0.35">
      <c r="A875" s="8"/>
      <c r="B875" s="8"/>
      <c r="C875" s="8"/>
      <c r="D875" s="28"/>
      <c r="E875" s="8"/>
      <c r="F875" s="8"/>
      <c r="G875" s="8"/>
      <c r="H875" s="28"/>
      <c r="I875" s="28"/>
    </row>
    <row r="876" spans="1:9" x14ac:dyDescent="0.35">
      <c r="A876" s="8"/>
      <c r="B876" s="8"/>
      <c r="C876" s="8"/>
      <c r="D876" s="28"/>
      <c r="E876" s="8"/>
      <c r="F876" s="8"/>
      <c r="G876" s="8"/>
      <c r="H876" s="28"/>
      <c r="I876" s="28"/>
    </row>
    <row r="877" spans="1:9" x14ac:dyDescent="0.35">
      <c r="A877" s="8"/>
      <c r="B877" s="8"/>
      <c r="C877" s="8"/>
      <c r="D877" s="28"/>
      <c r="E877" s="8"/>
      <c r="F877" s="8"/>
      <c r="G877" s="8"/>
      <c r="H877" s="28"/>
      <c r="I877" s="28"/>
    </row>
    <row r="878" spans="1:9" x14ac:dyDescent="0.35">
      <c r="A878" s="8"/>
      <c r="B878" s="8"/>
      <c r="C878" s="8"/>
      <c r="D878" s="28"/>
      <c r="E878" s="8"/>
      <c r="F878" s="8"/>
      <c r="G878" s="8"/>
      <c r="H878" s="28"/>
      <c r="I878" s="28"/>
    </row>
    <row r="879" spans="1:9" x14ac:dyDescent="0.35">
      <c r="A879" s="8"/>
      <c r="B879" s="8"/>
      <c r="C879" s="8"/>
      <c r="D879" s="28"/>
      <c r="E879" s="8"/>
      <c r="F879" s="8"/>
      <c r="G879" s="8"/>
      <c r="H879" s="28"/>
      <c r="I879" s="28"/>
    </row>
    <row r="880" spans="1:9" x14ac:dyDescent="0.35">
      <c r="A880" s="8"/>
      <c r="B880" s="8"/>
      <c r="C880" s="8"/>
      <c r="D880" s="28"/>
      <c r="E880" s="8"/>
      <c r="F880" s="8"/>
      <c r="G880" s="8"/>
      <c r="H880" s="28"/>
      <c r="I880" s="28"/>
    </row>
    <row r="881" spans="1:9" x14ac:dyDescent="0.35">
      <c r="A881" s="8"/>
      <c r="B881" s="8"/>
      <c r="C881" s="8"/>
      <c r="D881" s="28"/>
      <c r="E881" s="8"/>
      <c r="F881" s="8"/>
      <c r="G881" s="8"/>
      <c r="H881" s="28"/>
      <c r="I881" s="28"/>
    </row>
    <row r="882" spans="1:9" x14ac:dyDescent="0.35">
      <c r="A882" s="8"/>
      <c r="B882" s="8"/>
      <c r="C882" s="8"/>
      <c r="D882" s="28"/>
      <c r="E882" s="8"/>
      <c r="F882" s="8"/>
      <c r="G882" s="8"/>
      <c r="H882" s="28"/>
      <c r="I882" s="28"/>
    </row>
    <row r="883" spans="1:9" x14ac:dyDescent="0.35">
      <c r="A883" s="8"/>
      <c r="B883" s="8"/>
      <c r="C883" s="8"/>
      <c r="D883" s="28"/>
      <c r="E883" s="8"/>
      <c r="F883" s="8"/>
      <c r="G883" s="8"/>
      <c r="H883" s="28"/>
      <c r="I883" s="28"/>
    </row>
    <row r="884" spans="1:9" x14ac:dyDescent="0.35">
      <c r="A884" s="8"/>
      <c r="B884" s="8"/>
      <c r="C884" s="8"/>
      <c r="D884" s="28"/>
      <c r="E884" s="8"/>
      <c r="F884" s="8"/>
      <c r="G884" s="8"/>
      <c r="H884" s="28"/>
      <c r="I884" s="28"/>
    </row>
    <row r="885" spans="1:9" x14ac:dyDescent="0.35">
      <c r="A885" s="8"/>
      <c r="B885" s="8"/>
      <c r="C885" s="8"/>
      <c r="D885" s="28"/>
      <c r="E885" s="8"/>
      <c r="F885" s="8"/>
      <c r="G885" s="8"/>
      <c r="H885" s="28"/>
      <c r="I885" s="28"/>
    </row>
    <row r="886" spans="1:9" x14ac:dyDescent="0.35">
      <c r="A886" s="8"/>
      <c r="B886" s="8"/>
      <c r="C886" s="8"/>
      <c r="D886" s="28"/>
      <c r="E886" s="8"/>
      <c r="F886" s="8"/>
      <c r="G886" s="8"/>
      <c r="H886" s="28"/>
      <c r="I886" s="28"/>
    </row>
    <row r="887" spans="1:9" x14ac:dyDescent="0.35">
      <c r="A887" s="8"/>
      <c r="B887" s="8"/>
      <c r="C887" s="8"/>
      <c r="D887" s="28"/>
      <c r="E887" s="8"/>
      <c r="F887" s="8"/>
      <c r="G887" s="8"/>
      <c r="H887" s="28"/>
      <c r="I887" s="28"/>
    </row>
    <row r="888" spans="1:9" x14ac:dyDescent="0.35">
      <c r="A888" s="8"/>
      <c r="B888" s="8"/>
      <c r="C888" s="8"/>
      <c r="D888" s="28"/>
      <c r="E888" s="8"/>
      <c r="F888" s="8"/>
      <c r="G888" s="8"/>
      <c r="H888" s="28"/>
      <c r="I888" s="28"/>
    </row>
    <row r="889" spans="1:9" x14ac:dyDescent="0.35">
      <c r="A889" s="8"/>
      <c r="B889" s="8"/>
      <c r="C889" s="8"/>
      <c r="D889" s="28"/>
      <c r="E889" s="8"/>
      <c r="F889" s="8"/>
      <c r="G889" s="8"/>
      <c r="H889" s="28"/>
      <c r="I889" s="28"/>
    </row>
    <row r="890" spans="1:9" x14ac:dyDescent="0.35">
      <c r="A890" s="8"/>
      <c r="B890" s="8"/>
      <c r="C890" s="8"/>
      <c r="D890" s="28"/>
      <c r="E890" s="8"/>
      <c r="F890" s="8"/>
      <c r="G890" s="8"/>
      <c r="H890" s="28"/>
      <c r="I890" s="28"/>
    </row>
    <row r="891" spans="1:9" x14ac:dyDescent="0.35">
      <c r="A891" s="8"/>
      <c r="B891" s="8"/>
      <c r="C891" s="8"/>
      <c r="D891" s="28"/>
      <c r="E891" s="8"/>
      <c r="F891" s="8"/>
      <c r="G891" s="8"/>
      <c r="H891" s="28"/>
      <c r="I891" s="28"/>
    </row>
    <row r="892" spans="1:9" x14ac:dyDescent="0.35">
      <c r="A892" s="8"/>
      <c r="B892" s="8"/>
      <c r="C892" s="8"/>
      <c r="D892" s="28"/>
      <c r="E892" s="8"/>
      <c r="F892" s="8"/>
      <c r="G892" s="8"/>
      <c r="H892" s="28"/>
      <c r="I892" s="28"/>
    </row>
    <row r="893" spans="1:9" x14ac:dyDescent="0.35">
      <c r="A893" s="8"/>
      <c r="B893" s="8"/>
      <c r="C893" s="8"/>
      <c r="D893" s="28"/>
      <c r="E893" s="8"/>
      <c r="F893" s="8"/>
      <c r="G893" s="8"/>
      <c r="H893" s="28"/>
      <c r="I893" s="28"/>
    </row>
    <row r="894" spans="1:9" x14ac:dyDescent="0.35">
      <c r="A894" s="8"/>
      <c r="B894" s="8"/>
      <c r="C894" s="8"/>
      <c r="D894" s="28"/>
      <c r="E894" s="8"/>
      <c r="F894" s="8"/>
      <c r="G894" s="8"/>
      <c r="H894" s="28"/>
      <c r="I894" s="28"/>
    </row>
    <row r="895" spans="1:9" x14ac:dyDescent="0.35">
      <c r="A895" s="8"/>
      <c r="B895" s="8"/>
      <c r="C895" s="8"/>
      <c r="D895" s="28"/>
      <c r="E895" s="8"/>
      <c r="F895" s="8"/>
      <c r="G895" s="8"/>
      <c r="H895" s="28"/>
      <c r="I895" s="28"/>
    </row>
    <row r="896" spans="1:9" x14ac:dyDescent="0.35">
      <c r="A896" s="8"/>
      <c r="B896" s="8"/>
      <c r="C896" s="8"/>
      <c r="D896" s="28"/>
      <c r="E896" s="8"/>
      <c r="F896" s="8"/>
      <c r="G896" s="8"/>
      <c r="H896" s="28"/>
      <c r="I896" s="28"/>
    </row>
    <row r="897" spans="1:9" x14ac:dyDescent="0.35">
      <c r="A897" s="8"/>
      <c r="B897" s="8"/>
      <c r="C897" s="8"/>
      <c r="D897" s="28"/>
      <c r="E897" s="8"/>
      <c r="F897" s="8"/>
      <c r="G897" s="8"/>
      <c r="H897" s="28"/>
      <c r="I897" s="28"/>
    </row>
    <row r="898" spans="1:9" x14ac:dyDescent="0.35">
      <c r="A898" s="8"/>
      <c r="B898" s="8"/>
      <c r="C898" s="8"/>
      <c r="D898" s="28"/>
      <c r="E898" s="8"/>
      <c r="F898" s="8"/>
      <c r="G898" s="8"/>
      <c r="H898" s="28"/>
      <c r="I898" s="28"/>
    </row>
    <row r="899" spans="1:9" x14ac:dyDescent="0.35">
      <c r="A899" s="8"/>
      <c r="B899" s="8"/>
      <c r="C899" s="8"/>
      <c r="D899" s="28"/>
      <c r="E899" s="8"/>
      <c r="F899" s="8"/>
      <c r="G899" s="8"/>
      <c r="H899" s="28"/>
      <c r="I899" s="28"/>
    </row>
    <row r="900" spans="1:9" x14ac:dyDescent="0.35">
      <c r="A900" s="8"/>
      <c r="B900" s="8"/>
      <c r="C900" s="8"/>
      <c r="D900" s="28"/>
      <c r="E900" s="8"/>
      <c r="F900" s="8"/>
      <c r="G900" s="8"/>
      <c r="H900" s="28"/>
      <c r="I900" s="28"/>
    </row>
    <row r="901" spans="1:9" x14ac:dyDescent="0.35">
      <c r="A901" s="8"/>
      <c r="B901" s="8"/>
      <c r="C901" s="8"/>
      <c r="D901" s="28"/>
      <c r="E901" s="8"/>
      <c r="F901" s="8"/>
      <c r="G901" s="8"/>
      <c r="H901" s="28"/>
      <c r="I901" s="28"/>
    </row>
    <row r="902" spans="1:9" x14ac:dyDescent="0.35">
      <c r="A902" s="8"/>
      <c r="B902" s="8"/>
      <c r="C902" s="8"/>
      <c r="D902" s="28"/>
      <c r="E902" s="8"/>
      <c r="F902" s="8"/>
      <c r="G902" s="8"/>
      <c r="H902" s="28"/>
      <c r="I902" s="28"/>
    </row>
    <row r="903" spans="1:9" x14ac:dyDescent="0.35">
      <c r="A903" s="8"/>
      <c r="B903" s="8"/>
      <c r="C903" s="8"/>
      <c r="D903" s="28"/>
      <c r="E903" s="8"/>
      <c r="F903" s="8"/>
      <c r="G903" s="8"/>
      <c r="H903" s="28"/>
      <c r="I903" s="28"/>
    </row>
    <row r="904" spans="1:9" x14ac:dyDescent="0.35">
      <c r="A904" s="8"/>
      <c r="B904" s="8"/>
      <c r="C904" s="8"/>
      <c r="D904" s="28"/>
      <c r="E904" s="8"/>
      <c r="F904" s="8"/>
      <c r="G904" s="8"/>
      <c r="H904" s="28"/>
      <c r="I904" s="28"/>
    </row>
    <row r="905" spans="1:9" x14ac:dyDescent="0.35">
      <c r="A905" s="8"/>
      <c r="B905" s="8"/>
      <c r="C905" s="8"/>
      <c r="D905" s="28"/>
      <c r="E905" s="8"/>
      <c r="F905" s="8"/>
      <c r="G905" s="8"/>
      <c r="H905" s="28"/>
      <c r="I905" s="28"/>
    </row>
    <row r="906" spans="1:9" x14ac:dyDescent="0.35">
      <c r="A906" s="8"/>
      <c r="B906" s="8"/>
      <c r="C906" s="8"/>
      <c r="D906" s="28"/>
      <c r="E906" s="8"/>
      <c r="F906" s="8"/>
      <c r="G906" s="8"/>
      <c r="H906" s="28"/>
      <c r="I906" s="28"/>
    </row>
    <row r="907" spans="1:9" x14ac:dyDescent="0.35">
      <c r="A907" s="8"/>
      <c r="B907" s="8"/>
      <c r="C907" s="8"/>
      <c r="D907" s="28"/>
      <c r="E907" s="8"/>
      <c r="F907" s="8"/>
      <c r="G907" s="8"/>
      <c r="H907" s="28"/>
      <c r="I907" s="28"/>
    </row>
    <row r="908" spans="1:9" x14ac:dyDescent="0.35">
      <c r="A908" s="8"/>
      <c r="B908" s="8"/>
      <c r="C908" s="8"/>
      <c r="D908" s="28"/>
      <c r="E908" s="8"/>
      <c r="F908" s="8"/>
      <c r="G908" s="8"/>
      <c r="H908" s="28"/>
      <c r="I908" s="28"/>
    </row>
    <row r="909" spans="1:9" x14ac:dyDescent="0.35">
      <c r="A909" s="8"/>
      <c r="B909" s="8"/>
      <c r="C909" s="8"/>
      <c r="D909" s="28"/>
      <c r="E909" s="8"/>
      <c r="F909" s="8"/>
      <c r="G909" s="8"/>
      <c r="H909" s="28"/>
      <c r="I909" s="28"/>
    </row>
    <row r="910" spans="1:9" x14ac:dyDescent="0.35">
      <c r="A910" s="8"/>
      <c r="B910" s="8"/>
      <c r="C910" s="8"/>
      <c r="D910" s="28"/>
      <c r="E910" s="8"/>
      <c r="F910" s="8"/>
      <c r="G910" s="8"/>
      <c r="H910" s="28"/>
      <c r="I910" s="28"/>
    </row>
    <row r="911" spans="1:9" x14ac:dyDescent="0.35">
      <c r="A911" s="8"/>
      <c r="B911" s="8"/>
      <c r="C911" s="8"/>
      <c r="D911" s="28"/>
      <c r="E911" s="8"/>
      <c r="F911" s="8"/>
      <c r="G911" s="8"/>
      <c r="H911" s="28"/>
      <c r="I911" s="28"/>
    </row>
    <row r="912" spans="1:9" x14ac:dyDescent="0.35">
      <c r="A912" s="8"/>
      <c r="B912" s="8"/>
      <c r="C912" s="8"/>
      <c r="D912" s="28"/>
      <c r="E912" s="8"/>
      <c r="F912" s="8"/>
      <c r="G912" s="8"/>
      <c r="H912" s="28"/>
      <c r="I912" s="28"/>
    </row>
    <row r="913" spans="1:9" x14ac:dyDescent="0.35">
      <c r="A913" s="8"/>
      <c r="B913" s="8"/>
      <c r="C913" s="8"/>
      <c r="D913" s="28"/>
      <c r="E913" s="8"/>
      <c r="F913" s="8"/>
      <c r="G913" s="8"/>
      <c r="H913" s="28"/>
      <c r="I913" s="28"/>
    </row>
    <row r="914" spans="1:9" x14ac:dyDescent="0.35">
      <c r="A914" s="8"/>
      <c r="B914" s="8"/>
      <c r="C914" s="8"/>
      <c r="D914" s="28"/>
      <c r="E914" s="8"/>
      <c r="F914" s="8"/>
      <c r="G914" s="8"/>
      <c r="H914" s="28"/>
      <c r="I914" s="28"/>
    </row>
    <row r="915" spans="1:9" x14ac:dyDescent="0.35">
      <c r="A915" s="8"/>
      <c r="B915" s="8"/>
      <c r="C915" s="8"/>
      <c r="D915" s="28"/>
      <c r="E915" s="8"/>
      <c r="F915" s="8"/>
      <c r="G915" s="8"/>
      <c r="H915" s="28"/>
      <c r="I915" s="28"/>
    </row>
    <row r="916" spans="1:9" x14ac:dyDescent="0.35">
      <c r="A916" s="8"/>
      <c r="B916" s="8"/>
      <c r="C916" s="8"/>
      <c r="D916" s="28"/>
      <c r="E916" s="8"/>
      <c r="F916" s="8"/>
      <c r="G916" s="8"/>
      <c r="H916" s="28"/>
      <c r="I916" s="28"/>
    </row>
    <row r="917" spans="1:9" x14ac:dyDescent="0.35">
      <c r="A917" s="8"/>
      <c r="B917" s="8"/>
      <c r="C917" s="8"/>
      <c r="D917" s="28"/>
      <c r="E917" s="8"/>
      <c r="F917" s="8"/>
      <c r="G917" s="8"/>
      <c r="H917" s="28"/>
      <c r="I917" s="28"/>
    </row>
    <row r="918" spans="1:9" x14ac:dyDescent="0.35">
      <c r="A918" s="8"/>
      <c r="B918" s="8"/>
      <c r="C918" s="8"/>
      <c r="D918" s="28"/>
      <c r="E918" s="8"/>
      <c r="F918" s="8"/>
      <c r="G918" s="8"/>
      <c r="H918" s="28"/>
      <c r="I918" s="28"/>
    </row>
    <row r="919" spans="1:9" x14ac:dyDescent="0.35">
      <c r="A919" s="8"/>
      <c r="B919" s="8"/>
      <c r="C919" s="8"/>
      <c r="D919" s="28"/>
      <c r="E919" s="8"/>
      <c r="F919" s="8"/>
      <c r="G919" s="8"/>
      <c r="H919" s="28"/>
      <c r="I919" s="28"/>
    </row>
    <row r="920" spans="1:9" x14ac:dyDescent="0.35">
      <c r="A920" s="8"/>
      <c r="B920" s="8"/>
      <c r="C920" s="8"/>
      <c r="D920" s="28"/>
      <c r="E920" s="8"/>
      <c r="F920" s="8"/>
      <c r="G920" s="8"/>
      <c r="H920" s="28"/>
      <c r="I920" s="28"/>
    </row>
    <row r="921" spans="1:9" x14ac:dyDescent="0.35">
      <c r="A921" s="8"/>
      <c r="B921" s="8"/>
      <c r="C921" s="8"/>
      <c r="D921" s="28"/>
      <c r="E921" s="8"/>
      <c r="F921" s="8"/>
      <c r="G921" s="8"/>
      <c r="H921" s="28"/>
      <c r="I921" s="28"/>
    </row>
    <row r="922" spans="1:9" x14ac:dyDescent="0.35">
      <c r="A922" s="8"/>
      <c r="B922" s="8"/>
      <c r="C922" s="8"/>
      <c r="D922" s="28"/>
      <c r="E922" s="8"/>
      <c r="F922" s="8"/>
      <c r="G922" s="8"/>
      <c r="H922" s="28"/>
      <c r="I922" s="28"/>
    </row>
    <row r="923" spans="1:9" x14ac:dyDescent="0.35">
      <c r="A923" s="8"/>
      <c r="B923" s="8"/>
      <c r="C923" s="8"/>
      <c r="D923" s="28"/>
      <c r="E923" s="8"/>
      <c r="F923" s="8"/>
      <c r="G923" s="8"/>
      <c r="H923" s="28"/>
      <c r="I923" s="28"/>
    </row>
    <row r="924" spans="1:9" x14ac:dyDescent="0.35">
      <c r="A924" s="8"/>
      <c r="B924" s="8"/>
      <c r="C924" s="8"/>
      <c r="D924" s="28"/>
      <c r="E924" s="8"/>
      <c r="F924" s="8"/>
      <c r="G924" s="8"/>
      <c r="H924" s="28"/>
      <c r="I924" s="28"/>
    </row>
    <row r="925" spans="1:9" x14ac:dyDescent="0.35">
      <c r="A925" s="8"/>
      <c r="B925" s="8"/>
      <c r="C925" s="8"/>
      <c r="D925" s="28"/>
      <c r="E925" s="8"/>
      <c r="F925" s="8"/>
      <c r="G925" s="8"/>
      <c r="H925" s="28"/>
      <c r="I925" s="28"/>
    </row>
    <row r="926" spans="1:9" x14ac:dyDescent="0.35">
      <c r="A926" s="8"/>
      <c r="B926" s="8"/>
      <c r="C926" s="8"/>
      <c r="D926" s="28"/>
      <c r="E926" s="8"/>
      <c r="F926" s="8"/>
      <c r="G926" s="8"/>
      <c r="H926" s="28"/>
      <c r="I926" s="28"/>
    </row>
    <row r="927" spans="1:9" x14ac:dyDescent="0.35">
      <c r="A927" s="8"/>
      <c r="B927" s="8"/>
      <c r="C927" s="8"/>
      <c r="D927" s="28"/>
      <c r="E927" s="8"/>
      <c r="F927" s="8"/>
      <c r="G927" s="8"/>
      <c r="H927" s="28"/>
      <c r="I927" s="28"/>
    </row>
    <row r="928" spans="1:9" x14ac:dyDescent="0.35">
      <c r="A928" s="8"/>
      <c r="B928" s="8"/>
      <c r="C928" s="8"/>
      <c r="D928" s="28"/>
      <c r="E928" s="8"/>
      <c r="F928" s="8"/>
      <c r="G928" s="8"/>
      <c r="H928" s="28"/>
      <c r="I928" s="28"/>
    </row>
    <row r="929" spans="1:9" x14ac:dyDescent="0.35">
      <c r="A929" s="8"/>
      <c r="B929" s="8"/>
      <c r="C929" s="8"/>
      <c r="D929" s="28"/>
      <c r="E929" s="8"/>
      <c r="F929" s="8"/>
      <c r="G929" s="8"/>
      <c r="H929" s="28"/>
      <c r="I929" s="28"/>
    </row>
    <row r="930" spans="1:9" x14ac:dyDescent="0.35">
      <c r="A930" s="8"/>
      <c r="B930" s="8"/>
      <c r="C930" s="8"/>
      <c r="D930" s="28"/>
      <c r="E930" s="8"/>
      <c r="F930" s="8"/>
      <c r="G930" s="8"/>
      <c r="H930" s="28"/>
      <c r="I930" s="28"/>
    </row>
    <row r="931" spans="1:9" x14ac:dyDescent="0.35">
      <c r="A931" s="8"/>
      <c r="B931" s="8"/>
      <c r="C931" s="8"/>
      <c r="D931" s="28"/>
      <c r="E931" s="8"/>
      <c r="F931" s="8"/>
      <c r="G931" s="8"/>
      <c r="H931" s="28"/>
      <c r="I931" s="28"/>
    </row>
    <row r="932" spans="1:9" x14ac:dyDescent="0.35">
      <c r="A932" s="8"/>
      <c r="B932" s="8"/>
      <c r="C932" s="8"/>
      <c r="D932" s="28"/>
      <c r="E932" s="8"/>
      <c r="F932" s="8"/>
      <c r="G932" s="8"/>
      <c r="H932" s="28"/>
      <c r="I932" s="28"/>
    </row>
    <row r="933" spans="1:9" x14ac:dyDescent="0.35">
      <c r="A933" s="8"/>
      <c r="B933" s="8"/>
      <c r="C933" s="8"/>
      <c r="D933" s="28"/>
      <c r="E933" s="8"/>
      <c r="F933" s="8"/>
      <c r="G933" s="8"/>
      <c r="H933" s="28"/>
      <c r="I933" s="28"/>
    </row>
    <row r="934" spans="1:9" x14ac:dyDescent="0.35">
      <c r="A934" s="8"/>
      <c r="B934" s="8"/>
      <c r="C934" s="8"/>
      <c r="D934" s="28"/>
      <c r="E934" s="8"/>
      <c r="F934" s="8"/>
      <c r="G934" s="8"/>
      <c r="H934" s="28"/>
      <c r="I934" s="28"/>
    </row>
    <row r="935" spans="1:9" x14ac:dyDescent="0.35">
      <c r="A935" s="8"/>
      <c r="B935" s="8"/>
      <c r="C935" s="8"/>
      <c r="D935" s="28"/>
      <c r="E935" s="8"/>
      <c r="F935" s="8"/>
      <c r="G935" s="8"/>
      <c r="H935" s="28"/>
      <c r="I935" s="28"/>
    </row>
    <row r="936" spans="1:9" x14ac:dyDescent="0.35">
      <c r="A936" s="8"/>
      <c r="B936" s="8"/>
      <c r="C936" s="8"/>
      <c r="D936" s="28"/>
      <c r="E936" s="8"/>
      <c r="F936" s="8"/>
      <c r="G936" s="8"/>
      <c r="H936" s="28"/>
      <c r="I936" s="28"/>
    </row>
    <row r="937" spans="1:9" x14ac:dyDescent="0.35">
      <c r="A937" s="8"/>
      <c r="B937" s="8"/>
      <c r="C937" s="8"/>
      <c r="D937" s="28"/>
      <c r="E937" s="8"/>
      <c r="F937" s="8"/>
      <c r="G937" s="8"/>
      <c r="H937" s="28"/>
      <c r="I937" s="28"/>
    </row>
    <row r="938" spans="1:9" x14ac:dyDescent="0.35">
      <c r="A938" s="8"/>
      <c r="B938" s="8"/>
      <c r="C938" s="8"/>
      <c r="D938" s="28"/>
      <c r="E938" s="8"/>
      <c r="F938" s="8"/>
      <c r="G938" s="8"/>
      <c r="H938" s="28"/>
      <c r="I938" s="28"/>
    </row>
    <row r="939" spans="1:9" x14ac:dyDescent="0.35">
      <c r="A939" s="8"/>
      <c r="B939" s="8"/>
      <c r="C939" s="8"/>
      <c r="D939" s="28"/>
      <c r="E939" s="8"/>
      <c r="F939" s="8"/>
      <c r="G939" s="8"/>
      <c r="H939" s="28"/>
      <c r="I939" s="28"/>
    </row>
    <row r="940" spans="1:9" x14ac:dyDescent="0.35">
      <c r="A940" s="8"/>
      <c r="B940" s="8"/>
      <c r="C940" s="8"/>
      <c r="D940" s="28"/>
      <c r="E940" s="8"/>
      <c r="F940" s="8"/>
      <c r="G940" s="8"/>
      <c r="H940" s="28"/>
      <c r="I940" s="28"/>
    </row>
    <row r="941" spans="1:9" x14ac:dyDescent="0.35">
      <c r="A941" s="8"/>
      <c r="B941" s="8"/>
      <c r="C941" s="8"/>
      <c r="D941" s="28"/>
      <c r="E941" s="8"/>
      <c r="F941" s="8"/>
      <c r="G941" s="8"/>
      <c r="H941" s="28"/>
      <c r="I941" s="28"/>
    </row>
    <row r="942" spans="1:9" x14ac:dyDescent="0.35">
      <c r="A942" s="8"/>
      <c r="B942" s="8"/>
      <c r="C942" s="8"/>
      <c r="D942" s="28"/>
      <c r="E942" s="8"/>
      <c r="F942" s="8"/>
      <c r="G942" s="8"/>
      <c r="H942" s="28"/>
      <c r="I942" s="28"/>
    </row>
    <row r="943" spans="1:9" x14ac:dyDescent="0.35">
      <c r="A943" s="8"/>
      <c r="B943" s="8"/>
      <c r="C943" s="8"/>
      <c r="D943" s="28"/>
      <c r="E943" s="8"/>
      <c r="F943" s="8"/>
      <c r="G943" s="8"/>
      <c r="H943" s="28"/>
      <c r="I943" s="28"/>
    </row>
    <row r="944" spans="1:9" x14ac:dyDescent="0.35">
      <c r="A944" s="8"/>
      <c r="B944" s="8"/>
      <c r="C944" s="8"/>
      <c r="D944" s="28"/>
      <c r="E944" s="8"/>
      <c r="F944" s="8"/>
      <c r="G944" s="8"/>
      <c r="H944" s="28"/>
      <c r="I944" s="28"/>
    </row>
    <row r="945" spans="1:9" x14ac:dyDescent="0.35">
      <c r="A945" s="8"/>
      <c r="B945" s="8"/>
      <c r="C945" s="8"/>
      <c r="D945" s="28"/>
      <c r="E945" s="8"/>
      <c r="F945" s="8"/>
      <c r="G945" s="8"/>
      <c r="H945" s="28"/>
      <c r="I945" s="28"/>
    </row>
    <row r="946" spans="1:9" x14ac:dyDescent="0.35">
      <c r="A946" s="8"/>
      <c r="B946" s="8"/>
      <c r="C946" s="8"/>
      <c r="D946" s="28"/>
      <c r="E946" s="8"/>
      <c r="F946" s="8"/>
      <c r="G946" s="8"/>
      <c r="H946" s="28"/>
      <c r="I946" s="28"/>
    </row>
    <row r="947" spans="1:9" x14ac:dyDescent="0.35">
      <c r="A947" s="8"/>
      <c r="B947" s="8"/>
      <c r="C947" s="8"/>
      <c r="D947" s="28"/>
      <c r="E947" s="8"/>
      <c r="F947" s="8"/>
      <c r="G947" s="8"/>
      <c r="H947" s="28"/>
      <c r="I947" s="28"/>
    </row>
    <row r="948" spans="1:9" x14ac:dyDescent="0.35">
      <c r="A948" s="8"/>
      <c r="B948" s="8"/>
      <c r="C948" s="8"/>
      <c r="D948" s="28"/>
      <c r="E948" s="8"/>
      <c r="F948" s="8"/>
      <c r="G948" s="8"/>
      <c r="H948" s="28"/>
      <c r="I948" s="28"/>
    </row>
    <row r="949" spans="1:9" x14ac:dyDescent="0.35">
      <c r="A949" s="8"/>
      <c r="B949" s="8"/>
      <c r="C949" s="8"/>
      <c r="D949" s="28"/>
      <c r="E949" s="8"/>
      <c r="F949" s="8"/>
      <c r="G949" s="8"/>
      <c r="H949" s="28"/>
      <c r="I949" s="28"/>
    </row>
    <row r="950" spans="1:9" x14ac:dyDescent="0.35">
      <c r="A950" s="8"/>
      <c r="B950" s="8"/>
      <c r="C950" s="8"/>
      <c r="D950" s="28"/>
      <c r="E950" s="8"/>
      <c r="F950" s="8"/>
      <c r="G950" s="8"/>
      <c r="H950" s="28"/>
      <c r="I950" s="28"/>
    </row>
    <row r="951" spans="1:9" x14ac:dyDescent="0.35">
      <c r="A951" s="8"/>
      <c r="B951" s="8"/>
      <c r="C951" s="8"/>
      <c r="D951" s="28"/>
      <c r="E951" s="8"/>
      <c r="F951" s="8"/>
      <c r="G951" s="8"/>
      <c r="H951" s="28"/>
      <c r="I951" s="28"/>
    </row>
    <row r="952" spans="1:9" x14ac:dyDescent="0.35">
      <c r="A952" s="8"/>
      <c r="B952" s="8"/>
      <c r="C952" s="8"/>
      <c r="D952" s="28"/>
      <c r="E952" s="8"/>
      <c r="F952" s="8"/>
      <c r="G952" s="8"/>
      <c r="H952" s="28"/>
      <c r="I952" s="28"/>
    </row>
    <row r="953" spans="1:9" x14ac:dyDescent="0.35">
      <c r="A953" s="8"/>
      <c r="B953" s="8"/>
      <c r="C953" s="8"/>
      <c r="D953" s="28"/>
      <c r="E953" s="8"/>
      <c r="F953" s="8"/>
      <c r="G953" s="8"/>
      <c r="H953" s="28"/>
      <c r="I953" s="28"/>
    </row>
    <row r="954" spans="1:9" x14ac:dyDescent="0.35">
      <c r="A954" s="8"/>
      <c r="B954" s="8"/>
      <c r="C954" s="8"/>
      <c r="D954" s="28"/>
      <c r="E954" s="8"/>
      <c r="F954" s="8"/>
      <c r="G954" s="8"/>
      <c r="H954" s="28"/>
      <c r="I954" s="28"/>
    </row>
    <row r="955" spans="1:9" x14ac:dyDescent="0.35">
      <c r="A955" s="8"/>
      <c r="B955" s="8"/>
      <c r="C955" s="8"/>
      <c r="D955" s="28"/>
      <c r="E955" s="8"/>
      <c r="F955" s="8"/>
      <c r="G955" s="8"/>
      <c r="H955" s="28"/>
      <c r="I955" s="28"/>
    </row>
    <row r="956" spans="1:9" x14ac:dyDescent="0.35">
      <c r="A956" s="8"/>
      <c r="B956" s="8"/>
      <c r="C956" s="8"/>
      <c r="D956" s="28"/>
      <c r="E956" s="8"/>
      <c r="F956" s="8"/>
      <c r="G956" s="8"/>
      <c r="H956" s="28"/>
      <c r="I956" s="28"/>
    </row>
    <row r="957" spans="1:9" x14ac:dyDescent="0.35">
      <c r="A957" s="8"/>
      <c r="B957" s="8"/>
      <c r="C957" s="8"/>
      <c r="D957" s="28"/>
      <c r="E957" s="8"/>
      <c r="F957" s="8"/>
      <c r="G957" s="8"/>
      <c r="H957" s="28"/>
      <c r="I957" s="28"/>
    </row>
    <row r="958" spans="1:9" x14ac:dyDescent="0.35">
      <c r="A958" s="8"/>
      <c r="B958" s="8"/>
      <c r="C958" s="8"/>
      <c r="D958" s="28"/>
      <c r="E958" s="8"/>
      <c r="F958" s="8"/>
      <c r="G958" s="8"/>
      <c r="H958" s="28"/>
      <c r="I958" s="28"/>
    </row>
    <row r="959" spans="1:9" x14ac:dyDescent="0.35">
      <c r="A959" s="8"/>
      <c r="B959" s="8"/>
      <c r="C959" s="8"/>
      <c r="D959" s="28"/>
      <c r="E959" s="8"/>
      <c r="F959" s="8"/>
      <c r="G959" s="8"/>
      <c r="H959" s="28"/>
      <c r="I959" s="28"/>
    </row>
    <row r="960" spans="1:9" x14ac:dyDescent="0.35">
      <c r="A960" s="8"/>
      <c r="B960" s="8"/>
      <c r="C960" s="8"/>
      <c r="D960" s="28"/>
      <c r="E960" s="8"/>
      <c r="F960" s="8"/>
      <c r="G960" s="8"/>
      <c r="H960" s="28"/>
      <c r="I960" s="28"/>
    </row>
    <row r="961" spans="1:9" x14ac:dyDescent="0.35">
      <c r="A961" s="8"/>
      <c r="B961" s="8"/>
      <c r="C961" s="8"/>
      <c r="D961" s="28"/>
      <c r="E961" s="8"/>
      <c r="F961" s="8"/>
      <c r="G961" s="8"/>
      <c r="H961" s="28"/>
      <c r="I961" s="28"/>
    </row>
    <row r="962" spans="1:9" x14ac:dyDescent="0.35">
      <c r="A962" s="8"/>
      <c r="B962" s="8"/>
      <c r="C962" s="8"/>
      <c r="D962" s="28"/>
      <c r="E962" s="8"/>
      <c r="F962" s="8"/>
      <c r="G962" s="8"/>
      <c r="H962" s="28"/>
      <c r="I962" s="28"/>
    </row>
    <row r="963" spans="1:9" x14ac:dyDescent="0.35">
      <c r="A963" s="8"/>
      <c r="B963" s="8"/>
      <c r="C963" s="8"/>
      <c r="D963" s="28"/>
      <c r="E963" s="8"/>
      <c r="F963" s="8"/>
      <c r="G963" s="8"/>
      <c r="H963" s="28"/>
      <c r="I963" s="28"/>
    </row>
    <row r="964" spans="1:9" x14ac:dyDescent="0.35">
      <c r="A964" s="8"/>
      <c r="B964" s="8"/>
      <c r="C964" s="8"/>
      <c r="D964" s="28"/>
      <c r="E964" s="8"/>
      <c r="F964" s="8"/>
      <c r="G964" s="8"/>
      <c r="H964" s="28"/>
      <c r="I964" s="28"/>
    </row>
    <row r="965" spans="1:9" x14ac:dyDescent="0.35">
      <c r="A965" s="8"/>
      <c r="B965" s="8"/>
      <c r="C965" s="8"/>
      <c r="D965" s="28"/>
      <c r="E965" s="8"/>
      <c r="F965" s="8"/>
      <c r="G965" s="8"/>
      <c r="H965" s="28"/>
      <c r="I965" s="28"/>
    </row>
    <row r="966" spans="1:9" x14ac:dyDescent="0.35">
      <c r="A966" s="8"/>
      <c r="B966" s="8"/>
      <c r="C966" s="8"/>
      <c r="D966" s="28"/>
      <c r="E966" s="8"/>
      <c r="F966" s="8"/>
      <c r="G966" s="8"/>
      <c r="H966" s="28"/>
      <c r="I966" s="28"/>
    </row>
    <row r="967" spans="1:9" x14ac:dyDescent="0.35">
      <c r="A967" s="8"/>
      <c r="B967" s="8"/>
      <c r="C967" s="8"/>
      <c r="D967" s="28"/>
      <c r="E967" s="8"/>
      <c r="F967" s="8"/>
      <c r="G967" s="8"/>
      <c r="H967" s="28"/>
      <c r="I967" s="28"/>
    </row>
    <row r="968" spans="1:9" x14ac:dyDescent="0.35">
      <c r="A968" s="8"/>
      <c r="B968" s="8"/>
      <c r="C968" s="8"/>
      <c r="D968" s="28"/>
      <c r="E968" s="8"/>
      <c r="F968" s="8"/>
      <c r="G968" s="8"/>
      <c r="H968" s="28"/>
      <c r="I968" s="28"/>
    </row>
    <row r="969" spans="1:9" x14ac:dyDescent="0.35">
      <c r="A969" s="8"/>
      <c r="B969" s="8"/>
      <c r="C969" s="8"/>
      <c r="D969" s="28"/>
      <c r="E969" s="8"/>
      <c r="F969" s="8"/>
      <c r="G969" s="8"/>
      <c r="H969" s="28"/>
      <c r="I969" s="28"/>
    </row>
    <row r="970" spans="1:9" x14ac:dyDescent="0.35">
      <c r="A970" s="8"/>
      <c r="B970" s="8"/>
      <c r="C970" s="8"/>
      <c r="D970" s="28"/>
      <c r="E970" s="8"/>
      <c r="F970" s="8"/>
      <c r="G970" s="8"/>
      <c r="H970" s="28"/>
      <c r="I970" s="28"/>
    </row>
    <row r="971" spans="1:9" x14ac:dyDescent="0.35">
      <c r="A971" s="8"/>
      <c r="B971" s="8"/>
      <c r="C971" s="8"/>
      <c r="D971" s="28"/>
      <c r="E971" s="8"/>
      <c r="F971" s="8"/>
      <c r="G971" s="8"/>
      <c r="H971" s="28"/>
      <c r="I971" s="28"/>
    </row>
    <row r="972" spans="1:9" x14ac:dyDescent="0.35">
      <c r="A972" s="8"/>
      <c r="B972" s="8"/>
      <c r="C972" s="8"/>
      <c r="D972" s="28"/>
      <c r="E972" s="8"/>
      <c r="F972" s="8"/>
      <c r="G972" s="8"/>
      <c r="H972" s="28"/>
      <c r="I972" s="28"/>
    </row>
    <row r="973" spans="1:9" x14ac:dyDescent="0.35">
      <c r="A973" s="8"/>
      <c r="B973" s="8"/>
      <c r="C973" s="8"/>
      <c r="D973" s="28"/>
      <c r="E973" s="8"/>
      <c r="F973" s="8"/>
      <c r="G973" s="8"/>
      <c r="H973" s="28"/>
      <c r="I973" s="28"/>
    </row>
    <row r="974" spans="1:9" x14ac:dyDescent="0.35">
      <c r="A974" s="8"/>
      <c r="B974" s="8"/>
      <c r="C974" s="8"/>
      <c r="D974" s="28"/>
      <c r="E974" s="8"/>
      <c r="F974" s="8"/>
      <c r="G974" s="8"/>
      <c r="H974" s="28"/>
      <c r="I974" s="28"/>
    </row>
    <row r="975" spans="1:9" x14ac:dyDescent="0.35">
      <c r="A975" s="8"/>
      <c r="B975" s="8"/>
      <c r="C975" s="8"/>
      <c r="D975" s="28"/>
      <c r="E975" s="8"/>
      <c r="F975" s="8"/>
      <c r="G975" s="8"/>
      <c r="H975" s="28"/>
      <c r="I975" s="28"/>
    </row>
    <row r="976" spans="1:9" x14ac:dyDescent="0.35">
      <c r="A976" s="8"/>
      <c r="B976" s="8"/>
      <c r="C976" s="8"/>
      <c r="D976" s="28"/>
      <c r="E976" s="8"/>
      <c r="F976" s="8"/>
      <c r="G976" s="8"/>
      <c r="H976" s="28"/>
      <c r="I976" s="28"/>
    </row>
    <row r="977" spans="1:9" x14ac:dyDescent="0.35">
      <c r="A977" s="8"/>
      <c r="B977" s="8"/>
      <c r="C977" s="8"/>
      <c r="D977" s="28"/>
      <c r="E977" s="8"/>
      <c r="F977" s="8"/>
      <c r="G977" s="8"/>
      <c r="H977" s="28"/>
      <c r="I977" s="28"/>
    </row>
    <row r="978" spans="1:9" x14ac:dyDescent="0.35">
      <c r="A978" s="8"/>
      <c r="B978" s="8"/>
      <c r="C978" s="8"/>
      <c r="D978" s="28"/>
      <c r="E978" s="8"/>
      <c r="F978" s="8"/>
      <c r="G978" s="8"/>
      <c r="H978" s="28"/>
      <c r="I978" s="28"/>
    </row>
    <row r="979" spans="1:9" x14ac:dyDescent="0.35">
      <c r="A979" s="8"/>
      <c r="B979" s="8"/>
      <c r="C979" s="8"/>
      <c r="D979" s="28"/>
      <c r="E979" s="8"/>
      <c r="F979" s="8"/>
      <c r="G979" s="8"/>
      <c r="H979" s="28"/>
      <c r="I979" s="28"/>
    </row>
    <row r="980" spans="1:9" x14ac:dyDescent="0.35">
      <c r="A980" s="8"/>
      <c r="B980" s="8"/>
      <c r="C980" s="8"/>
      <c r="D980" s="28"/>
      <c r="E980" s="8"/>
      <c r="F980" s="8"/>
      <c r="G980" s="8"/>
      <c r="H980" s="28"/>
      <c r="I980" s="28"/>
    </row>
    <row r="981" spans="1:9" x14ac:dyDescent="0.35">
      <c r="A981" s="8"/>
      <c r="B981" s="8"/>
      <c r="C981" s="8"/>
      <c r="D981" s="28"/>
      <c r="E981" s="8"/>
      <c r="F981" s="8"/>
      <c r="G981" s="8"/>
      <c r="H981" s="28"/>
      <c r="I981" s="28"/>
    </row>
    <row r="982" spans="1:9" x14ac:dyDescent="0.35">
      <c r="A982" s="8"/>
      <c r="B982" s="8"/>
      <c r="C982" s="8"/>
      <c r="D982" s="28"/>
      <c r="E982" s="8"/>
      <c r="F982" s="8"/>
      <c r="G982" s="8"/>
      <c r="H982" s="28"/>
      <c r="I982" s="28"/>
    </row>
    <row r="983" spans="1:9" x14ac:dyDescent="0.35">
      <c r="A983" s="8"/>
      <c r="B983" s="8"/>
      <c r="C983" s="8"/>
      <c r="D983" s="28"/>
      <c r="E983" s="8"/>
      <c r="F983" s="8"/>
      <c r="G983" s="8"/>
      <c r="H983" s="28"/>
      <c r="I983" s="28"/>
    </row>
    <row r="984" spans="1:9" x14ac:dyDescent="0.35">
      <c r="A984" s="8"/>
      <c r="B984" s="8"/>
      <c r="C984" s="8"/>
      <c r="D984" s="28"/>
      <c r="E984" s="8"/>
      <c r="F984" s="8"/>
      <c r="G984" s="8"/>
      <c r="H984" s="28"/>
      <c r="I984" s="28"/>
    </row>
    <row r="985" spans="1:9" x14ac:dyDescent="0.35">
      <c r="A985" s="8"/>
      <c r="B985" s="8"/>
      <c r="C985" s="8"/>
      <c r="D985" s="28"/>
      <c r="E985" s="8"/>
      <c r="F985" s="8"/>
      <c r="G985" s="8"/>
      <c r="H985" s="28"/>
      <c r="I985" s="28"/>
    </row>
    <row r="986" spans="1:9" x14ac:dyDescent="0.35">
      <c r="A986" s="8"/>
      <c r="B986" s="8"/>
      <c r="C986" s="8"/>
      <c r="D986" s="28"/>
      <c r="E986" s="8"/>
      <c r="F986" s="8"/>
      <c r="G986" s="8"/>
      <c r="H986" s="28"/>
      <c r="I986" s="28"/>
    </row>
    <row r="987" spans="1:9" x14ac:dyDescent="0.35">
      <c r="A987" s="8"/>
      <c r="B987" s="8"/>
      <c r="C987" s="8"/>
      <c r="D987" s="28"/>
      <c r="E987" s="8"/>
      <c r="F987" s="8"/>
      <c r="G987" s="8"/>
      <c r="H987" s="28"/>
      <c r="I987" s="28"/>
    </row>
    <row r="988" spans="1:9" x14ac:dyDescent="0.35">
      <c r="A988" s="8"/>
      <c r="B988" s="8"/>
      <c r="C988" s="8"/>
      <c r="D988" s="28"/>
      <c r="E988" s="8"/>
      <c r="F988" s="8"/>
      <c r="G988" s="8"/>
      <c r="H988" s="28"/>
      <c r="I988" s="28"/>
    </row>
    <row r="989" spans="1:9" x14ac:dyDescent="0.35">
      <c r="A989" s="8"/>
      <c r="B989" s="8"/>
      <c r="C989" s="8"/>
      <c r="D989" s="28"/>
      <c r="E989" s="8"/>
      <c r="F989" s="8"/>
      <c r="G989" s="8"/>
      <c r="H989" s="28"/>
      <c r="I989" s="28"/>
    </row>
    <row r="990" spans="1:9" x14ac:dyDescent="0.35">
      <c r="A990" s="8"/>
      <c r="B990" s="8"/>
      <c r="C990" s="8"/>
      <c r="D990" s="28"/>
      <c r="E990" s="8"/>
      <c r="F990" s="8"/>
      <c r="G990" s="8"/>
      <c r="H990" s="28"/>
      <c r="I990" s="28"/>
    </row>
    <row r="991" spans="1:9" x14ac:dyDescent="0.35">
      <c r="A991" s="8"/>
      <c r="B991" s="8"/>
      <c r="C991" s="8"/>
      <c r="D991" s="28"/>
      <c r="E991" s="8"/>
      <c r="F991" s="8"/>
      <c r="G991" s="8"/>
      <c r="H991" s="28"/>
      <c r="I991" s="28"/>
    </row>
    <row r="992" spans="1:9" x14ac:dyDescent="0.35">
      <c r="A992" s="8"/>
      <c r="B992" s="8"/>
      <c r="C992" s="8"/>
      <c r="D992" s="28"/>
      <c r="E992" s="8"/>
      <c r="F992" s="8"/>
      <c r="G992" s="8"/>
      <c r="H992" s="28"/>
      <c r="I992" s="28"/>
    </row>
    <row r="993" spans="1:9" x14ac:dyDescent="0.35">
      <c r="A993" s="8"/>
      <c r="B993" s="8"/>
      <c r="C993" s="8"/>
      <c r="D993" s="28"/>
      <c r="E993" s="8"/>
      <c r="F993" s="8"/>
      <c r="G993" s="8"/>
      <c r="H993" s="28"/>
      <c r="I993" s="28"/>
    </row>
    <row r="994" spans="1:9" x14ac:dyDescent="0.35">
      <c r="A994" s="8"/>
      <c r="B994" s="8"/>
      <c r="C994" s="8"/>
      <c r="D994" s="28"/>
      <c r="E994" s="8"/>
      <c r="F994" s="8"/>
      <c r="G994" s="8"/>
      <c r="H994" s="28"/>
      <c r="I994" s="28"/>
    </row>
    <row r="995" spans="1:9" x14ac:dyDescent="0.35">
      <c r="A995" s="8"/>
      <c r="B995" s="8"/>
      <c r="C995" s="8"/>
      <c r="D995" s="28"/>
      <c r="E995" s="8"/>
      <c r="F995" s="8"/>
      <c r="G995" s="8"/>
      <c r="H995" s="28"/>
      <c r="I995" s="28"/>
    </row>
    <row r="996" spans="1:9" x14ac:dyDescent="0.35">
      <c r="A996" s="8"/>
      <c r="B996" s="8"/>
      <c r="C996" s="8"/>
      <c r="D996" s="28"/>
      <c r="E996" s="8"/>
      <c r="F996" s="8"/>
      <c r="G996" s="8"/>
      <c r="H996" s="28"/>
      <c r="I996" s="28"/>
    </row>
    <row r="997" spans="1:9" x14ac:dyDescent="0.35">
      <c r="A997" s="8"/>
      <c r="B997" s="8"/>
      <c r="C997" s="8"/>
      <c r="D997" s="28"/>
      <c r="E997" s="8"/>
      <c r="F997" s="8"/>
      <c r="G997" s="8"/>
      <c r="H997" s="28"/>
      <c r="I997" s="28"/>
    </row>
    <row r="998" spans="1:9" x14ac:dyDescent="0.35">
      <c r="A998" s="8"/>
      <c r="B998" s="8"/>
      <c r="C998" s="8"/>
      <c r="D998" s="28"/>
      <c r="E998" s="8"/>
      <c r="F998" s="8"/>
      <c r="G998" s="8"/>
      <c r="H998" s="28"/>
      <c r="I998" s="28"/>
    </row>
    <row r="999" spans="1:9" x14ac:dyDescent="0.35">
      <c r="A999" s="8"/>
      <c r="B999" s="8"/>
      <c r="C999" s="8"/>
      <c r="D999" s="28"/>
      <c r="E999" s="8"/>
      <c r="F999" s="8"/>
      <c r="G999" s="8"/>
      <c r="H999" s="28"/>
      <c r="I999" s="28"/>
    </row>
    <row r="1000" spans="1:9" x14ac:dyDescent="0.35">
      <c r="A1000" s="8"/>
      <c r="B1000" s="8"/>
      <c r="C1000" s="8"/>
      <c r="D1000" s="28"/>
      <c r="E1000" s="8"/>
      <c r="F1000" s="8"/>
      <c r="G1000" s="8"/>
      <c r="H1000" s="28"/>
      <c r="I1000" s="28"/>
    </row>
    <row r="1001" spans="1:9" x14ac:dyDescent="0.35">
      <c r="A1001" s="8"/>
      <c r="B1001" s="8"/>
      <c r="C1001" s="8"/>
      <c r="D1001" s="28"/>
      <c r="E1001" s="8"/>
      <c r="F1001" s="8"/>
      <c r="G1001" s="8"/>
      <c r="H1001" s="28"/>
      <c r="I1001" s="28"/>
    </row>
    <row r="1002" spans="1:9" x14ac:dyDescent="0.35">
      <c r="A1002" s="8"/>
      <c r="B1002" s="8"/>
      <c r="C1002" s="8"/>
      <c r="D1002" s="28"/>
      <c r="E1002" s="8"/>
      <c r="F1002" s="8"/>
      <c r="G1002" s="8"/>
      <c r="H1002" s="28"/>
      <c r="I1002" s="28"/>
    </row>
    <row r="1003" spans="1:9" x14ac:dyDescent="0.35">
      <c r="A1003" s="8"/>
      <c r="B1003" s="8"/>
      <c r="C1003" s="8"/>
      <c r="D1003" s="28"/>
      <c r="E1003" s="8"/>
      <c r="F1003" s="8"/>
      <c r="G1003" s="8"/>
      <c r="H1003" s="28"/>
      <c r="I1003" s="28"/>
    </row>
    <row r="1004" spans="1:9" x14ac:dyDescent="0.35">
      <c r="A1004" s="8"/>
      <c r="B1004" s="8"/>
      <c r="C1004" s="8"/>
      <c r="D1004" s="28"/>
      <c r="E1004" s="8"/>
      <c r="F1004" s="8"/>
      <c r="G1004" s="8"/>
      <c r="H1004" s="28"/>
      <c r="I1004" s="28"/>
    </row>
    <row r="1005" spans="1:9" x14ac:dyDescent="0.35">
      <c r="A1005" s="8"/>
      <c r="B1005" s="8"/>
      <c r="C1005" s="8"/>
      <c r="D1005" s="28"/>
      <c r="E1005" s="8"/>
      <c r="F1005" s="8"/>
      <c r="G1005" s="8"/>
      <c r="H1005" s="28"/>
      <c r="I1005" s="28"/>
    </row>
    <row r="1006" spans="1:9" x14ac:dyDescent="0.35">
      <c r="A1006" s="8"/>
      <c r="B1006" s="8"/>
      <c r="C1006" s="8"/>
      <c r="D1006" s="28"/>
      <c r="E1006" s="8"/>
      <c r="F1006" s="8"/>
      <c r="G1006" s="8"/>
      <c r="H1006" s="28"/>
      <c r="I1006" s="28"/>
    </row>
    <row r="1007" spans="1:9" x14ac:dyDescent="0.35">
      <c r="A1007" s="8"/>
      <c r="B1007" s="8"/>
      <c r="C1007" s="8"/>
      <c r="D1007" s="28"/>
      <c r="E1007" s="8"/>
      <c r="F1007" s="8"/>
      <c r="G1007" s="8"/>
      <c r="H1007" s="28"/>
      <c r="I1007" s="28"/>
    </row>
    <row r="1008" spans="1:9" x14ac:dyDescent="0.35">
      <c r="A1008" s="8"/>
      <c r="B1008" s="8"/>
      <c r="C1008" s="8"/>
      <c r="D1008" s="28"/>
      <c r="E1008" s="8"/>
      <c r="F1008" s="8"/>
      <c r="G1008" s="8"/>
      <c r="H1008" s="28"/>
      <c r="I1008" s="28"/>
    </row>
    <row r="1009" spans="1:9" x14ac:dyDescent="0.35">
      <c r="A1009" s="8"/>
      <c r="B1009" s="8"/>
      <c r="C1009" s="8"/>
      <c r="D1009" s="28"/>
      <c r="E1009" s="8"/>
      <c r="F1009" s="8"/>
      <c r="G1009" s="8"/>
      <c r="H1009" s="28"/>
      <c r="I1009" s="28"/>
    </row>
    <row r="1010" spans="1:9" x14ac:dyDescent="0.35">
      <c r="A1010" s="8"/>
      <c r="B1010" s="8"/>
      <c r="C1010" s="8"/>
      <c r="D1010" s="28"/>
      <c r="E1010" s="8"/>
      <c r="F1010" s="8"/>
      <c r="G1010" s="8"/>
      <c r="H1010" s="28"/>
      <c r="I1010" s="28"/>
    </row>
    <row r="1011" spans="1:9" x14ac:dyDescent="0.35">
      <c r="A1011" s="8"/>
      <c r="B1011" s="8"/>
      <c r="C1011" s="8"/>
      <c r="D1011" s="28"/>
      <c r="E1011" s="8"/>
      <c r="F1011" s="8"/>
      <c r="G1011" s="8"/>
      <c r="H1011" s="28"/>
      <c r="I1011" s="28"/>
    </row>
    <row r="1012" spans="1:9" x14ac:dyDescent="0.35">
      <c r="A1012" s="8"/>
      <c r="B1012" s="8"/>
      <c r="C1012" s="8"/>
      <c r="D1012" s="28"/>
      <c r="E1012" s="8"/>
      <c r="F1012" s="8"/>
      <c r="G1012" s="8"/>
      <c r="H1012" s="28"/>
      <c r="I1012" s="28"/>
    </row>
    <row r="1013" spans="1:9" x14ac:dyDescent="0.35">
      <c r="A1013" s="8"/>
      <c r="B1013" s="8"/>
      <c r="C1013" s="8"/>
      <c r="D1013" s="28"/>
      <c r="E1013" s="8"/>
      <c r="F1013" s="8"/>
      <c r="G1013" s="8"/>
      <c r="H1013" s="28"/>
      <c r="I1013" s="28"/>
    </row>
    <row r="1014" spans="1:9" x14ac:dyDescent="0.35">
      <c r="A1014" s="8"/>
      <c r="B1014" s="8"/>
      <c r="C1014" s="8"/>
      <c r="D1014" s="28"/>
      <c r="E1014" s="8"/>
      <c r="F1014" s="8"/>
      <c r="G1014" s="8"/>
      <c r="H1014" s="28"/>
      <c r="I1014" s="28"/>
    </row>
    <row r="1015" spans="1:9" x14ac:dyDescent="0.35">
      <c r="A1015" s="8"/>
      <c r="B1015" s="8"/>
      <c r="C1015" s="8"/>
      <c r="D1015" s="28"/>
      <c r="E1015" s="8"/>
      <c r="F1015" s="8"/>
      <c r="G1015" s="8"/>
      <c r="H1015" s="28"/>
      <c r="I1015" s="28"/>
    </row>
    <row r="1016" spans="1:9" x14ac:dyDescent="0.35">
      <c r="A1016" s="8"/>
      <c r="B1016" s="8"/>
      <c r="C1016" s="8"/>
      <c r="D1016" s="28"/>
      <c r="E1016" s="8"/>
      <c r="F1016" s="8"/>
      <c r="G1016" s="8"/>
      <c r="H1016" s="28"/>
      <c r="I1016" s="28"/>
    </row>
    <row r="1017" spans="1:9" x14ac:dyDescent="0.35">
      <c r="A1017" s="8"/>
      <c r="B1017" s="8"/>
      <c r="C1017" s="8"/>
      <c r="D1017" s="28"/>
      <c r="E1017" s="8"/>
      <c r="F1017" s="8"/>
      <c r="G1017" s="8"/>
      <c r="H1017" s="28"/>
      <c r="I1017" s="28"/>
    </row>
    <row r="1018" spans="1:9" x14ac:dyDescent="0.35">
      <c r="A1018" s="8"/>
      <c r="B1018" s="8"/>
      <c r="C1018" s="8"/>
      <c r="D1018" s="28"/>
      <c r="E1018" s="8"/>
      <c r="F1018" s="8"/>
      <c r="G1018" s="8"/>
      <c r="H1018" s="28"/>
      <c r="I1018" s="28"/>
    </row>
    <row r="1019" spans="1:9" x14ac:dyDescent="0.35">
      <c r="A1019" s="8"/>
      <c r="B1019" s="8"/>
      <c r="C1019" s="8"/>
      <c r="D1019" s="28"/>
      <c r="E1019" s="8"/>
      <c r="F1019" s="8"/>
      <c r="G1019" s="8"/>
      <c r="H1019" s="28"/>
      <c r="I1019" s="28"/>
    </row>
    <row r="1020" spans="1:9" x14ac:dyDescent="0.35">
      <c r="A1020" s="8"/>
      <c r="B1020" s="8"/>
      <c r="C1020" s="8"/>
      <c r="D1020" s="28"/>
      <c r="E1020" s="8"/>
      <c r="F1020" s="8"/>
      <c r="G1020" s="8"/>
      <c r="H1020" s="28"/>
      <c r="I1020" s="28"/>
    </row>
    <row r="1021" spans="1:9" x14ac:dyDescent="0.35">
      <c r="A1021" s="8"/>
      <c r="B1021" s="8"/>
      <c r="C1021" s="8"/>
      <c r="D1021" s="28"/>
      <c r="E1021" s="8"/>
      <c r="F1021" s="8"/>
      <c r="G1021" s="8"/>
      <c r="H1021" s="28"/>
      <c r="I1021" s="28"/>
    </row>
    <row r="1022" spans="1:9" x14ac:dyDescent="0.35">
      <c r="A1022" s="8"/>
      <c r="B1022" s="8"/>
      <c r="C1022" s="8"/>
      <c r="D1022" s="28"/>
      <c r="E1022" s="8"/>
      <c r="F1022" s="8"/>
      <c r="G1022" s="8"/>
      <c r="H1022" s="28"/>
      <c r="I1022" s="28"/>
    </row>
    <row r="1023" spans="1:9" x14ac:dyDescent="0.35">
      <c r="A1023" s="8"/>
      <c r="B1023" s="8"/>
      <c r="C1023" s="8"/>
      <c r="D1023" s="28"/>
      <c r="E1023" s="8"/>
      <c r="F1023" s="8"/>
      <c r="G1023" s="8"/>
      <c r="H1023" s="28"/>
      <c r="I1023" s="28"/>
    </row>
    <row r="1024" spans="1:9" x14ac:dyDescent="0.35">
      <c r="A1024" s="8"/>
      <c r="B1024" s="8"/>
      <c r="C1024" s="8"/>
      <c r="D1024" s="28"/>
      <c r="E1024" s="8"/>
      <c r="F1024" s="8"/>
      <c r="G1024" s="8"/>
      <c r="H1024" s="28"/>
      <c r="I1024" s="28"/>
    </row>
    <row r="1025" spans="1:9" x14ac:dyDescent="0.35">
      <c r="A1025" s="8"/>
      <c r="B1025" s="8"/>
      <c r="C1025" s="8"/>
      <c r="D1025" s="28"/>
      <c r="E1025" s="8"/>
      <c r="F1025" s="8"/>
      <c r="G1025" s="8"/>
      <c r="H1025" s="28"/>
      <c r="I1025" s="28"/>
    </row>
    <row r="1026" spans="1:9" x14ac:dyDescent="0.35">
      <c r="A1026" s="8"/>
      <c r="B1026" s="8"/>
      <c r="C1026" s="8"/>
      <c r="D1026" s="28"/>
      <c r="E1026" s="8"/>
      <c r="F1026" s="8"/>
      <c r="G1026" s="8"/>
      <c r="H1026" s="28"/>
      <c r="I1026" s="28"/>
    </row>
    <row r="1027" spans="1:9" x14ac:dyDescent="0.35">
      <c r="A1027" s="8"/>
      <c r="B1027" s="8"/>
      <c r="C1027" s="8"/>
      <c r="D1027" s="28"/>
      <c r="E1027" s="8"/>
      <c r="F1027" s="8"/>
      <c r="G1027" s="8"/>
      <c r="H1027" s="28"/>
      <c r="I1027" s="28"/>
    </row>
    <row r="1028" spans="1:9" x14ac:dyDescent="0.35">
      <c r="A1028" s="8"/>
      <c r="B1028" s="8"/>
      <c r="C1028" s="8"/>
      <c r="D1028" s="28"/>
      <c r="E1028" s="8"/>
      <c r="F1028" s="8"/>
      <c r="G1028" s="8"/>
      <c r="H1028" s="28"/>
      <c r="I1028" s="28"/>
    </row>
    <row r="1029" spans="1:9" x14ac:dyDescent="0.35">
      <c r="A1029" s="8"/>
      <c r="B1029" s="8"/>
      <c r="C1029" s="8"/>
      <c r="D1029" s="28"/>
      <c r="E1029" s="8"/>
      <c r="F1029" s="8"/>
      <c r="G1029" s="8"/>
      <c r="H1029" s="28"/>
      <c r="I1029" s="28"/>
    </row>
    <row r="1030" spans="1:9" x14ac:dyDescent="0.35">
      <c r="A1030" s="8"/>
      <c r="B1030" s="8"/>
      <c r="C1030" s="8"/>
      <c r="D1030" s="28"/>
      <c r="E1030" s="8"/>
      <c r="F1030" s="8"/>
      <c r="G1030" s="8"/>
      <c r="H1030" s="28"/>
      <c r="I1030" s="28"/>
    </row>
    <row r="1031" spans="1:9" x14ac:dyDescent="0.35">
      <c r="A1031" s="8"/>
      <c r="B1031" s="8"/>
      <c r="C1031" s="8"/>
      <c r="D1031" s="28"/>
      <c r="E1031" s="8"/>
      <c r="F1031" s="8"/>
      <c r="G1031" s="8"/>
      <c r="H1031" s="28"/>
      <c r="I1031" s="28"/>
    </row>
    <row r="1032" spans="1:9" x14ac:dyDescent="0.35">
      <c r="A1032" s="8"/>
      <c r="B1032" s="8"/>
      <c r="C1032" s="8"/>
      <c r="D1032" s="28"/>
      <c r="E1032" s="8"/>
      <c r="F1032" s="8"/>
      <c r="G1032" s="8"/>
      <c r="H1032" s="28"/>
      <c r="I1032" s="28"/>
    </row>
    <row r="1033" spans="1:9" x14ac:dyDescent="0.35">
      <c r="A1033" s="8"/>
      <c r="B1033" s="8"/>
      <c r="C1033" s="8"/>
      <c r="D1033" s="28"/>
      <c r="E1033" s="8"/>
      <c r="F1033" s="8"/>
      <c r="G1033" s="8"/>
      <c r="H1033" s="28"/>
      <c r="I1033" s="28"/>
    </row>
    <row r="1034" spans="1:9" x14ac:dyDescent="0.35">
      <c r="A1034" s="8"/>
      <c r="B1034" s="8"/>
      <c r="C1034" s="8"/>
      <c r="D1034" s="28"/>
      <c r="E1034" s="8"/>
      <c r="F1034" s="8"/>
      <c r="G1034" s="8"/>
      <c r="H1034" s="28"/>
      <c r="I1034" s="28"/>
    </row>
    <row r="1035" spans="1:9" x14ac:dyDescent="0.35">
      <c r="A1035" s="8"/>
      <c r="B1035" s="8"/>
      <c r="C1035" s="8"/>
      <c r="D1035" s="28"/>
      <c r="E1035" s="8"/>
      <c r="F1035" s="8"/>
      <c r="G1035" s="8"/>
      <c r="H1035" s="28"/>
      <c r="I1035" s="28"/>
    </row>
    <row r="1036" spans="1:9" x14ac:dyDescent="0.35">
      <c r="A1036" s="8"/>
      <c r="B1036" s="8"/>
      <c r="C1036" s="8"/>
      <c r="D1036" s="28"/>
      <c r="E1036" s="8"/>
      <c r="F1036" s="8"/>
      <c r="G1036" s="8"/>
      <c r="H1036" s="28"/>
      <c r="I1036" s="28"/>
    </row>
    <row r="1037" spans="1:9" x14ac:dyDescent="0.35">
      <c r="A1037" s="8"/>
      <c r="B1037" s="8"/>
      <c r="C1037" s="8"/>
      <c r="D1037" s="28"/>
      <c r="E1037" s="8"/>
      <c r="F1037" s="8"/>
      <c r="G1037" s="8"/>
      <c r="H1037" s="28"/>
      <c r="I1037" s="28"/>
    </row>
    <row r="1038" spans="1:9" x14ac:dyDescent="0.35">
      <c r="A1038" s="8"/>
      <c r="B1038" s="8"/>
      <c r="C1038" s="8"/>
      <c r="D1038" s="28"/>
      <c r="E1038" s="8"/>
      <c r="F1038" s="8"/>
      <c r="G1038" s="8"/>
      <c r="H1038" s="28"/>
      <c r="I1038" s="28"/>
    </row>
    <row r="1039" spans="1:9" x14ac:dyDescent="0.35">
      <c r="A1039" s="8"/>
      <c r="B1039" s="8"/>
      <c r="C1039" s="8"/>
      <c r="D1039" s="28"/>
      <c r="E1039" s="8"/>
      <c r="F1039" s="8"/>
      <c r="G1039" s="8"/>
      <c r="H1039" s="28"/>
      <c r="I1039" s="28"/>
    </row>
    <row r="1040" spans="1:9" x14ac:dyDescent="0.35">
      <c r="A1040" s="8"/>
      <c r="B1040" s="8"/>
      <c r="C1040" s="8"/>
      <c r="D1040" s="28"/>
      <c r="E1040" s="8"/>
      <c r="F1040" s="8"/>
      <c r="G1040" s="8"/>
      <c r="H1040" s="28"/>
      <c r="I1040" s="28"/>
    </row>
    <row r="1041" spans="1:9" x14ac:dyDescent="0.35">
      <c r="A1041" s="8"/>
      <c r="B1041" s="8"/>
      <c r="C1041" s="8"/>
      <c r="D1041" s="28"/>
      <c r="E1041" s="8"/>
      <c r="F1041" s="8"/>
      <c r="G1041" s="8"/>
      <c r="H1041" s="28"/>
      <c r="I1041" s="28"/>
    </row>
    <row r="1042" spans="1:9" x14ac:dyDescent="0.35">
      <c r="A1042" s="8"/>
      <c r="B1042" s="8"/>
      <c r="C1042" s="8"/>
      <c r="D1042" s="28"/>
      <c r="E1042" s="8"/>
      <c r="F1042" s="8"/>
      <c r="G1042" s="8"/>
      <c r="H1042" s="28"/>
      <c r="I1042" s="28"/>
    </row>
    <row r="1043" spans="1:9" x14ac:dyDescent="0.35">
      <c r="A1043" s="8"/>
      <c r="B1043" s="8"/>
      <c r="C1043" s="8"/>
      <c r="D1043" s="28"/>
      <c r="E1043" s="8"/>
      <c r="F1043" s="8"/>
      <c r="G1043" s="8"/>
      <c r="H1043" s="28"/>
      <c r="I1043" s="28"/>
    </row>
    <row r="1044" spans="1:9" x14ac:dyDescent="0.35">
      <c r="A1044" s="8"/>
      <c r="B1044" s="8"/>
      <c r="C1044" s="8"/>
      <c r="D1044" s="28"/>
      <c r="E1044" s="8"/>
      <c r="F1044" s="8"/>
      <c r="G1044" s="8"/>
      <c r="H1044" s="28"/>
      <c r="I1044" s="28"/>
    </row>
    <row r="1045" spans="1:9" x14ac:dyDescent="0.35">
      <c r="A1045" s="8"/>
      <c r="B1045" s="8"/>
      <c r="C1045" s="8"/>
      <c r="D1045" s="28"/>
      <c r="E1045" s="8"/>
      <c r="F1045" s="8"/>
      <c r="G1045" s="8"/>
      <c r="H1045" s="28"/>
      <c r="I1045" s="28"/>
    </row>
    <row r="1046" spans="1:9" x14ac:dyDescent="0.35">
      <c r="A1046" s="8"/>
      <c r="B1046" s="8"/>
      <c r="C1046" s="8"/>
      <c r="D1046" s="28"/>
      <c r="E1046" s="8"/>
      <c r="F1046" s="8"/>
      <c r="G1046" s="8"/>
      <c r="H1046" s="28"/>
      <c r="I1046" s="28"/>
    </row>
    <row r="1047" spans="1:9" x14ac:dyDescent="0.35">
      <c r="A1047" s="8"/>
      <c r="B1047" s="8"/>
      <c r="C1047" s="8"/>
      <c r="D1047" s="28"/>
      <c r="E1047" s="8"/>
      <c r="F1047" s="8"/>
      <c r="G1047" s="8"/>
      <c r="H1047" s="28"/>
      <c r="I1047" s="28"/>
    </row>
    <row r="1048" spans="1:9" x14ac:dyDescent="0.35">
      <c r="A1048" s="8"/>
      <c r="B1048" s="8"/>
      <c r="C1048" s="8"/>
      <c r="D1048" s="28"/>
      <c r="E1048" s="8"/>
      <c r="F1048" s="8"/>
      <c r="G1048" s="8"/>
      <c r="H1048" s="28"/>
      <c r="I1048" s="28"/>
    </row>
    <row r="1049" spans="1:9" x14ac:dyDescent="0.35">
      <c r="A1049" s="8"/>
      <c r="B1049" s="8"/>
      <c r="C1049" s="8"/>
      <c r="D1049" s="28"/>
      <c r="E1049" s="8"/>
      <c r="F1049" s="8"/>
      <c r="G1049" s="8"/>
      <c r="H1049" s="28"/>
      <c r="I1049" s="28"/>
    </row>
    <row r="1050" spans="1:9" x14ac:dyDescent="0.35">
      <c r="A1050" s="8"/>
      <c r="B1050" s="8"/>
      <c r="C1050" s="8"/>
      <c r="D1050" s="28"/>
      <c r="E1050" s="8"/>
      <c r="F1050" s="8"/>
      <c r="G1050" s="8"/>
      <c r="H1050" s="28"/>
      <c r="I1050" s="28"/>
    </row>
    <row r="1051" spans="1:9" x14ac:dyDescent="0.35">
      <c r="A1051" s="8"/>
      <c r="B1051" s="8"/>
      <c r="C1051" s="8"/>
      <c r="D1051" s="28"/>
      <c r="E1051" s="8"/>
      <c r="F1051" s="8"/>
      <c r="G1051" s="8"/>
      <c r="H1051" s="28"/>
      <c r="I1051" s="28"/>
    </row>
    <row r="1052" spans="1:9" x14ac:dyDescent="0.35">
      <c r="A1052" s="8"/>
      <c r="B1052" s="8"/>
      <c r="C1052" s="8"/>
      <c r="D1052" s="28"/>
      <c r="E1052" s="8"/>
      <c r="F1052" s="8"/>
      <c r="G1052" s="8"/>
      <c r="H1052" s="28"/>
      <c r="I1052" s="28"/>
    </row>
    <row r="1053" spans="1:9" x14ac:dyDescent="0.35">
      <c r="A1053" s="8"/>
      <c r="B1053" s="8"/>
      <c r="C1053" s="8"/>
      <c r="D1053" s="28"/>
      <c r="E1053" s="8"/>
      <c r="F1053" s="8"/>
      <c r="G1053" s="8"/>
      <c r="H1053" s="28"/>
      <c r="I1053" s="28"/>
    </row>
    <row r="1054" spans="1:9" x14ac:dyDescent="0.35">
      <c r="A1054" s="8"/>
      <c r="B1054" s="8"/>
      <c r="C1054" s="8"/>
      <c r="D1054" s="28"/>
      <c r="E1054" s="8"/>
      <c r="F1054" s="8"/>
      <c r="G1054" s="8"/>
      <c r="H1054" s="28"/>
      <c r="I1054" s="28"/>
    </row>
    <row r="1055" spans="1:9" x14ac:dyDescent="0.35">
      <c r="A1055" s="8"/>
      <c r="B1055" s="8"/>
      <c r="C1055" s="8"/>
      <c r="D1055" s="28"/>
      <c r="E1055" s="8"/>
      <c r="F1055" s="8"/>
      <c r="G1055" s="8"/>
      <c r="H1055" s="28"/>
      <c r="I1055" s="28"/>
    </row>
    <row r="1056" spans="1:9" x14ac:dyDescent="0.35">
      <c r="A1056" s="8"/>
      <c r="B1056" s="8"/>
      <c r="C1056" s="8"/>
      <c r="D1056" s="28"/>
      <c r="E1056" s="8"/>
      <c r="F1056" s="8"/>
      <c r="G1056" s="8"/>
      <c r="H1056" s="28"/>
      <c r="I1056" s="28"/>
    </row>
    <row r="1057" spans="1:9" x14ac:dyDescent="0.35">
      <c r="A1057" s="8"/>
      <c r="B1057" s="8"/>
      <c r="C1057" s="8"/>
      <c r="D1057" s="28"/>
      <c r="E1057" s="8"/>
      <c r="F1057" s="8"/>
      <c r="G1057" s="8"/>
      <c r="H1057" s="28"/>
      <c r="I1057" s="28"/>
    </row>
    <row r="1058" spans="1:9" x14ac:dyDescent="0.35">
      <c r="A1058" s="8"/>
      <c r="B1058" s="8"/>
      <c r="C1058" s="8"/>
      <c r="D1058" s="28"/>
      <c r="E1058" s="8"/>
      <c r="F1058" s="8"/>
      <c r="G1058" s="8"/>
      <c r="H1058" s="28"/>
      <c r="I1058" s="28"/>
    </row>
    <row r="1059" spans="1:9" x14ac:dyDescent="0.35">
      <c r="A1059" s="8"/>
      <c r="B1059" s="8"/>
      <c r="C1059" s="8"/>
      <c r="D1059" s="28"/>
      <c r="E1059" s="8"/>
      <c r="F1059" s="8"/>
      <c r="G1059" s="8"/>
      <c r="H1059" s="28"/>
      <c r="I1059" s="28"/>
    </row>
    <row r="1060" spans="1:9" x14ac:dyDescent="0.35">
      <c r="A1060" s="8"/>
      <c r="B1060" s="8"/>
      <c r="C1060" s="8"/>
      <c r="D1060" s="28"/>
      <c r="E1060" s="8"/>
      <c r="F1060" s="8"/>
      <c r="G1060" s="8"/>
      <c r="H1060" s="28"/>
      <c r="I1060" s="28"/>
    </row>
    <row r="1061" spans="1:9" x14ac:dyDescent="0.35">
      <c r="A1061" s="8"/>
      <c r="B1061" s="8"/>
      <c r="C1061" s="8"/>
      <c r="D1061" s="28"/>
      <c r="E1061" s="8"/>
      <c r="F1061" s="8"/>
      <c r="G1061" s="8"/>
      <c r="H1061" s="28"/>
      <c r="I1061" s="28"/>
    </row>
    <row r="1062" spans="1:9" x14ac:dyDescent="0.35">
      <c r="A1062" s="8"/>
      <c r="B1062" s="8"/>
      <c r="C1062" s="8"/>
      <c r="D1062" s="28"/>
      <c r="E1062" s="8"/>
      <c r="F1062" s="8"/>
      <c r="G1062" s="8"/>
      <c r="H1062" s="28"/>
      <c r="I1062" s="28"/>
    </row>
    <row r="1063" spans="1:9" x14ac:dyDescent="0.35">
      <c r="A1063" s="8"/>
      <c r="B1063" s="8"/>
      <c r="C1063" s="8"/>
      <c r="D1063" s="28"/>
      <c r="E1063" s="8"/>
      <c r="F1063" s="8"/>
      <c r="G1063" s="8"/>
      <c r="H1063" s="28"/>
      <c r="I1063" s="28"/>
    </row>
    <row r="1064" spans="1:9" x14ac:dyDescent="0.35">
      <c r="A1064" s="8"/>
      <c r="B1064" s="8"/>
      <c r="C1064" s="8"/>
      <c r="D1064" s="28"/>
      <c r="E1064" s="8"/>
      <c r="F1064" s="8"/>
      <c r="G1064" s="8"/>
      <c r="H1064" s="28"/>
      <c r="I1064" s="28"/>
    </row>
    <row r="1065" spans="1:9" x14ac:dyDescent="0.35">
      <c r="A1065" s="8"/>
      <c r="B1065" s="8"/>
      <c r="C1065" s="8"/>
      <c r="D1065" s="28"/>
      <c r="E1065" s="8"/>
      <c r="F1065" s="8"/>
      <c r="G1065" s="8"/>
      <c r="H1065" s="28"/>
      <c r="I1065" s="28"/>
    </row>
    <row r="1066" spans="1:9" x14ac:dyDescent="0.35">
      <c r="A1066" s="8"/>
      <c r="B1066" s="8"/>
      <c r="C1066" s="8"/>
      <c r="D1066" s="28"/>
      <c r="E1066" s="8"/>
      <c r="F1066" s="8"/>
      <c r="G1066" s="8"/>
      <c r="H1066" s="28"/>
      <c r="I1066" s="28"/>
    </row>
    <row r="1067" spans="1:9" x14ac:dyDescent="0.35">
      <c r="A1067" s="8"/>
      <c r="B1067" s="8"/>
      <c r="C1067" s="8"/>
      <c r="D1067" s="28"/>
      <c r="E1067" s="8"/>
      <c r="F1067" s="8"/>
      <c r="G1067" s="8"/>
      <c r="H1067" s="28"/>
      <c r="I1067" s="28"/>
    </row>
    <row r="1068" spans="1:9" x14ac:dyDescent="0.35">
      <c r="A1068" s="8"/>
      <c r="B1068" s="8"/>
      <c r="C1068" s="8"/>
      <c r="D1068" s="28"/>
      <c r="E1068" s="8"/>
      <c r="F1068" s="8"/>
      <c r="G1068" s="8"/>
      <c r="H1068" s="28"/>
      <c r="I1068" s="28"/>
    </row>
    <row r="1069" spans="1:9" x14ac:dyDescent="0.35">
      <c r="A1069" s="8"/>
      <c r="B1069" s="8"/>
      <c r="C1069" s="8"/>
      <c r="D1069" s="28"/>
      <c r="E1069" s="8"/>
      <c r="F1069" s="8"/>
      <c r="G1069" s="8"/>
      <c r="H1069" s="28"/>
      <c r="I1069" s="28"/>
    </row>
    <row r="1070" spans="1:9" x14ac:dyDescent="0.35">
      <c r="A1070" s="8"/>
      <c r="B1070" s="8"/>
      <c r="C1070" s="8"/>
      <c r="D1070" s="28"/>
      <c r="E1070" s="8"/>
      <c r="F1070" s="8"/>
      <c r="G1070" s="8"/>
      <c r="H1070" s="28"/>
      <c r="I1070" s="28"/>
    </row>
    <row r="1071" spans="1:9" x14ac:dyDescent="0.35">
      <c r="A1071" s="8"/>
      <c r="B1071" s="8"/>
      <c r="C1071" s="8"/>
      <c r="D1071" s="28"/>
      <c r="E1071" s="8"/>
      <c r="F1071" s="8"/>
      <c r="G1071" s="8"/>
      <c r="H1071" s="28"/>
      <c r="I1071" s="28"/>
    </row>
    <row r="1072" spans="1:9" x14ac:dyDescent="0.35">
      <c r="A1072" s="8"/>
      <c r="B1072" s="8"/>
      <c r="C1072" s="8"/>
      <c r="D1072" s="28"/>
      <c r="E1072" s="8"/>
      <c r="F1072" s="8"/>
      <c r="G1072" s="8"/>
      <c r="H1072" s="28"/>
      <c r="I1072" s="28"/>
    </row>
    <row r="1073" spans="1:9" x14ac:dyDescent="0.35">
      <c r="A1073" s="8"/>
      <c r="B1073" s="8"/>
      <c r="C1073" s="8"/>
      <c r="D1073" s="28"/>
      <c r="E1073" s="8"/>
      <c r="F1073" s="8"/>
      <c r="G1073" s="8"/>
      <c r="H1073" s="28"/>
      <c r="I1073" s="28"/>
    </row>
    <row r="1074" spans="1:9" x14ac:dyDescent="0.35">
      <c r="A1074" s="8"/>
      <c r="B1074" s="8"/>
      <c r="C1074" s="8"/>
      <c r="D1074" s="28"/>
      <c r="E1074" s="8"/>
      <c r="F1074" s="8"/>
      <c r="G1074" s="8"/>
      <c r="H1074" s="28"/>
      <c r="I1074" s="28"/>
    </row>
    <row r="1075" spans="1:9" x14ac:dyDescent="0.35">
      <c r="A1075" s="8"/>
      <c r="B1075" s="8"/>
      <c r="C1075" s="8"/>
      <c r="D1075" s="28"/>
      <c r="E1075" s="8"/>
      <c r="F1075" s="8"/>
      <c r="G1075" s="8"/>
      <c r="H1075" s="28"/>
      <c r="I1075" s="28"/>
    </row>
    <row r="1076" spans="1:9" x14ac:dyDescent="0.35">
      <c r="A1076" s="8"/>
      <c r="B1076" s="8"/>
      <c r="C1076" s="8"/>
      <c r="D1076" s="28"/>
      <c r="E1076" s="8"/>
      <c r="F1076" s="8"/>
      <c r="G1076" s="8"/>
      <c r="H1076" s="28"/>
      <c r="I1076" s="28"/>
    </row>
    <row r="1077" spans="1:9" x14ac:dyDescent="0.35">
      <c r="A1077" s="8"/>
      <c r="B1077" s="8"/>
      <c r="C1077" s="8"/>
      <c r="D1077" s="28"/>
      <c r="E1077" s="8"/>
      <c r="F1077" s="8"/>
      <c r="G1077" s="8"/>
      <c r="H1077" s="28"/>
      <c r="I1077" s="28"/>
    </row>
    <row r="1078" spans="1:9" x14ac:dyDescent="0.35">
      <c r="A1078" s="8"/>
      <c r="B1078" s="8"/>
      <c r="C1078" s="8"/>
      <c r="D1078" s="28"/>
      <c r="E1078" s="8"/>
      <c r="F1078" s="8"/>
      <c r="G1078" s="8"/>
      <c r="H1078" s="28"/>
      <c r="I1078" s="28"/>
    </row>
    <row r="1079" spans="1:9" x14ac:dyDescent="0.35">
      <c r="A1079" s="8"/>
      <c r="B1079" s="8"/>
      <c r="C1079" s="8"/>
      <c r="D1079" s="28"/>
      <c r="E1079" s="8"/>
      <c r="F1079" s="8"/>
      <c r="G1079" s="8"/>
      <c r="H1079" s="28"/>
      <c r="I1079" s="28"/>
    </row>
    <row r="1080" spans="1:9" x14ac:dyDescent="0.35">
      <c r="A1080" s="8"/>
      <c r="B1080" s="8"/>
      <c r="C1080" s="8"/>
      <c r="D1080" s="28"/>
      <c r="E1080" s="8"/>
      <c r="F1080" s="8"/>
      <c r="G1080" s="8"/>
      <c r="H1080" s="28"/>
      <c r="I1080" s="28"/>
    </row>
    <row r="1081" spans="1:9" x14ac:dyDescent="0.35">
      <c r="A1081" s="8"/>
      <c r="B1081" s="8"/>
      <c r="C1081" s="8"/>
      <c r="D1081" s="28"/>
      <c r="E1081" s="8"/>
      <c r="F1081" s="8"/>
      <c r="G1081" s="8"/>
      <c r="H1081" s="28"/>
      <c r="I1081" s="28"/>
    </row>
    <row r="1082" spans="1:9" x14ac:dyDescent="0.35">
      <c r="A1082" s="8"/>
      <c r="B1082" s="8"/>
      <c r="C1082" s="8"/>
      <c r="D1082" s="28"/>
      <c r="E1082" s="8"/>
      <c r="F1082" s="8"/>
      <c r="G1082" s="8"/>
      <c r="H1082" s="28"/>
      <c r="I1082" s="28"/>
    </row>
    <row r="1083" spans="1:9" x14ac:dyDescent="0.35">
      <c r="A1083" s="8"/>
      <c r="B1083" s="8"/>
      <c r="C1083" s="8"/>
      <c r="D1083" s="28"/>
      <c r="E1083" s="8"/>
      <c r="F1083" s="8"/>
      <c r="G1083" s="8"/>
      <c r="H1083" s="28"/>
      <c r="I1083" s="28"/>
    </row>
    <row r="1084" spans="1:9" x14ac:dyDescent="0.35">
      <c r="A1084" s="8"/>
      <c r="B1084" s="8"/>
      <c r="C1084" s="8"/>
      <c r="D1084" s="28"/>
      <c r="E1084" s="8"/>
      <c r="F1084" s="8"/>
      <c r="G1084" s="8"/>
      <c r="H1084" s="28"/>
      <c r="I1084" s="28"/>
    </row>
    <row r="1085" spans="1:9" x14ac:dyDescent="0.35">
      <c r="A1085" s="8"/>
      <c r="B1085" s="8"/>
      <c r="C1085" s="8"/>
      <c r="D1085" s="28"/>
      <c r="E1085" s="8"/>
      <c r="F1085" s="8"/>
      <c r="G1085" s="8"/>
      <c r="H1085" s="28"/>
      <c r="I1085" s="28"/>
    </row>
    <row r="1086" spans="1:9" x14ac:dyDescent="0.35">
      <c r="A1086" s="8"/>
      <c r="B1086" s="8"/>
      <c r="C1086" s="8"/>
      <c r="D1086" s="28"/>
      <c r="E1086" s="8"/>
      <c r="F1086" s="8"/>
      <c r="G1086" s="8"/>
      <c r="H1086" s="28"/>
      <c r="I1086" s="28"/>
    </row>
    <row r="1087" spans="1:9" x14ac:dyDescent="0.35">
      <c r="A1087" s="8"/>
      <c r="B1087" s="8"/>
      <c r="C1087" s="8"/>
      <c r="D1087" s="28"/>
      <c r="E1087" s="8"/>
      <c r="F1087" s="8"/>
      <c r="G1087" s="8"/>
      <c r="H1087" s="28"/>
      <c r="I1087" s="28"/>
    </row>
    <row r="1088" spans="1:9" x14ac:dyDescent="0.35">
      <c r="A1088" s="8"/>
      <c r="B1088" s="8"/>
      <c r="C1088" s="8"/>
      <c r="D1088" s="28"/>
      <c r="E1088" s="8"/>
      <c r="F1088" s="8"/>
      <c r="G1088" s="8"/>
      <c r="H1088" s="28"/>
      <c r="I1088" s="28"/>
    </row>
    <row r="1089" spans="1:9" x14ac:dyDescent="0.35">
      <c r="A1089" s="8"/>
      <c r="B1089" s="8"/>
      <c r="C1089" s="8"/>
      <c r="D1089" s="28"/>
      <c r="E1089" s="8"/>
      <c r="F1089" s="8"/>
      <c r="G1089" s="8"/>
      <c r="H1089" s="28"/>
      <c r="I1089" s="28"/>
    </row>
    <row r="1090" spans="1:9" x14ac:dyDescent="0.35">
      <c r="A1090" s="8"/>
      <c r="B1090" s="8"/>
      <c r="C1090" s="8"/>
      <c r="D1090" s="28"/>
      <c r="E1090" s="8"/>
      <c r="F1090" s="8"/>
      <c r="G1090" s="8"/>
      <c r="H1090" s="28"/>
      <c r="I1090" s="28"/>
    </row>
    <row r="1091" spans="1:9" x14ac:dyDescent="0.35">
      <c r="A1091" s="8"/>
      <c r="B1091" s="8"/>
      <c r="C1091" s="8"/>
      <c r="D1091" s="28"/>
      <c r="E1091" s="8"/>
      <c r="F1091" s="8"/>
      <c r="G1091" s="8"/>
      <c r="H1091" s="28"/>
      <c r="I1091" s="28"/>
    </row>
    <row r="1092" spans="1:9" x14ac:dyDescent="0.35">
      <c r="A1092" s="8"/>
      <c r="B1092" s="8"/>
      <c r="C1092" s="8"/>
      <c r="D1092" s="28"/>
      <c r="E1092" s="8"/>
      <c r="F1092" s="8"/>
      <c r="G1092" s="8"/>
      <c r="H1092" s="28"/>
      <c r="I1092" s="28"/>
    </row>
    <row r="1093" spans="1:9" x14ac:dyDescent="0.35">
      <c r="A1093" s="8"/>
      <c r="B1093" s="8"/>
      <c r="C1093" s="8"/>
      <c r="D1093" s="28"/>
      <c r="E1093" s="8"/>
      <c r="F1093" s="8"/>
      <c r="G1093" s="8"/>
      <c r="H1093" s="28"/>
      <c r="I1093" s="28"/>
    </row>
    <row r="1094" spans="1:9" x14ac:dyDescent="0.35">
      <c r="A1094" s="8"/>
      <c r="B1094" s="8"/>
      <c r="C1094" s="8"/>
      <c r="D1094" s="28"/>
      <c r="E1094" s="8"/>
      <c r="F1094" s="8"/>
      <c r="G1094" s="8"/>
      <c r="H1094" s="28"/>
      <c r="I1094" s="28"/>
    </row>
    <row r="1095" spans="1:9" x14ac:dyDescent="0.35">
      <c r="A1095" s="8"/>
      <c r="B1095" s="8"/>
      <c r="C1095" s="8"/>
      <c r="D1095" s="28"/>
      <c r="E1095" s="8"/>
      <c r="F1095" s="8"/>
      <c r="G1095" s="8"/>
      <c r="H1095" s="28"/>
      <c r="I1095" s="28"/>
    </row>
    <row r="1096" spans="1:9" x14ac:dyDescent="0.35">
      <c r="A1096" s="8"/>
      <c r="B1096" s="8"/>
      <c r="C1096" s="8"/>
      <c r="D1096" s="28"/>
      <c r="E1096" s="8"/>
      <c r="F1096" s="8"/>
      <c r="G1096" s="8"/>
      <c r="H1096" s="28"/>
      <c r="I1096" s="28"/>
    </row>
    <row r="1097" spans="1:9" x14ac:dyDescent="0.35">
      <c r="A1097" s="8"/>
      <c r="B1097" s="8"/>
      <c r="C1097" s="8"/>
      <c r="D1097" s="28"/>
      <c r="E1097" s="8"/>
      <c r="F1097" s="8"/>
      <c r="G1097" s="8"/>
      <c r="H1097" s="28"/>
      <c r="I1097" s="28"/>
    </row>
    <row r="1098" spans="1:9" x14ac:dyDescent="0.35">
      <c r="A1098" s="8"/>
      <c r="B1098" s="8"/>
      <c r="C1098" s="8"/>
      <c r="D1098" s="28"/>
      <c r="E1098" s="8"/>
      <c r="F1098" s="8"/>
      <c r="G1098" s="8"/>
      <c r="H1098" s="28"/>
      <c r="I1098" s="28"/>
    </row>
    <row r="1099" spans="1:9" x14ac:dyDescent="0.35">
      <c r="A1099" s="8"/>
      <c r="B1099" s="8"/>
      <c r="C1099" s="8"/>
      <c r="D1099" s="28"/>
      <c r="E1099" s="8"/>
      <c r="F1099" s="8"/>
      <c r="G1099" s="8"/>
      <c r="H1099" s="28"/>
      <c r="I1099" s="28"/>
    </row>
    <row r="1100" spans="1:9" x14ac:dyDescent="0.35">
      <c r="A1100" s="8"/>
      <c r="B1100" s="8"/>
      <c r="C1100" s="8"/>
      <c r="D1100" s="28"/>
      <c r="E1100" s="8"/>
      <c r="F1100" s="8"/>
      <c r="G1100" s="8"/>
      <c r="H1100" s="28"/>
      <c r="I1100" s="28"/>
    </row>
    <row r="1101" spans="1:9" x14ac:dyDescent="0.35">
      <c r="A1101" s="8"/>
      <c r="B1101" s="8"/>
      <c r="C1101" s="8"/>
      <c r="D1101" s="28"/>
      <c r="E1101" s="8"/>
      <c r="F1101" s="8"/>
      <c r="G1101" s="8"/>
      <c r="H1101" s="28"/>
      <c r="I1101" s="28"/>
    </row>
    <row r="1102" spans="1:9" x14ac:dyDescent="0.35">
      <c r="A1102" s="8"/>
      <c r="B1102" s="8"/>
      <c r="C1102" s="8"/>
      <c r="D1102" s="28"/>
      <c r="E1102" s="8"/>
      <c r="F1102" s="8"/>
      <c r="G1102" s="8"/>
      <c r="H1102" s="28"/>
      <c r="I1102" s="28"/>
    </row>
    <row r="1103" spans="1:9" x14ac:dyDescent="0.35">
      <c r="A1103" s="8"/>
      <c r="B1103" s="8"/>
      <c r="C1103" s="8"/>
      <c r="D1103" s="28"/>
      <c r="E1103" s="8"/>
      <c r="F1103" s="8"/>
      <c r="G1103" s="8"/>
      <c r="H1103" s="28"/>
      <c r="I1103" s="28"/>
    </row>
    <row r="1104" spans="1:9" x14ac:dyDescent="0.35">
      <c r="A1104" s="8"/>
      <c r="B1104" s="8"/>
      <c r="C1104" s="8"/>
      <c r="D1104" s="28"/>
      <c r="E1104" s="8"/>
      <c r="F1104" s="8"/>
      <c r="G1104" s="8"/>
      <c r="H1104" s="28"/>
      <c r="I1104" s="28"/>
    </row>
    <row r="1105" spans="1:9" x14ac:dyDescent="0.35">
      <c r="A1105" s="8"/>
      <c r="B1105" s="8"/>
      <c r="C1105" s="8"/>
      <c r="D1105" s="28"/>
      <c r="E1105" s="8"/>
      <c r="F1105" s="8"/>
      <c r="G1105" s="8"/>
      <c r="H1105" s="28"/>
      <c r="I1105" s="28"/>
    </row>
    <row r="1106" spans="1:9" x14ac:dyDescent="0.35">
      <c r="A1106" s="8"/>
      <c r="B1106" s="8"/>
      <c r="C1106" s="8"/>
      <c r="D1106" s="28"/>
      <c r="E1106" s="8"/>
      <c r="F1106" s="8"/>
      <c r="G1106" s="8"/>
      <c r="H1106" s="28"/>
      <c r="I1106" s="28"/>
    </row>
    <row r="1107" spans="1:9" x14ac:dyDescent="0.35">
      <c r="A1107" s="8"/>
      <c r="B1107" s="8"/>
      <c r="C1107" s="8"/>
      <c r="D1107" s="28"/>
      <c r="E1107" s="8"/>
      <c r="F1107" s="8"/>
      <c r="G1107" s="8"/>
      <c r="H1107" s="28"/>
      <c r="I1107" s="28"/>
    </row>
    <row r="1108" spans="1:9" x14ac:dyDescent="0.35">
      <c r="A1108" s="8"/>
      <c r="B1108" s="8"/>
      <c r="C1108" s="8"/>
      <c r="D1108" s="28"/>
      <c r="E1108" s="8"/>
      <c r="F1108" s="8"/>
      <c r="G1108" s="8"/>
      <c r="H1108" s="28"/>
      <c r="I1108" s="28"/>
    </row>
    <row r="1109" spans="1:9" x14ac:dyDescent="0.35">
      <c r="A1109" s="8"/>
      <c r="B1109" s="8"/>
      <c r="C1109" s="8"/>
      <c r="D1109" s="28"/>
      <c r="E1109" s="8"/>
      <c r="F1109" s="8"/>
      <c r="G1109" s="8"/>
      <c r="H1109" s="28"/>
      <c r="I1109" s="28"/>
    </row>
    <row r="1110" spans="1:9" x14ac:dyDescent="0.35">
      <c r="A1110" s="8"/>
      <c r="B1110" s="8"/>
      <c r="C1110" s="8"/>
      <c r="D1110" s="28"/>
      <c r="E1110" s="8"/>
      <c r="F1110" s="8"/>
      <c r="G1110" s="8"/>
      <c r="H1110" s="28"/>
      <c r="I1110" s="28"/>
    </row>
    <row r="1111" spans="1:9" x14ac:dyDescent="0.35">
      <c r="A1111" s="8"/>
      <c r="B1111" s="8"/>
      <c r="C1111" s="8"/>
      <c r="D1111" s="28"/>
      <c r="E1111" s="8"/>
      <c r="F1111" s="8"/>
      <c r="G1111" s="8"/>
      <c r="H1111" s="28"/>
      <c r="I1111" s="28"/>
    </row>
    <row r="1112" spans="1:9" x14ac:dyDescent="0.35">
      <c r="A1112" s="8"/>
      <c r="B1112" s="8"/>
      <c r="C1112" s="8"/>
      <c r="D1112" s="28"/>
      <c r="E1112" s="8"/>
      <c r="F1112" s="8"/>
      <c r="G1112" s="8"/>
      <c r="H1112" s="28"/>
      <c r="I1112" s="28"/>
    </row>
    <row r="1113" spans="1:9" x14ac:dyDescent="0.35">
      <c r="A1113" s="8"/>
      <c r="B1113" s="8"/>
      <c r="C1113" s="8"/>
      <c r="D1113" s="28"/>
      <c r="E1113" s="8"/>
      <c r="F1113" s="8"/>
      <c r="G1113" s="8"/>
      <c r="H1113" s="28"/>
      <c r="I1113" s="28"/>
    </row>
    <row r="1114" spans="1:9" x14ac:dyDescent="0.35">
      <c r="A1114" s="8"/>
      <c r="B1114" s="8"/>
      <c r="C1114" s="8"/>
      <c r="D1114" s="28"/>
      <c r="E1114" s="8"/>
      <c r="F1114" s="8"/>
      <c r="G1114" s="8"/>
      <c r="H1114" s="28"/>
      <c r="I1114" s="28"/>
    </row>
    <row r="1115" spans="1:9" x14ac:dyDescent="0.35">
      <c r="A1115" s="8"/>
      <c r="B1115" s="8"/>
      <c r="C1115" s="8"/>
      <c r="D1115" s="28"/>
      <c r="E1115" s="8"/>
      <c r="F1115" s="8"/>
      <c r="G1115" s="8"/>
      <c r="H1115" s="28"/>
      <c r="I1115" s="28"/>
    </row>
    <row r="1116" spans="1:9" x14ac:dyDescent="0.35">
      <c r="A1116" s="8"/>
      <c r="B1116" s="8"/>
      <c r="C1116" s="8"/>
      <c r="D1116" s="28"/>
      <c r="E1116" s="8"/>
      <c r="F1116" s="8"/>
      <c r="G1116" s="8"/>
      <c r="H1116" s="28"/>
      <c r="I1116" s="28"/>
    </row>
    <row r="1117" spans="1:9" x14ac:dyDescent="0.35">
      <c r="A1117" s="8"/>
      <c r="B1117" s="8"/>
      <c r="C1117" s="8"/>
      <c r="D1117" s="28"/>
      <c r="E1117" s="8"/>
      <c r="F1117" s="8"/>
      <c r="G1117" s="8"/>
      <c r="H1117" s="28"/>
      <c r="I1117" s="28"/>
    </row>
    <row r="1118" spans="1:9" x14ac:dyDescent="0.35">
      <c r="A1118" s="8"/>
      <c r="B1118" s="8"/>
      <c r="C1118" s="8"/>
      <c r="D1118" s="28"/>
      <c r="E1118" s="8"/>
      <c r="F1118" s="8"/>
      <c r="G1118" s="8"/>
      <c r="H1118" s="28"/>
      <c r="I1118" s="28"/>
    </row>
    <row r="1119" spans="1:9" x14ac:dyDescent="0.35">
      <c r="A1119" s="8"/>
      <c r="B1119" s="8"/>
      <c r="C1119" s="8"/>
      <c r="D1119" s="28"/>
      <c r="E1119" s="8"/>
      <c r="F1119" s="8"/>
      <c r="G1119" s="8"/>
      <c r="H1119" s="28"/>
      <c r="I1119" s="28"/>
    </row>
    <row r="1120" spans="1:9" x14ac:dyDescent="0.35">
      <c r="A1120" s="8"/>
      <c r="B1120" s="8"/>
      <c r="C1120" s="8"/>
      <c r="D1120" s="28"/>
      <c r="E1120" s="8"/>
      <c r="F1120" s="8"/>
      <c r="G1120" s="8"/>
      <c r="H1120" s="28"/>
      <c r="I1120" s="28"/>
    </row>
    <row r="1121" spans="1:9" x14ac:dyDescent="0.35">
      <c r="A1121" s="8"/>
      <c r="B1121" s="8"/>
      <c r="C1121" s="8"/>
      <c r="D1121" s="28"/>
      <c r="E1121" s="8"/>
      <c r="F1121" s="8"/>
      <c r="G1121" s="8"/>
      <c r="H1121" s="28"/>
      <c r="I1121" s="28"/>
    </row>
    <row r="1122" spans="1:9" x14ac:dyDescent="0.35">
      <c r="A1122" s="8"/>
      <c r="B1122" s="8"/>
      <c r="C1122" s="8"/>
      <c r="D1122" s="28"/>
      <c r="E1122" s="8"/>
      <c r="F1122" s="8"/>
      <c r="G1122" s="8"/>
      <c r="H1122" s="28"/>
      <c r="I1122" s="28"/>
    </row>
    <row r="1123" spans="1:9" x14ac:dyDescent="0.35">
      <c r="A1123" s="8"/>
      <c r="B1123" s="8"/>
      <c r="C1123" s="8"/>
      <c r="D1123" s="28"/>
      <c r="E1123" s="8"/>
      <c r="F1123" s="8"/>
      <c r="G1123" s="8"/>
      <c r="H1123" s="28"/>
      <c r="I1123" s="28"/>
    </row>
    <row r="1124" spans="1:9" x14ac:dyDescent="0.35">
      <c r="A1124" s="8"/>
      <c r="B1124" s="8"/>
      <c r="C1124" s="8"/>
      <c r="D1124" s="28"/>
      <c r="E1124" s="8"/>
      <c r="F1124" s="8"/>
      <c r="G1124" s="8"/>
      <c r="H1124" s="28"/>
      <c r="I1124" s="28"/>
    </row>
    <row r="1125" spans="1:9" x14ac:dyDescent="0.35">
      <c r="A1125" s="8"/>
      <c r="B1125" s="8"/>
      <c r="C1125" s="8"/>
      <c r="D1125" s="28"/>
      <c r="E1125" s="8"/>
      <c r="F1125" s="8"/>
      <c r="G1125" s="8"/>
      <c r="H1125" s="28"/>
      <c r="I1125" s="28"/>
    </row>
    <row r="1126" spans="1:9" x14ac:dyDescent="0.35">
      <c r="A1126" s="8"/>
      <c r="B1126" s="8"/>
      <c r="C1126" s="8"/>
      <c r="D1126" s="28"/>
      <c r="E1126" s="8"/>
      <c r="F1126" s="8"/>
      <c r="G1126" s="8"/>
      <c r="H1126" s="28"/>
      <c r="I1126" s="28"/>
    </row>
    <row r="1127" spans="1:9" x14ac:dyDescent="0.35">
      <c r="A1127" s="8"/>
      <c r="B1127" s="8"/>
      <c r="C1127" s="8"/>
      <c r="D1127" s="28"/>
      <c r="E1127" s="8"/>
      <c r="F1127" s="8"/>
      <c r="G1127" s="8"/>
      <c r="H1127" s="28"/>
      <c r="I1127" s="28"/>
    </row>
    <row r="1128" spans="1:9" x14ac:dyDescent="0.35">
      <c r="A1128" s="8"/>
      <c r="B1128" s="8"/>
      <c r="C1128" s="8"/>
      <c r="D1128" s="28"/>
      <c r="E1128" s="8"/>
      <c r="F1128" s="8"/>
      <c r="G1128" s="8"/>
      <c r="H1128" s="28"/>
      <c r="I1128" s="28"/>
    </row>
    <row r="1129" spans="1:9" x14ac:dyDescent="0.35">
      <c r="A1129" s="8"/>
      <c r="B1129" s="8"/>
      <c r="C1129" s="8"/>
      <c r="D1129" s="28"/>
      <c r="E1129" s="8"/>
      <c r="F1129" s="8"/>
      <c r="G1129" s="8"/>
      <c r="H1129" s="28"/>
      <c r="I1129" s="28"/>
    </row>
    <row r="1130" spans="1:9" x14ac:dyDescent="0.35">
      <c r="A1130" s="8"/>
      <c r="B1130" s="8"/>
      <c r="C1130" s="8"/>
      <c r="D1130" s="28"/>
      <c r="E1130" s="8"/>
      <c r="F1130" s="8"/>
      <c r="G1130" s="8"/>
      <c r="H1130" s="28"/>
      <c r="I1130" s="28"/>
    </row>
    <row r="1131" spans="1:9" x14ac:dyDescent="0.35">
      <c r="A1131" s="8"/>
      <c r="B1131" s="8"/>
      <c r="C1131" s="8"/>
      <c r="D1131" s="28"/>
      <c r="E1131" s="8"/>
      <c r="F1131" s="8"/>
      <c r="G1131" s="8"/>
      <c r="H1131" s="28"/>
      <c r="I1131" s="28"/>
    </row>
    <row r="1132" spans="1:9" x14ac:dyDescent="0.35">
      <c r="A1132" s="8"/>
      <c r="B1132" s="8"/>
      <c r="C1132" s="8"/>
      <c r="D1132" s="28"/>
      <c r="E1132" s="8"/>
      <c r="F1132" s="8"/>
      <c r="G1132" s="8"/>
      <c r="H1132" s="28"/>
      <c r="I1132" s="28"/>
    </row>
    <row r="1133" spans="1:9" x14ac:dyDescent="0.35">
      <c r="A1133" s="8"/>
      <c r="B1133" s="8"/>
      <c r="C1133" s="8"/>
      <c r="D1133" s="28"/>
      <c r="E1133" s="8"/>
      <c r="F1133" s="8"/>
      <c r="G1133" s="8"/>
      <c r="H1133" s="28"/>
      <c r="I1133" s="28"/>
    </row>
    <row r="1134" spans="1:9" x14ac:dyDescent="0.35">
      <c r="A1134" s="8"/>
      <c r="B1134" s="8"/>
      <c r="C1134" s="8"/>
      <c r="D1134" s="28"/>
      <c r="E1134" s="8"/>
      <c r="F1134" s="8"/>
      <c r="G1134" s="8"/>
      <c r="H1134" s="28"/>
      <c r="I1134" s="28"/>
    </row>
    <row r="1135" spans="1:9" x14ac:dyDescent="0.35">
      <c r="A1135" s="8"/>
      <c r="B1135" s="8"/>
      <c r="C1135" s="8"/>
      <c r="D1135" s="28"/>
      <c r="E1135" s="8"/>
      <c r="F1135" s="8"/>
      <c r="G1135" s="8"/>
      <c r="H1135" s="28"/>
      <c r="I1135" s="28"/>
    </row>
    <row r="1136" spans="1:9" x14ac:dyDescent="0.35">
      <c r="A1136" s="8"/>
      <c r="B1136" s="8"/>
      <c r="C1136" s="8"/>
      <c r="D1136" s="28"/>
      <c r="E1136" s="8"/>
      <c r="F1136" s="8"/>
      <c r="G1136" s="8"/>
      <c r="H1136" s="28"/>
      <c r="I1136" s="28"/>
    </row>
    <row r="1137" spans="1:9" x14ac:dyDescent="0.35">
      <c r="A1137" s="8"/>
      <c r="B1137" s="8"/>
      <c r="C1137" s="8"/>
      <c r="D1137" s="28"/>
      <c r="E1137" s="8"/>
      <c r="F1137" s="8"/>
      <c r="G1137" s="8"/>
      <c r="H1137" s="28"/>
      <c r="I1137" s="28"/>
    </row>
    <row r="1138" spans="1:9" x14ac:dyDescent="0.35">
      <c r="A1138" s="8"/>
      <c r="B1138" s="8"/>
      <c r="C1138" s="8"/>
      <c r="D1138" s="28"/>
      <c r="E1138" s="8"/>
      <c r="F1138" s="8"/>
      <c r="G1138" s="8"/>
      <c r="H1138" s="28"/>
      <c r="I1138" s="28"/>
    </row>
    <row r="1139" spans="1:9" x14ac:dyDescent="0.35">
      <c r="A1139" s="8"/>
      <c r="B1139" s="8"/>
      <c r="C1139" s="8"/>
      <c r="D1139" s="28"/>
      <c r="E1139" s="8"/>
      <c r="F1139" s="8"/>
      <c r="G1139" s="8"/>
      <c r="H1139" s="28"/>
      <c r="I1139" s="28"/>
    </row>
    <row r="1140" spans="1:9" x14ac:dyDescent="0.35">
      <c r="A1140" s="8"/>
      <c r="B1140" s="8"/>
      <c r="C1140" s="8"/>
      <c r="D1140" s="28"/>
      <c r="E1140" s="8"/>
      <c r="F1140" s="8"/>
      <c r="G1140" s="8"/>
      <c r="H1140" s="28"/>
      <c r="I1140" s="28"/>
    </row>
    <row r="1141" spans="1:9" x14ac:dyDescent="0.35">
      <c r="A1141" s="8"/>
      <c r="B1141" s="8"/>
      <c r="C1141" s="8"/>
      <c r="D1141" s="28"/>
      <c r="E1141" s="8"/>
      <c r="F1141" s="8"/>
      <c r="G1141" s="8"/>
      <c r="H1141" s="28"/>
      <c r="I1141" s="28"/>
    </row>
    <row r="1142" spans="1:9" x14ac:dyDescent="0.35">
      <c r="A1142" s="8"/>
      <c r="B1142" s="8"/>
      <c r="C1142" s="8"/>
      <c r="D1142" s="28"/>
      <c r="E1142" s="8"/>
      <c r="F1142" s="8"/>
      <c r="G1142" s="8"/>
      <c r="H1142" s="28"/>
      <c r="I1142" s="28"/>
    </row>
    <row r="1143" spans="1:9" x14ac:dyDescent="0.35">
      <c r="A1143" s="8"/>
      <c r="B1143" s="8"/>
      <c r="C1143" s="8"/>
      <c r="D1143" s="28"/>
      <c r="E1143" s="8"/>
      <c r="F1143" s="8"/>
      <c r="G1143" s="8"/>
      <c r="H1143" s="28"/>
      <c r="I1143" s="28"/>
    </row>
    <row r="1144" spans="1:9" x14ac:dyDescent="0.35">
      <c r="A1144" s="8"/>
      <c r="B1144" s="8"/>
      <c r="C1144" s="8"/>
      <c r="D1144" s="28"/>
      <c r="E1144" s="8"/>
      <c r="F1144" s="8"/>
      <c r="G1144" s="8"/>
      <c r="H1144" s="28"/>
      <c r="I1144" s="28"/>
    </row>
    <row r="1145" spans="1:9" x14ac:dyDescent="0.35">
      <c r="A1145" s="8"/>
      <c r="B1145" s="8"/>
      <c r="C1145" s="8"/>
      <c r="D1145" s="28"/>
      <c r="E1145" s="8"/>
      <c r="F1145" s="8"/>
      <c r="G1145" s="8"/>
      <c r="H1145" s="28"/>
      <c r="I1145" s="28"/>
    </row>
    <row r="1146" spans="1:9" x14ac:dyDescent="0.35">
      <c r="A1146" s="8"/>
      <c r="B1146" s="8"/>
      <c r="C1146" s="8"/>
      <c r="D1146" s="28"/>
      <c r="E1146" s="8"/>
      <c r="F1146" s="8"/>
      <c r="G1146" s="8"/>
      <c r="H1146" s="28"/>
      <c r="I1146" s="28"/>
    </row>
    <row r="1147" spans="1:9" x14ac:dyDescent="0.35">
      <c r="A1147" s="8"/>
      <c r="B1147" s="8"/>
      <c r="C1147" s="8"/>
      <c r="D1147" s="28"/>
      <c r="E1147" s="8"/>
      <c r="F1147" s="8"/>
      <c r="G1147" s="8"/>
      <c r="H1147" s="28"/>
      <c r="I1147" s="28"/>
    </row>
    <row r="1148" spans="1:9" x14ac:dyDescent="0.35">
      <c r="A1148" s="8"/>
      <c r="B1148" s="8"/>
      <c r="C1148" s="8"/>
      <c r="D1148" s="28"/>
      <c r="E1148" s="8"/>
      <c r="F1148" s="8"/>
      <c r="G1148" s="8"/>
      <c r="H1148" s="28"/>
      <c r="I1148" s="28"/>
    </row>
    <row r="1149" spans="1:9" x14ac:dyDescent="0.35">
      <c r="A1149" s="8"/>
      <c r="B1149" s="8"/>
      <c r="C1149" s="8"/>
      <c r="D1149" s="28"/>
      <c r="E1149" s="8"/>
      <c r="F1149" s="8"/>
      <c r="G1149" s="8"/>
      <c r="H1149" s="28"/>
      <c r="I1149" s="28"/>
    </row>
    <row r="1150" spans="1:9" x14ac:dyDescent="0.35">
      <c r="A1150" s="8"/>
      <c r="B1150" s="8"/>
      <c r="C1150" s="8"/>
      <c r="D1150" s="28"/>
      <c r="E1150" s="8"/>
      <c r="F1150" s="8"/>
      <c r="G1150" s="8"/>
      <c r="H1150" s="28"/>
      <c r="I1150" s="28"/>
    </row>
    <row r="1151" spans="1:9" x14ac:dyDescent="0.35">
      <c r="A1151" s="8"/>
      <c r="B1151" s="8"/>
      <c r="C1151" s="8"/>
      <c r="D1151" s="28"/>
      <c r="E1151" s="8"/>
      <c r="F1151" s="8"/>
      <c r="G1151" s="8"/>
      <c r="H1151" s="28"/>
      <c r="I1151" s="28"/>
    </row>
    <row r="1152" spans="1:9" x14ac:dyDescent="0.35">
      <c r="A1152" s="8"/>
      <c r="B1152" s="8"/>
      <c r="C1152" s="8"/>
      <c r="D1152" s="28"/>
      <c r="E1152" s="8"/>
      <c r="F1152" s="8"/>
      <c r="G1152" s="8"/>
      <c r="H1152" s="28"/>
      <c r="I1152" s="28"/>
    </row>
    <row r="1153" spans="1:9" x14ac:dyDescent="0.35">
      <c r="A1153" s="8"/>
      <c r="B1153" s="8"/>
      <c r="C1153" s="8"/>
      <c r="D1153" s="28"/>
      <c r="E1153" s="8"/>
      <c r="F1153" s="8"/>
      <c r="G1153" s="8"/>
      <c r="H1153" s="28"/>
      <c r="I1153" s="28"/>
    </row>
    <row r="1154" spans="1:9" x14ac:dyDescent="0.35">
      <c r="A1154" s="8"/>
      <c r="B1154" s="8"/>
      <c r="C1154" s="8"/>
      <c r="D1154" s="28"/>
      <c r="E1154" s="8"/>
      <c r="F1154" s="8"/>
      <c r="G1154" s="8"/>
      <c r="H1154" s="28"/>
      <c r="I1154" s="28"/>
    </row>
    <row r="1155" spans="1:9" x14ac:dyDescent="0.35">
      <c r="A1155" s="8"/>
      <c r="B1155" s="8"/>
      <c r="C1155" s="8"/>
      <c r="D1155" s="28"/>
      <c r="E1155" s="8"/>
      <c r="F1155" s="8"/>
      <c r="G1155" s="8"/>
      <c r="H1155" s="28"/>
      <c r="I1155" s="28"/>
    </row>
    <row r="1156" spans="1:9" x14ac:dyDescent="0.35">
      <c r="A1156" s="8"/>
      <c r="B1156" s="8"/>
      <c r="C1156" s="8"/>
      <c r="D1156" s="28"/>
      <c r="E1156" s="8"/>
      <c r="F1156" s="8"/>
      <c r="G1156" s="8"/>
      <c r="H1156" s="28"/>
      <c r="I1156" s="28"/>
    </row>
    <row r="1157" spans="1:9" x14ac:dyDescent="0.35">
      <c r="A1157" s="8"/>
      <c r="B1157" s="8"/>
      <c r="C1157" s="8"/>
      <c r="D1157" s="28"/>
      <c r="E1157" s="8"/>
      <c r="F1157" s="8"/>
      <c r="G1157" s="8"/>
      <c r="H1157" s="28"/>
      <c r="I1157" s="28"/>
    </row>
    <row r="1158" spans="1:9" x14ac:dyDescent="0.35">
      <c r="A1158" s="8"/>
      <c r="B1158" s="8"/>
      <c r="C1158" s="8"/>
      <c r="D1158" s="28"/>
      <c r="E1158" s="8"/>
      <c r="F1158" s="8"/>
      <c r="G1158" s="8"/>
      <c r="H1158" s="28"/>
      <c r="I1158" s="28"/>
    </row>
    <row r="1159" spans="1:9" x14ac:dyDescent="0.35">
      <c r="A1159" s="8"/>
      <c r="B1159" s="8"/>
      <c r="C1159" s="8"/>
      <c r="D1159" s="28"/>
      <c r="E1159" s="8"/>
      <c r="F1159" s="8"/>
      <c r="G1159" s="8"/>
      <c r="H1159" s="28"/>
      <c r="I1159" s="28"/>
    </row>
    <row r="1160" spans="1:9" x14ac:dyDescent="0.35">
      <c r="A1160" s="8"/>
      <c r="B1160" s="8"/>
      <c r="C1160" s="8"/>
      <c r="D1160" s="28"/>
      <c r="E1160" s="8"/>
      <c r="F1160" s="8"/>
      <c r="G1160" s="8"/>
      <c r="H1160" s="28"/>
      <c r="I1160" s="28"/>
    </row>
    <row r="1161" spans="1:9" x14ac:dyDescent="0.35">
      <c r="A1161" s="8"/>
      <c r="B1161" s="8"/>
      <c r="C1161" s="8"/>
      <c r="D1161" s="28"/>
      <c r="E1161" s="8"/>
      <c r="F1161" s="8"/>
      <c r="G1161" s="8"/>
      <c r="H1161" s="28"/>
      <c r="I1161" s="28"/>
    </row>
    <row r="1162" spans="1:9" x14ac:dyDescent="0.35">
      <c r="A1162" s="8"/>
      <c r="B1162" s="8"/>
      <c r="C1162" s="8"/>
      <c r="D1162" s="28"/>
      <c r="E1162" s="8"/>
      <c r="F1162" s="8"/>
      <c r="G1162" s="8"/>
      <c r="H1162" s="28"/>
      <c r="I1162" s="28"/>
    </row>
    <row r="1163" spans="1:9" x14ac:dyDescent="0.35">
      <c r="A1163" s="8"/>
      <c r="B1163" s="8"/>
      <c r="C1163" s="8"/>
      <c r="D1163" s="28"/>
      <c r="E1163" s="8"/>
      <c r="F1163" s="8"/>
      <c r="G1163" s="8"/>
      <c r="H1163" s="28"/>
      <c r="I1163" s="28"/>
    </row>
    <row r="1164" spans="1:9" x14ac:dyDescent="0.35">
      <c r="A1164" s="8"/>
      <c r="B1164" s="8"/>
      <c r="C1164" s="8"/>
      <c r="D1164" s="28"/>
      <c r="E1164" s="8"/>
      <c r="F1164" s="8"/>
      <c r="G1164" s="8"/>
      <c r="H1164" s="28"/>
      <c r="I1164" s="28"/>
    </row>
    <row r="1165" spans="1:9" x14ac:dyDescent="0.35">
      <c r="A1165" s="8"/>
      <c r="B1165" s="8"/>
      <c r="C1165" s="8"/>
      <c r="D1165" s="28"/>
      <c r="E1165" s="8"/>
      <c r="F1165" s="8"/>
      <c r="G1165" s="8"/>
      <c r="H1165" s="28"/>
      <c r="I1165" s="28"/>
    </row>
    <row r="1166" spans="1:9" x14ac:dyDescent="0.35">
      <c r="A1166" s="8"/>
      <c r="B1166" s="8"/>
      <c r="C1166" s="8"/>
      <c r="D1166" s="28"/>
      <c r="E1166" s="8"/>
      <c r="F1166" s="8"/>
      <c r="G1166" s="8"/>
      <c r="H1166" s="28"/>
      <c r="I1166" s="28"/>
    </row>
    <row r="1167" spans="1:9" x14ac:dyDescent="0.35">
      <c r="A1167" s="8"/>
      <c r="B1167" s="8"/>
      <c r="C1167" s="8"/>
      <c r="D1167" s="28"/>
      <c r="E1167" s="8"/>
      <c r="F1167" s="8"/>
      <c r="G1167" s="8"/>
      <c r="H1167" s="28"/>
      <c r="I1167" s="28"/>
    </row>
    <row r="1168" spans="1:9" x14ac:dyDescent="0.35">
      <c r="A1168" s="8"/>
      <c r="B1168" s="8"/>
      <c r="C1168" s="8"/>
      <c r="D1168" s="28"/>
      <c r="E1168" s="8"/>
      <c r="F1168" s="8"/>
      <c r="G1168" s="8"/>
      <c r="H1168" s="28"/>
      <c r="I1168" s="28"/>
    </row>
    <row r="1169" spans="1:9" x14ac:dyDescent="0.35">
      <c r="A1169" s="8"/>
      <c r="B1169" s="8"/>
      <c r="C1169" s="8"/>
      <c r="D1169" s="28"/>
      <c r="E1169" s="8"/>
      <c r="F1169" s="8"/>
      <c r="G1169" s="8"/>
      <c r="H1169" s="28"/>
      <c r="I1169" s="28"/>
    </row>
    <row r="1170" spans="1:9" x14ac:dyDescent="0.35">
      <c r="A1170" s="8"/>
      <c r="B1170" s="8"/>
      <c r="C1170" s="8"/>
      <c r="D1170" s="28"/>
      <c r="E1170" s="8"/>
      <c r="F1170" s="8"/>
      <c r="G1170" s="8"/>
      <c r="H1170" s="28"/>
      <c r="I1170" s="28"/>
    </row>
    <row r="1171" spans="1:9" x14ac:dyDescent="0.35">
      <c r="A1171" s="8"/>
      <c r="B1171" s="8"/>
      <c r="C1171" s="8"/>
      <c r="D1171" s="28"/>
      <c r="E1171" s="8"/>
      <c r="F1171" s="8"/>
      <c r="G1171" s="8"/>
      <c r="H1171" s="28"/>
      <c r="I1171" s="28"/>
    </row>
    <row r="1172" spans="1:9" x14ac:dyDescent="0.35">
      <c r="A1172" s="8"/>
      <c r="B1172" s="8"/>
      <c r="C1172" s="8"/>
      <c r="D1172" s="28"/>
      <c r="E1172" s="8"/>
      <c r="F1172" s="8"/>
      <c r="G1172" s="8"/>
      <c r="H1172" s="28"/>
      <c r="I1172" s="28"/>
    </row>
    <row r="1173" spans="1:9" x14ac:dyDescent="0.35">
      <c r="A1173" s="8"/>
      <c r="B1173" s="8"/>
      <c r="C1173" s="8"/>
      <c r="D1173" s="28"/>
      <c r="E1173" s="8"/>
      <c r="F1173" s="8"/>
      <c r="G1173" s="8"/>
      <c r="H1173" s="28"/>
      <c r="I1173" s="28"/>
    </row>
    <row r="1174" spans="1:9" x14ac:dyDescent="0.35">
      <c r="A1174" s="8"/>
      <c r="B1174" s="8"/>
      <c r="C1174" s="8"/>
      <c r="D1174" s="28"/>
      <c r="E1174" s="8"/>
      <c r="F1174" s="8"/>
      <c r="G1174" s="8"/>
      <c r="H1174" s="28"/>
      <c r="I1174" s="28"/>
    </row>
    <row r="1175" spans="1:9" x14ac:dyDescent="0.35">
      <c r="A1175" s="8"/>
      <c r="B1175" s="8"/>
      <c r="C1175" s="8"/>
      <c r="D1175" s="28"/>
      <c r="E1175" s="8"/>
      <c r="F1175" s="8"/>
      <c r="G1175" s="8"/>
      <c r="H1175" s="28"/>
      <c r="I1175" s="28"/>
    </row>
    <row r="1176" spans="1:9" x14ac:dyDescent="0.35">
      <c r="A1176" s="8"/>
      <c r="B1176" s="8"/>
      <c r="C1176" s="8"/>
      <c r="D1176" s="28"/>
      <c r="E1176" s="8"/>
      <c r="F1176" s="8"/>
      <c r="G1176" s="8"/>
      <c r="H1176" s="28"/>
      <c r="I1176" s="28"/>
    </row>
    <row r="1177" spans="1:9" x14ac:dyDescent="0.35">
      <c r="A1177" s="8"/>
      <c r="B1177" s="8"/>
      <c r="C1177" s="8"/>
      <c r="D1177" s="28"/>
      <c r="E1177" s="8"/>
      <c r="F1177" s="8"/>
      <c r="G1177" s="8"/>
      <c r="H1177" s="28"/>
      <c r="I1177" s="28"/>
    </row>
    <row r="1178" spans="1:9" x14ac:dyDescent="0.35">
      <c r="A1178" s="8"/>
      <c r="B1178" s="8"/>
      <c r="C1178" s="8"/>
      <c r="D1178" s="28"/>
      <c r="E1178" s="8"/>
      <c r="F1178" s="8"/>
      <c r="G1178" s="8"/>
      <c r="H1178" s="28"/>
      <c r="I1178" s="28"/>
    </row>
    <row r="1179" spans="1:9" x14ac:dyDescent="0.35">
      <c r="A1179" s="8"/>
      <c r="B1179" s="8"/>
      <c r="C1179" s="8"/>
      <c r="D1179" s="28"/>
      <c r="E1179" s="8"/>
      <c r="F1179" s="8"/>
      <c r="G1179" s="8"/>
      <c r="H1179" s="28"/>
      <c r="I1179" s="28"/>
    </row>
    <row r="1180" spans="1:9" x14ac:dyDescent="0.35">
      <c r="A1180" s="8"/>
      <c r="B1180" s="8"/>
      <c r="C1180" s="8"/>
      <c r="D1180" s="28"/>
      <c r="E1180" s="8"/>
      <c r="F1180" s="8"/>
      <c r="G1180" s="8"/>
      <c r="H1180" s="28"/>
      <c r="I1180" s="28"/>
    </row>
    <row r="1181" spans="1:9" x14ac:dyDescent="0.35">
      <c r="A1181" s="8"/>
      <c r="B1181" s="8"/>
      <c r="C1181" s="8"/>
      <c r="D1181" s="28"/>
      <c r="E1181" s="8"/>
      <c r="F1181" s="8"/>
      <c r="G1181" s="8"/>
      <c r="H1181" s="28"/>
      <c r="I1181" s="28"/>
    </row>
    <row r="1182" spans="1:9" x14ac:dyDescent="0.35">
      <c r="A1182" s="8"/>
      <c r="B1182" s="8"/>
      <c r="C1182" s="8"/>
      <c r="D1182" s="28"/>
      <c r="E1182" s="8"/>
      <c r="F1182" s="8"/>
      <c r="G1182" s="8"/>
      <c r="H1182" s="28"/>
      <c r="I1182" s="28"/>
    </row>
    <row r="1183" spans="1:9" x14ac:dyDescent="0.35">
      <c r="A1183" s="8"/>
      <c r="B1183" s="8"/>
      <c r="C1183" s="8"/>
      <c r="D1183" s="28"/>
      <c r="E1183" s="8"/>
      <c r="F1183" s="8"/>
      <c r="G1183" s="8"/>
      <c r="H1183" s="28"/>
      <c r="I1183" s="28"/>
    </row>
    <row r="1184" spans="1:9" x14ac:dyDescent="0.35">
      <c r="A1184" s="8"/>
      <c r="B1184" s="8"/>
      <c r="C1184" s="8"/>
      <c r="D1184" s="28"/>
      <c r="E1184" s="8"/>
      <c r="F1184" s="8"/>
      <c r="G1184" s="8"/>
      <c r="H1184" s="28"/>
      <c r="I1184" s="28"/>
    </row>
    <row r="1185" spans="1:9" x14ac:dyDescent="0.35">
      <c r="A1185" s="8"/>
      <c r="B1185" s="8"/>
      <c r="C1185" s="8"/>
      <c r="D1185" s="28"/>
      <c r="E1185" s="8"/>
      <c r="F1185" s="8"/>
      <c r="G1185" s="8"/>
      <c r="H1185" s="28"/>
      <c r="I1185" s="28"/>
    </row>
    <row r="1186" spans="1:9" x14ac:dyDescent="0.35">
      <c r="A1186" s="8"/>
      <c r="B1186" s="8"/>
      <c r="C1186" s="8"/>
      <c r="D1186" s="28"/>
      <c r="E1186" s="8"/>
      <c r="F1186" s="8"/>
      <c r="G1186" s="8"/>
      <c r="H1186" s="28"/>
      <c r="I1186" s="28"/>
    </row>
    <row r="1187" spans="1:9" x14ac:dyDescent="0.35">
      <c r="A1187" s="8"/>
      <c r="B1187" s="8"/>
      <c r="C1187" s="8"/>
      <c r="D1187" s="28"/>
      <c r="E1187" s="8"/>
      <c r="F1187" s="8"/>
      <c r="G1187" s="8"/>
      <c r="H1187" s="28"/>
      <c r="I1187" s="28"/>
    </row>
    <row r="1188" spans="1:9" x14ac:dyDescent="0.35">
      <c r="A1188" s="8"/>
      <c r="B1188" s="8"/>
      <c r="C1188" s="8"/>
      <c r="D1188" s="28"/>
      <c r="E1188" s="8"/>
      <c r="F1188" s="8"/>
      <c r="G1188" s="8"/>
      <c r="H1188" s="28"/>
      <c r="I1188" s="28"/>
    </row>
    <row r="1189" spans="1:9" x14ac:dyDescent="0.35">
      <c r="A1189" s="8"/>
      <c r="B1189" s="8"/>
      <c r="C1189" s="8"/>
      <c r="D1189" s="28"/>
      <c r="E1189" s="8"/>
      <c r="F1189" s="8"/>
      <c r="G1189" s="8"/>
      <c r="H1189" s="28"/>
      <c r="I1189" s="28"/>
    </row>
    <row r="1190" spans="1:9" x14ac:dyDescent="0.35">
      <c r="A1190" s="8"/>
      <c r="B1190" s="8"/>
      <c r="C1190" s="8"/>
      <c r="D1190" s="28"/>
      <c r="E1190" s="8"/>
      <c r="F1190" s="8"/>
      <c r="G1190" s="8"/>
      <c r="H1190" s="28"/>
      <c r="I1190" s="28"/>
    </row>
    <row r="1191" spans="1:9" x14ac:dyDescent="0.35">
      <c r="A1191" s="8"/>
      <c r="B1191" s="8"/>
      <c r="C1191" s="8"/>
      <c r="D1191" s="28"/>
      <c r="E1191" s="8"/>
      <c r="F1191" s="8"/>
      <c r="G1191" s="8"/>
      <c r="H1191" s="28"/>
      <c r="I1191" s="28"/>
    </row>
    <row r="1192" spans="1:9" x14ac:dyDescent="0.35">
      <c r="A1192" s="8"/>
      <c r="B1192" s="8"/>
      <c r="C1192" s="8"/>
      <c r="D1192" s="28"/>
      <c r="E1192" s="8"/>
      <c r="F1192" s="8"/>
      <c r="G1192" s="8"/>
      <c r="H1192" s="28"/>
      <c r="I1192" s="28"/>
    </row>
    <row r="1193" spans="1:9" x14ac:dyDescent="0.35">
      <c r="A1193" s="8"/>
      <c r="B1193" s="8"/>
      <c r="C1193" s="8"/>
      <c r="D1193" s="28"/>
      <c r="E1193" s="8"/>
      <c r="F1193" s="8"/>
      <c r="G1193" s="8"/>
      <c r="H1193" s="28"/>
      <c r="I1193" s="28"/>
    </row>
    <row r="1194" spans="1:9" x14ac:dyDescent="0.35">
      <c r="A1194" s="8"/>
      <c r="B1194" s="8"/>
      <c r="C1194" s="8"/>
      <c r="D1194" s="28"/>
      <c r="E1194" s="8"/>
      <c r="F1194" s="8"/>
      <c r="G1194" s="8"/>
      <c r="H1194" s="28"/>
      <c r="I1194" s="28"/>
    </row>
    <row r="1195" spans="1:9" x14ac:dyDescent="0.35">
      <c r="A1195" s="8"/>
      <c r="B1195" s="8"/>
      <c r="C1195" s="8"/>
      <c r="D1195" s="28"/>
      <c r="E1195" s="8"/>
      <c r="F1195" s="8"/>
      <c r="G1195" s="8"/>
      <c r="H1195" s="28"/>
      <c r="I1195" s="28"/>
    </row>
    <row r="1196" spans="1:9" x14ac:dyDescent="0.35">
      <c r="A1196" s="8"/>
      <c r="B1196" s="8"/>
      <c r="C1196" s="8"/>
      <c r="D1196" s="28"/>
      <c r="E1196" s="8"/>
      <c r="F1196" s="8"/>
      <c r="G1196" s="8"/>
      <c r="H1196" s="28"/>
      <c r="I1196" s="28"/>
    </row>
    <row r="1197" spans="1:9" x14ac:dyDescent="0.35">
      <c r="A1197" s="8"/>
      <c r="B1197" s="8"/>
      <c r="C1197" s="8"/>
      <c r="D1197" s="28"/>
      <c r="E1197" s="8"/>
      <c r="F1197" s="8"/>
      <c r="G1197" s="8"/>
      <c r="H1197" s="28"/>
      <c r="I1197" s="28"/>
    </row>
    <row r="1198" spans="1:9" x14ac:dyDescent="0.35">
      <c r="A1198" s="8"/>
      <c r="B1198" s="8"/>
      <c r="C1198" s="8"/>
      <c r="D1198" s="28"/>
      <c r="E1198" s="8"/>
      <c r="F1198" s="8"/>
      <c r="G1198" s="8"/>
      <c r="H1198" s="28"/>
      <c r="I1198" s="28"/>
    </row>
    <row r="1199" spans="1:9" x14ac:dyDescent="0.35">
      <c r="A1199" s="8"/>
      <c r="B1199" s="8"/>
      <c r="C1199" s="8"/>
      <c r="D1199" s="28"/>
      <c r="E1199" s="8"/>
      <c r="F1199" s="8"/>
      <c r="G1199" s="8"/>
      <c r="H1199" s="28"/>
      <c r="I1199" s="28"/>
    </row>
    <row r="1200" spans="1:9" x14ac:dyDescent="0.35">
      <c r="A1200" s="8"/>
      <c r="B1200" s="8"/>
      <c r="C1200" s="8"/>
      <c r="D1200" s="28"/>
      <c r="E1200" s="8"/>
      <c r="F1200" s="8"/>
      <c r="G1200" s="8"/>
      <c r="H1200" s="28"/>
      <c r="I1200" s="28"/>
    </row>
    <row r="1201" spans="1:9" x14ac:dyDescent="0.35">
      <c r="A1201" s="8"/>
      <c r="B1201" s="8"/>
      <c r="C1201" s="8"/>
      <c r="D1201" s="28"/>
      <c r="E1201" s="8"/>
      <c r="F1201" s="8"/>
      <c r="G1201" s="8"/>
      <c r="H1201" s="28"/>
      <c r="I1201" s="28"/>
    </row>
    <row r="1202" spans="1:9" x14ac:dyDescent="0.35">
      <c r="A1202" s="8"/>
      <c r="B1202" s="8"/>
      <c r="C1202" s="8"/>
      <c r="D1202" s="28"/>
      <c r="E1202" s="8"/>
      <c r="F1202" s="8"/>
      <c r="G1202" s="8"/>
      <c r="H1202" s="28"/>
      <c r="I1202" s="28"/>
    </row>
    <row r="1203" spans="1:9" x14ac:dyDescent="0.35">
      <c r="A1203" s="8"/>
      <c r="B1203" s="8"/>
      <c r="C1203" s="8"/>
      <c r="D1203" s="28"/>
      <c r="E1203" s="8"/>
      <c r="F1203" s="8"/>
      <c r="G1203" s="8"/>
      <c r="H1203" s="28"/>
      <c r="I1203" s="28"/>
    </row>
    <row r="1204" spans="1:9" x14ac:dyDescent="0.35">
      <c r="A1204" s="8"/>
      <c r="B1204" s="8"/>
      <c r="C1204" s="8"/>
      <c r="D1204" s="28"/>
      <c r="E1204" s="8"/>
      <c r="F1204" s="8"/>
      <c r="G1204" s="8"/>
      <c r="H1204" s="28"/>
      <c r="I1204" s="28"/>
    </row>
    <row r="1205" spans="1:9" x14ac:dyDescent="0.35">
      <c r="A1205" s="8"/>
      <c r="B1205" s="8"/>
      <c r="C1205" s="8"/>
      <c r="D1205" s="28"/>
      <c r="E1205" s="8"/>
      <c r="F1205" s="8"/>
      <c r="G1205" s="8"/>
      <c r="H1205" s="28"/>
      <c r="I1205" s="28"/>
    </row>
    <row r="1206" spans="1:9" x14ac:dyDescent="0.35">
      <c r="A1206" s="8"/>
      <c r="B1206" s="8"/>
      <c r="C1206" s="8"/>
      <c r="D1206" s="28"/>
      <c r="E1206" s="8"/>
      <c r="F1206" s="8"/>
      <c r="G1206" s="8"/>
      <c r="H1206" s="28"/>
      <c r="I1206" s="28"/>
    </row>
    <row r="1207" spans="1:9" x14ac:dyDescent="0.35">
      <c r="A1207" s="8"/>
      <c r="B1207" s="8"/>
      <c r="C1207" s="8"/>
      <c r="D1207" s="28"/>
      <c r="E1207" s="8"/>
      <c r="F1207" s="8"/>
      <c r="G1207" s="8"/>
      <c r="H1207" s="28"/>
      <c r="I1207" s="28"/>
    </row>
    <row r="1208" spans="1:9" x14ac:dyDescent="0.35">
      <c r="A1208" s="8"/>
      <c r="B1208" s="8"/>
      <c r="C1208" s="8"/>
      <c r="D1208" s="28"/>
      <c r="E1208" s="8"/>
      <c r="F1208" s="8"/>
      <c r="G1208" s="8"/>
      <c r="H1208" s="28"/>
      <c r="I1208" s="28"/>
    </row>
    <row r="1209" spans="1:9" x14ac:dyDescent="0.35">
      <c r="A1209" s="8"/>
      <c r="B1209" s="8"/>
      <c r="C1209" s="8"/>
      <c r="D1209" s="28"/>
      <c r="E1209" s="8"/>
      <c r="F1209" s="8"/>
      <c r="G1209" s="8"/>
      <c r="H1209" s="28"/>
      <c r="I1209" s="28"/>
    </row>
    <row r="1210" spans="1:9" x14ac:dyDescent="0.35">
      <c r="A1210" s="8"/>
      <c r="B1210" s="8"/>
      <c r="C1210" s="8"/>
      <c r="D1210" s="28"/>
      <c r="E1210" s="8"/>
      <c r="F1210" s="8"/>
      <c r="G1210" s="8"/>
      <c r="H1210" s="28"/>
      <c r="I1210" s="28"/>
    </row>
    <row r="1211" spans="1:9" x14ac:dyDescent="0.35">
      <c r="A1211" s="8"/>
      <c r="B1211" s="8"/>
      <c r="C1211" s="8"/>
      <c r="D1211" s="28"/>
      <c r="E1211" s="8"/>
      <c r="F1211" s="8"/>
      <c r="G1211" s="8"/>
      <c r="H1211" s="28"/>
      <c r="I1211" s="28"/>
    </row>
    <row r="1212" spans="1:9" x14ac:dyDescent="0.35">
      <c r="A1212" s="8"/>
      <c r="B1212" s="8"/>
      <c r="C1212" s="8"/>
      <c r="D1212" s="28"/>
      <c r="E1212" s="8"/>
      <c r="F1212" s="8"/>
      <c r="G1212" s="8"/>
      <c r="H1212" s="28"/>
      <c r="I1212" s="28"/>
    </row>
    <row r="1213" spans="1:9" x14ac:dyDescent="0.35">
      <c r="A1213" s="8"/>
      <c r="B1213" s="8"/>
      <c r="C1213" s="8"/>
      <c r="D1213" s="28"/>
      <c r="E1213" s="8"/>
      <c r="F1213" s="8"/>
      <c r="G1213" s="8"/>
      <c r="H1213" s="28"/>
      <c r="I1213" s="28"/>
    </row>
    <row r="1214" spans="1:9" x14ac:dyDescent="0.35">
      <c r="A1214" s="8"/>
      <c r="B1214" s="8"/>
      <c r="C1214" s="8"/>
      <c r="D1214" s="28"/>
      <c r="E1214" s="8"/>
      <c r="F1214" s="8"/>
      <c r="G1214" s="8"/>
      <c r="H1214" s="28"/>
      <c r="I1214" s="28"/>
    </row>
    <row r="1215" spans="1:9" x14ac:dyDescent="0.35">
      <c r="A1215" s="8"/>
      <c r="B1215" s="8"/>
      <c r="C1215" s="8"/>
      <c r="D1215" s="28"/>
      <c r="E1215" s="8"/>
      <c r="F1215" s="8"/>
      <c r="G1215" s="8"/>
      <c r="H1215" s="28"/>
      <c r="I1215" s="28"/>
    </row>
    <row r="1216" spans="1:9" x14ac:dyDescent="0.35">
      <c r="A1216" s="8"/>
      <c r="B1216" s="8"/>
      <c r="C1216" s="8"/>
      <c r="D1216" s="28"/>
      <c r="E1216" s="8"/>
      <c r="F1216" s="8"/>
      <c r="G1216" s="8"/>
      <c r="H1216" s="28"/>
      <c r="I1216" s="28"/>
    </row>
    <row r="1217" spans="1:9" x14ac:dyDescent="0.35">
      <c r="A1217" s="8"/>
      <c r="B1217" s="8"/>
      <c r="C1217" s="8"/>
      <c r="D1217" s="28"/>
      <c r="E1217" s="8"/>
      <c r="F1217" s="8"/>
      <c r="G1217" s="8"/>
      <c r="H1217" s="28"/>
      <c r="I1217" s="28"/>
    </row>
    <row r="1218" spans="1:9" x14ac:dyDescent="0.35">
      <c r="A1218" s="8"/>
      <c r="B1218" s="8"/>
      <c r="C1218" s="8"/>
      <c r="D1218" s="28"/>
      <c r="E1218" s="8"/>
      <c r="F1218" s="8"/>
      <c r="G1218" s="8"/>
      <c r="H1218" s="28"/>
      <c r="I1218" s="28"/>
    </row>
    <row r="1219" spans="1:9" x14ac:dyDescent="0.35">
      <c r="A1219" s="8"/>
      <c r="B1219" s="8"/>
      <c r="C1219" s="8"/>
      <c r="D1219" s="28"/>
      <c r="E1219" s="8"/>
      <c r="F1219" s="8"/>
      <c r="G1219" s="8"/>
      <c r="H1219" s="28"/>
      <c r="I1219" s="28"/>
    </row>
    <row r="1220" spans="1:9" x14ac:dyDescent="0.35">
      <c r="A1220" s="8"/>
      <c r="B1220" s="8"/>
      <c r="C1220" s="8"/>
      <c r="D1220" s="28"/>
      <c r="E1220" s="8"/>
      <c r="F1220" s="8"/>
      <c r="G1220" s="8"/>
      <c r="H1220" s="28"/>
      <c r="I1220" s="28"/>
    </row>
    <row r="1221" spans="1:9" x14ac:dyDescent="0.35">
      <c r="A1221" s="8"/>
      <c r="B1221" s="8"/>
      <c r="C1221" s="8"/>
      <c r="D1221" s="28"/>
      <c r="E1221" s="8"/>
      <c r="F1221" s="8"/>
      <c r="G1221" s="8"/>
      <c r="H1221" s="28"/>
      <c r="I1221" s="28"/>
    </row>
    <row r="1222" spans="1:9" x14ac:dyDescent="0.35">
      <c r="A1222" s="8"/>
      <c r="B1222" s="8"/>
      <c r="C1222" s="8"/>
      <c r="D1222" s="28"/>
      <c r="E1222" s="8"/>
      <c r="F1222" s="8"/>
      <c r="G1222" s="8"/>
      <c r="H1222" s="28"/>
      <c r="I1222" s="28"/>
    </row>
    <row r="1223" spans="1:9" x14ac:dyDescent="0.35">
      <c r="A1223" s="8"/>
      <c r="B1223" s="8"/>
      <c r="C1223" s="8"/>
      <c r="D1223" s="28"/>
      <c r="E1223" s="8"/>
      <c r="F1223" s="8"/>
      <c r="G1223" s="8"/>
      <c r="H1223" s="28"/>
      <c r="I1223" s="28"/>
    </row>
    <row r="1224" spans="1:9" x14ac:dyDescent="0.35">
      <c r="A1224" s="8"/>
      <c r="B1224" s="8"/>
      <c r="C1224" s="8"/>
      <c r="D1224" s="28"/>
      <c r="E1224" s="8"/>
      <c r="F1224" s="8"/>
      <c r="G1224" s="8"/>
      <c r="H1224" s="28"/>
      <c r="I1224" s="28"/>
    </row>
    <row r="1225" spans="1:9" x14ac:dyDescent="0.35">
      <c r="A1225" s="8"/>
      <c r="B1225" s="8"/>
      <c r="C1225" s="8"/>
      <c r="D1225" s="28"/>
      <c r="E1225" s="8"/>
      <c r="F1225" s="8"/>
      <c r="G1225" s="8"/>
      <c r="H1225" s="28"/>
      <c r="I1225" s="28"/>
    </row>
    <row r="1226" spans="1:9" x14ac:dyDescent="0.35">
      <c r="A1226" s="8"/>
      <c r="B1226" s="8"/>
      <c r="C1226" s="8"/>
      <c r="D1226" s="28"/>
      <c r="E1226" s="8"/>
      <c r="F1226" s="8"/>
      <c r="G1226" s="8"/>
      <c r="H1226" s="28"/>
      <c r="I1226" s="28"/>
    </row>
    <row r="1227" spans="1:9" x14ac:dyDescent="0.35">
      <c r="A1227" s="8"/>
      <c r="B1227" s="8"/>
      <c r="C1227" s="8"/>
      <c r="D1227" s="28"/>
      <c r="E1227" s="8"/>
      <c r="F1227" s="8"/>
      <c r="G1227" s="8"/>
      <c r="H1227" s="28"/>
      <c r="I1227" s="28"/>
    </row>
    <row r="1228" spans="1:9" x14ac:dyDescent="0.35">
      <c r="A1228" s="8"/>
      <c r="B1228" s="8"/>
      <c r="C1228" s="8"/>
      <c r="D1228" s="28"/>
      <c r="E1228" s="8"/>
      <c r="F1228" s="8"/>
      <c r="G1228" s="8"/>
      <c r="H1228" s="28"/>
      <c r="I1228" s="28"/>
    </row>
    <row r="1229" spans="1:9" x14ac:dyDescent="0.35">
      <c r="A1229" s="8"/>
      <c r="B1229" s="8"/>
      <c r="C1229" s="8"/>
      <c r="D1229" s="28"/>
      <c r="E1229" s="8"/>
      <c r="F1229" s="8"/>
      <c r="G1229" s="8"/>
      <c r="H1229" s="28"/>
      <c r="I1229" s="28"/>
    </row>
    <row r="1230" spans="1:9" x14ac:dyDescent="0.35">
      <c r="A1230" s="8"/>
      <c r="B1230" s="8"/>
      <c r="C1230" s="8"/>
      <c r="D1230" s="28"/>
      <c r="E1230" s="8"/>
      <c r="F1230" s="8"/>
      <c r="G1230" s="8"/>
      <c r="H1230" s="28"/>
      <c r="I1230" s="28"/>
    </row>
    <row r="1231" spans="1:9" x14ac:dyDescent="0.35">
      <c r="A1231" s="8"/>
      <c r="B1231" s="8"/>
      <c r="C1231" s="8"/>
      <c r="D1231" s="28"/>
      <c r="E1231" s="8"/>
      <c r="F1231" s="8"/>
      <c r="G1231" s="8"/>
      <c r="H1231" s="28"/>
      <c r="I1231" s="28"/>
    </row>
    <row r="1232" spans="1:9" x14ac:dyDescent="0.35">
      <c r="A1232" s="8"/>
      <c r="B1232" s="8"/>
      <c r="C1232" s="8"/>
      <c r="D1232" s="28"/>
      <c r="E1232" s="8"/>
      <c r="F1232" s="8"/>
      <c r="G1232" s="8"/>
      <c r="H1232" s="28"/>
      <c r="I1232" s="28"/>
    </row>
    <row r="1233" spans="1:9" x14ac:dyDescent="0.35">
      <c r="A1233" s="8"/>
      <c r="B1233" s="8"/>
      <c r="C1233" s="8"/>
      <c r="D1233" s="28"/>
      <c r="E1233" s="8"/>
      <c r="F1233" s="8"/>
      <c r="G1233" s="8"/>
      <c r="H1233" s="28"/>
      <c r="I1233" s="28"/>
    </row>
    <row r="1234" spans="1:9" x14ac:dyDescent="0.35">
      <c r="A1234" s="8"/>
      <c r="B1234" s="8"/>
      <c r="C1234" s="8"/>
      <c r="D1234" s="28"/>
      <c r="E1234" s="8"/>
      <c r="F1234" s="8"/>
      <c r="G1234" s="8"/>
      <c r="H1234" s="28"/>
      <c r="I1234" s="28"/>
    </row>
    <row r="1235" spans="1:9" x14ac:dyDescent="0.35">
      <c r="A1235" s="8"/>
      <c r="B1235" s="8"/>
      <c r="C1235" s="8"/>
      <c r="D1235" s="28"/>
      <c r="E1235" s="8"/>
      <c r="F1235" s="8"/>
      <c r="G1235" s="8"/>
      <c r="H1235" s="28"/>
      <c r="I1235" s="28"/>
    </row>
    <row r="1236" spans="1:9" x14ac:dyDescent="0.35">
      <c r="A1236" s="8"/>
      <c r="B1236" s="8"/>
      <c r="C1236" s="8"/>
      <c r="D1236" s="28"/>
      <c r="E1236" s="8"/>
      <c r="F1236" s="8"/>
      <c r="G1236" s="8"/>
      <c r="H1236" s="28"/>
      <c r="I1236" s="28"/>
    </row>
    <row r="1237" spans="1:9" x14ac:dyDescent="0.35">
      <c r="A1237" s="8"/>
      <c r="B1237" s="8"/>
      <c r="C1237" s="8"/>
      <c r="D1237" s="28"/>
      <c r="E1237" s="8"/>
      <c r="F1237" s="8"/>
      <c r="G1237" s="8"/>
      <c r="H1237" s="28"/>
      <c r="I1237" s="28"/>
    </row>
    <row r="1238" spans="1:9" x14ac:dyDescent="0.35">
      <c r="A1238" s="8"/>
      <c r="B1238" s="8"/>
      <c r="C1238" s="8"/>
      <c r="D1238" s="28"/>
      <c r="E1238" s="8"/>
      <c r="F1238" s="8"/>
      <c r="G1238" s="8"/>
      <c r="H1238" s="28"/>
      <c r="I1238" s="28"/>
    </row>
    <row r="1239" spans="1:9" x14ac:dyDescent="0.35">
      <c r="A1239" s="8"/>
      <c r="B1239" s="8"/>
      <c r="C1239" s="8"/>
      <c r="D1239" s="28"/>
      <c r="E1239" s="8"/>
      <c r="F1239" s="8"/>
      <c r="G1239" s="8"/>
      <c r="H1239" s="28"/>
      <c r="I1239" s="28"/>
    </row>
    <row r="1240" spans="1:9" x14ac:dyDescent="0.35">
      <c r="A1240" s="8"/>
      <c r="B1240" s="8"/>
      <c r="C1240" s="8"/>
      <c r="D1240" s="28"/>
      <c r="E1240" s="8"/>
      <c r="F1240" s="8"/>
      <c r="G1240" s="8"/>
      <c r="H1240" s="28"/>
      <c r="I1240" s="28"/>
    </row>
    <row r="1241" spans="1:9" x14ac:dyDescent="0.35">
      <c r="A1241" s="8"/>
      <c r="B1241" s="8"/>
      <c r="C1241" s="8"/>
      <c r="D1241" s="28"/>
      <c r="E1241" s="8"/>
      <c r="F1241" s="8"/>
      <c r="G1241" s="8"/>
      <c r="H1241" s="28"/>
      <c r="I1241" s="28"/>
    </row>
    <row r="1242" spans="1:9" x14ac:dyDescent="0.35">
      <c r="A1242" s="8"/>
      <c r="B1242" s="8"/>
      <c r="C1242" s="8"/>
      <c r="D1242" s="28"/>
      <c r="E1242" s="8"/>
      <c r="F1242" s="8"/>
      <c r="G1242" s="8"/>
      <c r="H1242" s="28"/>
      <c r="I1242" s="28"/>
    </row>
    <row r="1243" spans="1:9" x14ac:dyDescent="0.35">
      <c r="A1243" s="8"/>
      <c r="B1243" s="8"/>
      <c r="C1243" s="8"/>
      <c r="D1243" s="28"/>
      <c r="E1243" s="8"/>
      <c r="F1243" s="8"/>
      <c r="G1243" s="8"/>
      <c r="H1243" s="28"/>
      <c r="I1243" s="28"/>
    </row>
    <row r="1244" spans="1:9" x14ac:dyDescent="0.35">
      <c r="A1244" s="8"/>
      <c r="B1244" s="8"/>
      <c r="C1244" s="8"/>
      <c r="D1244" s="28"/>
      <c r="E1244" s="8"/>
      <c r="F1244" s="8"/>
      <c r="G1244" s="8"/>
      <c r="H1244" s="28"/>
      <c r="I1244" s="28"/>
    </row>
    <row r="1245" spans="1:9" x14ac:dyDescent="0.35">
      <c r="A1245" s="8"/>
      <c r="B1245" s="8"/>
      <c r="C1245" s="8"/>
      <c r="D1245" s="28"/>
      <c r="E1245" s="8"/>
      <c r="F1245" s="8"/>
      <c r="G1245" s="8"/>
      <c r="H1245" s="28"/>
      <c r="I1245" s="28"/>
    </row>
    <row r="1246" spans="1:9" x14ac:dyDescent="0.35">
      <c r="A1246" s="8"/>
      <c r="B1246" s="8"/>
      <c r="C1246" s="8"/>
      <c r="D1246" s="28"/>
      <c r="E1246" s="8"/>
      <c r="F1246" s="8"/>
      <c r="G1246" s="8"/>
      <c r="H1246" s="28"/>
      <c r="I1246" s="28"/>
    </row>
    <row r="1247" spans="1:9" x14ac:dyDescent="0.35">
      <c r="A1247" s="8"/>
      <c r="B1247" s="8"/>
      <c r="C1247" s="8"/>
      <c r="D1247" s="28"/>
      <c r="E1247" s="8"/>
      <c r="F1247" s="8"/>
      <c r="G1247" s="8"/>
      <c r="H1247" s="28"/>
      <c r="I1247" s="28"/>
    </row>
    <row r="1248" spans="1:9" x14ac:dyDescent="0.35">
      <c r="A1248" s="8"/>
      <c r="B1248" s="8"/>
      <c r="C1248" s="8"/>
      <c r="D1248" s="28"/>
      <c r="E1248" s="8"/>
      <c r="F1248" s="8"/>
      <c r="G1248" s="8"/>
      <c r="H1248" s="28"/>
      <c r="I1248" s="28"/>
    </row>
    <row r="1249" spans="1:9" x14ac:dyDescent="0.35">
      <c r="A1249" s="8"/>
      <c r="B1249" s="8"/>
      <c r="C1249" s="8"/>
      <c r="D1249" s="28"/>
      <c r="E1249" s="8"/>
      <c r="F1249" s="8"/>
      <c r="G1249" s="8"/>
      <c r="H1249" s="28"/>
      <c r="I1249" s="28"/>
    </row>
    <row r="1250" spans="1:9" x14ac:dyDescent="0.35">
      <c r="A1250" s="8"/>
      <c r="B1250" s="8"/>
      <c r="C1250" s="8"/>
      <c r="D1250" s="28"/>
      <c r="E1250" s="8"/>
      <c r="F1250" s="8"/>
      <c r="G1250" s="8"/>
      <c r="H1250" s="28"/>
      <c r="I1250" s="28"/>
    </row>
    <row r="1251" spans="1:9" x14ac:dyDescent="0.35">
      <c r="A1251" s="8"/>
      <c r="B1251" s="8"/>
      <c r="C1251" s="8"/>
      <c r="D1251" s="28"/>
      <c r="E1251" s="8"/>
      <c r="F1251" s="8"/>
      <c r="G1251" s="8"/>
      <c r="H1251" s="28"/>
      <c r="I1251" s="28"/>
    </row>
    <row r="1252" spans="1:9" x14ac:dyDescent="0.35">
      <c r="A1252" s="8"/>
      <c r="B1252" s="8"/>
      <c r="C1252" s="8"/>
      <c r="D1252" s="28"/>
      <c r="E1252" s="8"/>
      <c r="F1252" s="8"/>
      <c r="G1252" s="8"/>
      <c r="H1252" s="28"/>
      <c r="I1252" s="28"/>
    </row>
    <row r="1253" spans="1:9" x14ac:dyDescent="0.35">
      <c r="A1253" s="8"/>
      <c r="B1253" s="8"/>
      <c r="C1253" s="8"/>
      <c r="D1253" s="28"/>
      <c r="E1253" s="8"/>
      <c r="F1253" s="8"/>
      <c r="G1253" s="8"/>
      <c r="H1253" s="28"/>
      <c r="I1253" s="28"/>
    </row>
    <row r="1254" spans="1:9" x14ac:dyDescent="0.35">
      <c r="A1254" s="8"/>
      <c r="B1254" s="8"/>
      <c r="C1254" s="8"/>
      <c r="D1254" s="28"/>
      <c r="E1254" s="8"/>
      <c r="F1254" s="8"/>
      <c r="G1254" s="8"/>
      <c r="H1254" s="28"/>
      <c r="I1254" s="28"/>
    </row>
    <row r="1255" spans="1:9" x14ac:dyDescent="0.35">
      <c r="A1255" s="8"/>
      <c r="B1255" s="8"/>
      <c r="C1255" s="8"/>
      <c r="D1255" s="28"/>
      <c r="E1255" s="8"/>
      <c r="F1255" s="8"/>
      <c r="G1255" s="8"/>
      <c r="H1255" s="28"/>
      <c r="I1255" s="28"/>
    </row>
    <row r="1256" spans="1:9" x14ac:dyDescent="0.35">
      <c r="A1256" s="8"/>
      <c r="B1256" s="8"/>
      <c r="C1256" s="8"/>
      <c r="D1256" s="28"/>
      <c r="E1256" s="8"/>
      <c r="F1256" s="8"/>
      <c r="G1256" s="8"/>
      <c r="H1256" s="28"/>
      <c r="I1256" s="28"/>
    </row>
    <row r="1257" spans="1:9" x14ac:dyDescent="0.35">
      <c r="A1257" s="8"/>
      <c r="B1257" s="8"/>
      <c r="C1257" s="8"/>
      <c r="D1257" s="28"/>
      <c r="E1257" s="8"/>
      <c r="F1257" s="8"/>
      <c r="G1257" s="8"/>
      <c r="H1257" s="28"/>
      <c r="I1257" s="28"/>
    </row>
    <row r="1258" spans="1:9" x14ac:dyDescent="0.35">
      <c r="A1258" s="8"/>
      <c r="B1258" s="8"/>
      <c r="C1258" s="8"/>
      <c r="D1258" s="28"/>
      <c r="E1258" s="8"/>
      <c r="F1258" s="8"/>
      <c r="G1258" s="8"/>
      <c r="H1258" s="28"/>
      <c r="I1258" s="28"/>
    </row>
    <row r="1259" spans="1:9" x14ac:dyDescent="0.35">
      <c r="A1259" s="8"/>
      <c r="B1259" s="8"/>
      <c r="C1259" s="8"/>
      <c r="D1259" s="28"/>
      <c r="E1259" s="8"/>
      <c r="F1259" s="8"/>
      <c r="G1259" s="8"/>
      <c r="H1259" s="28"/>
      <c r="I1259" s="28"/>
    </row>
    <row r="1260" spans="1:9" x14ac:dyDescent="0.35">
      <c r="A1260" s="8"/>
      <c r="B1260" s="8"/>
      <c r="C1260" s="8"/>
      <c r="D1260" s="28"/>
      <c r="E1260" s="8"/>
      <c r="F1260" s="8"/>
      <c r="G1260" s="8"/>
      <c r="H1260" s="28"/>
      <c r="I1260" s="28"/>
    </row>
    <row r="1261" spans="1:9" x14ac:dyDescent="0.35">
      <c r="A1261" s="8"/>
      <c r="B1261" s="8"/>
      <c r="C1261" s="8"/>
      <c r="D1261" s="28"/>
      <c r="E1261" s="8"/>
      <c r="F1261" s="8"/>
      <c r="G1261" s="8"/>
      <c r="H1261" s="28"/>
      <c r="I1261" s="28"/>
    </row>
    <row r="1262" spans="1:9" x14ac:dyDescent="0.35">
      <c r="A1262" s="8"/>
      <c r="B1262" s="8"/>
      <c r="C1262" s="8"/>
      <c r="D1262" s="28"/>
      <c r="E1262" s="8"/>
      <c r="F1262" s="8"/>
      <c r="G1262" s="8"/>
      <c r="H1262" s="28"/>
      <c r="I1262" s="28"/>
    </row>
    <row r="1263" spans="1:9" x14ac:dyDescent="0.35">
      <c r="A1263" s="8"/>
      <c r="B1263" s="8"/>
      <c r="C1263" s="8"/>
      <c r="D1263" s="28"/>
      <c r="E1263" s="8"/>
      <c r="F1263" s="8"/>
      <c r="G1263" s="8"/>
      <c r="H1263" s="28"/>
      <c r="I1263" s="28"/>
    </row>
    <row r="1264" spans="1:9" x14ac:dyDescent="0.35">
      <c r="A1264" s="8"/>
      <c r="B1264" s="8"/>
      <c r="C1264" s="8"/>
      <c r="D1264" s="28"/>
      <c r="E1264" s="8"/>
      <c r="F1264" s="8"/>
      <c r="G1264" s="8"/>
      <c r="H1264" s="28"/>
      <c r="I1264" s="28"/>
    </row>
    <row r="1265" spans="1:9" x14ac:dyDescent="0.35">
      <c r="A1265" s="8"/>
      <c r="B1265" s="8"/>
      <c r="C1265" s="8"/>
      <c r="D1265" s="28"/>
      <c r="E1265" s="8"/>
      <c r="F1265" s="8"/>
      <c r="G1265" s="8"/>
      <c r="H1265" s="28"/>
      <c r="I1265" s="28"/>
    </row>
    <row r="1266" spans="1:9" x14ac:dyDescent="0.35">
      <c r="A1266" s="8"/>
      <c r="B1266" s="8"/>
      <c r="C1266" s="8"/>
      <c r="D1266" s="28"/>
      <c r="E1266" s="8"/>
      <c r="F1266" s="8"/>
      <c r="G1266" s="8"/>
      <c r="H1266" s="28"/>
      <c r="I1266" s="28"/>
    </row>
    <row r="1267" spans="1:9" x14ac:dyDescent="0.35">
      <c r="A1267" s="8"/>
      <c r="B1267" s="8"/>
      <c r="C1267" s="8"/>
      <c r="D1267" s="28"/>
      <c r="E1267" s="8"/>
      <c r="F1267" s="8"/>
      <c r="G1267" s="8"/>
      <c r="H1267" s="28"/>
      <c r="I1267" s="28"/>
    </row>
    <row r="1268" spans="1:9" x14ac:dyDescent="0.35">
      <c r="A1268" s="8"/>
      <c r="B1268" s="8"/>
      <c r="C1268" s="8"/>
      <c r="D1268" s="28"/>
      <c r="E1268" s="8"/>
      <c r="F1268" s="8"/>
      <c r="G1268" s="8"/>
      <c r="H1268" s="28"/>
      <c r="I1268" s="28"/>
    </row>
    <row r="1269" spans="1:9" x14ac:dyDescent="0.35">
      <c r="A1269" s="8"/>
      <c r="B1269" s="8"/>
      <c r="C1269" s="8"/>
      <c r="D1269" s="28"/>
      <c r="E1269" s="8"/>
      <c r="F1269" s="8"/>
      <c r="G1269" s="8"/>
      <c r="H1269" s="28"/>
      <c r="I1269" s="28"/>
    </row>
    <row r="1270" spans="1:9" x14ac:dyDescent="0.35">
      <c r="A1270" s="8"/>
      <c r="B1270" s="8"/>
      <c r="C1270" s="8"/>
      <c r="D1270" s="28"/>
      <c r="E1270" s="8"/>
      <c r="F1270" s="8"/>
      <c r="G1270" s="8"/>
      <c r="H1270" s="28"/>
      <c r="I1270" s="28"/>
    </row>
    <row r="1271" spans="1:9" x14ac:dyDescent="0.35">
      <c r="A1271" s="8"/>
      <c r="B1271" s="8"/>
      <c r="C1271" s="8"/>
      <c r="D1271" s="28"/>
      <c r="E1271" s="8"/>
      <c r="F1271" s="8"/>
      <c r="G1271" s="8"/>
      <c r="H1271" s="28"/>
      <c r="I1271" s="28"/>
    </row>
    <row r="1272" spans="1:9" x14ac:dyDescent="0.35">
      <c r="A1272" s="8"/>
      <c r="B1272" s="8"/>
      <c r="C1272" s="8"/>
      <c r="D1272" s="28"/>
      <c r="E1272" s="8"/>
      <c r="F1272" s="8"/>
      <c r="G1272" s="8"/>
      <c r="H1272" s="28"/>
      <c r="I1272" s="28"/>
    </row>
    <row r="1273" spans="1:9" x14ac:dyDescent="0.35">
      <c r="A1273" s="8"/>
      <c r="B1273" s="8"/>
      <c r="C1273" s="8"/>
      <c r="D1273" s="28"/>
      <c r="E1273" s="8"/>
      <c r="F1273" s="8"/>
      <c r="G1273" s="8"/>
      <c r="H1273" s="28"/>
      <c r="I1273" s="28"/>
    </row>
    <row r="1274" spans="1:9" x14ac:dyDescent="0.35">
      <c r="A1274" s="8"/>
      <c r="B1274" s="8"/>
      <c r="C1274" s="8"/>
      <c r="D1274" s="28"/>
      <c r="E1274" s="8"/>
      <c r="F1274" s="8"/>
      <c r="G1274" s="8"/>
      <c r="H1274" s="28"/>
      <c r="I1274" s="28"/>
    </row>
    <row r="1275" spans="1:9" x14ac:dyDescent="0.35">
      <c r="A1275" s="8"/>
      <c r="B1275" s="8"/>
      <c r="C1275" s="8"/>
      <c r="D1275" s="28"/>
      <c r="E1275" s="8"/>
      <c r="F1275" s="8"/>
      <c r="G1275" s="8"/>
      <c r="H1275" s="28"/>
      <c r="I1275" s="28"/>
    </row>
    <row r="1276" spans="1:9" x14ac:dyDescent="0.35">
      <c r="A1276" s="8"/>
      <c r="B1276" s="8"/>
      <c r="C1276" s="8"/>
      <c r="D1276" s="28"/>
      <c r="E1276" s="8"/>
      <c r="F1276" s="8"/>
      <c r="G1276" s="8"/>
      <c r="H1276" s="28"/>
      <c r="I1276" s="28"/>
    </row>
    <row r="1277" spans="1:9" x14ac:dyDescent="0.35">
      <c r="A1277" s="8"/>
      <c r="B1277" s="8"/>
      <c r="C1277" s="8"/>
      <c r="D1277" s="28"/>
      <c r="E1277" s="8"/>
      <c r="F1277" s="8"/>
      <c r="G1277" s="8"/>
      <c r="H1277" s="28"/>
      <c r="I1277" s="28"/>
    </row>
    <row r="1278" spans="1:9" x14ac:dyDescent="0.35">
      <c r="A1278" s="8"/>
      <c r="B1278" s="8"/>
      <c r="C1278" s="8"/>
      <c r="D1278" s="28"/>
      <c r="E1278" s="8"/>
      <c r="F1278" s="8"/>
      <c r="G1278" s="8"/>
      <c r="H1278" s="28"/>
      <c r="I1278" s="28"/>
    </row>
    <row r="1279" spans="1:9" x14ac:dyDescent="0.35">
      <c r="A1279" s="8"/>
      <c r="B1279" s="8"/>
      <c r="C1279" s="8"/>
      <c r="D1279" s="28"/>
      <c r="E1279" s="8"/>
      <c r="F1279" s="8"/>
      <c r="G1279" s="8"/>
      <c r="H1279" s="28"/>
      <c r="I1279" s="28"/>
    </row>
    <row r="1280" spans="1:9" x14ac:dyDescent="0.35">
      <c r="A1280" s="8"/>
      <c r="B1280" s="8"/>
      <c r="C1280" s="8"/>
      <c r="D1280" s="28"/>
      <c r="E1280" s="8"/>
      <c r="F1280" s="8"/>
      <c r="G1280" s="8"/>
      <c r="H1280" s="28"/>
      <c r="I1280" s="28"/>
    </row>
    <row r="1281" spans="1:9" x14ac:dyDescent="0.35">
      <c r="A1281" s="8"/>
      <c r="B1281" s="8"/>
      <c r="C1281" s="8"/>
      <c r="D1281" s="28"/>
      <c r="E1281" s="8"/>
      <c r="F1281" s="8"/>
      <c r="G1281" s="8"/>
      <c r="H1281" s="28"/>
      <c r="I1281" s="28"/>
    </row>
    <row r="1282" spans="1:9" x14ac:dyDescent="0.35">
      <c r="A1282" s="8"/>
      <c r="B1282" s="8"/>
      <c r="C1282" s="8"/>
      <c r="D1282" s="28"/>
      <c r="E1282" s="8"/>
      <c r="F1282" s="8"/>
      <c r="G1282" s="8"/>
      <c r="H1282" s="28"/>
      <c r="I1282" s="28"/>
    </row>
    <row r="1283" spans="1:9" x14ac:dyDescent="0.35">
      <c r="A1283" s="8"/>
      <c r="B1283" s="8"/>
      <c r="C1283" s="8"/>
      <c r="D1283" s="28"/>
      <c r="E1283" s="8"/>
      <c r="F1283" s="8"/>
      <c r="G1283" s="8"/>
      <c r="H1283" s="28"/>
      <c r="I1283" s="28"/>
    </row>
    <row r="1284" spans="1:9" x14ac:dyDescent="0.35">
      <c r="A1284" s="8"/>
      <c r="B1284" s="8"/>
      <c r="C1284" s="8"/>
      <c r="D1284" s="28"/>
      <c r="E1284" s="8"/>
      <c r="F1284" s="8"/>
      <c r="G1284" s="8"/>
      <c r="H1284" s="28"/>
      <c r="I1284" s="28"/>
    </row>
    <row r="1285" spans="1:9" x14ac:dyDescent="0.35">
      <c r="A1285" s="8"/>
      <c r="B1285" s="8"/>
      <c r="C1285" s="8"/>
      <c r="D1285" s="28"/>
      <c r="E1285" s="8"/>
      <c r="F1285" s="8"/>
      <c r="G1285" s="8"/>
      <c r="H1285" s="28"/>
      <c r="I1285" s="28"/>
    </row>
    <row r="1286" spans="1:9" x14ac:dyDescent="0.35">
      <c r="A1286" s="8"/>
      <c r="B1286" s="8"/>
      <c r="C1286" s="8"/>
      <c r="D1286" s="28"/>
      <c r="E1286" s="8"/>
      <c r="F1286" s="8"/>
      <c r="G1286" s="8"/>
      <c r="H1286" s="28"/>
      <c r="I1286" s="28"/>
    </row>
    <row r="1287" spans="1:9" x14ac:dyDescent="0.35">
      <c r="A1287" s="8"/>
      <c r="B1287" s="8"/>
      <c r="C1287" s="8"/>
      <c r="D1287" s="28"/>
      <c r="E1287" s="8"/>
      <c r="F1287" s="8"/>
      <c r="G1287" s="8"/>
      <c r="H1287" s="28"/>
      <c r="I1287" s="28"/>
    </row>
    <row r="1288" spans="1:9" x14ac:dyDescent="0.35">
      <c r="A1288" s="8"/>
      <c r="B1288" s="8"/>
      <c r="C1288" s="8"/>
      <c r="D1288" s="28"/>
      <c r="E1288" s="8"/>
      <c r="F1288" s="8"/>
      <c r="G1288" s="8"/>
      <c r="H1288" s="28"/>
      <c r="I1288" s="28"/>
    </row>
    <row r="1289" spans="1:9" x14ac:dyDescent="0.35">
      <c r="A1289" s="8"/>
      <c r="B1289" s="8"/>
      <c r="C1289" s="8"/>
      <c r="D1289" s="28"/>
      <c r="E1289" s="8"/>
      <c r="F1289" s="8"/>
      <c r="G1289" s="8"/>
      <c r="H1289" s="28"/>
      <c r="I1289" s="28"/>
    </row>
    <row r="1290" spans="1:9" x14ac:dyDescent="0.35">
      <c r="A1290" s="8"/>
      <c r="B1290" s="8"/>
      <c r="C1290" s="8"/>
      <c r="D1290" s="28"/>
      <c r="E1290" s="8"/>
      <c r="F1290" s="8"/>
      <c r="G1290" s="8"/>
      <c r="H1290" s="28"/>
      <c r="I1290" s="28"/>
    </row>
    <row r="1291" spans="1:9" x14ac:dyDescent="0.35">
      <c r="A1291" s="8"/>
      <c r="B1291" s="8"/>
      <c r="C1291" s="8"/>
      <c r="D1291" s="28"/>
      <c r="E1291" s="8"/>
      <c r="F1291" s="8"/>
      <c r="G1291" s="8"/>
      <c r="H1291" s="28"/>
      <c r="I1291" s="28"/>
    </row>
    <row r="1292" spans="1:9" x14ac:dyDescent="0.35">
      <c r="A1292" s="8"/>
      <c r="B1292" s="8"/>
      <c r="C1292" s="8"/>
      <c r="D1292" s="28"/>
      <c r="E1292" s="8"/>
      <c r="F1292" s="8"/>
      <c r="G1292" s="8"/>
      <c r="H1292" s="28"/>
      <c r="I1292" s="28"/>
    </row>
    <row r="1293" spans="1:9" x14ac:dyDescent="0.35">
      <c r="A1293" s="8"/>
      <c r="B1293" s="8"/>
      <c r="C1293" s="8"/>
      <c r="D1293" s="28"/>
      <c r="E1293" s="8"/>
      <c r="F1293" s="8"/>
      <c r="G1293" s="8"/>
      <c r="H1293" s="28"/>
      <c r="I1293" s="28"/>
    </row>
    <row r="1294" spans="1:9" x14ac:dyDescent="0.35">
      <c r="A1294" s="8"/>
      <c r="B1294" s="8"/>
      <c r="C1294" s="8"/>
      <c r="D1294" s="28"/>
      <c r="E1294" s="8"/>
      <c r="F1294" s="8"/>
      <c r="G1294" s="8"/>
      <c r="H1294" s="28"/>
      <c r="I1294" s="28"/>
    </row>
    <row r="1295" spans="1:9" x14ac:dyDescent="0.35">
      <c r="A1295" s="8"/>
      <c r="B1295" s="8"/>
      <c r="C1295" s="8"/>
      <c r="D1295" s="28"/>
      <c r="E1295" s="8"/>
      <c r="F1295" s="8"/>
      <c r="G1295" s="8"/>
      <c r="H1295" s="28"/>
      <c r="I1295" s="28"/>
    </row>
    <row r="1296" spans="1:9" x14ac:dyDescent="0.35">
      <c r="A1296" s="8"/>
      <c r="B1296" s="8"/>
      <c r="C1296" s="8"/>
      <c r="D1296" s="28"/>
      <c r="E1296" s="8"/>
      <c r="F1296" s="8"/>
      <c r="G1296" s="8"/>
      <c r="H1296" s="28"/>
      <c r="I1296" s="28"/>
    </row>
    <row r="1297" spans="1:9" x14ac:dyDescent="0.35">
      <c r="A1297" s="8"/>
      <c r="B1297" s="8"/>
      <c r="C1297" s="8"/>
      <c r="D1297" s="28"/>
      <c r="E1297" s="8"/>
      <c r="F1297" s="8"/>
      <c r="G1297" s="8"/>
      <c r="H1297" s="28"/>
      <c r="I1297" s="28"/>
    </row>
    <row r="1298" spans="1:9" x14ac:dyDescent="0.35">
      <c r="A1298" s="8"/>
      <c r="B1298" s="8"/>
      <c r="C1298" s="8"/>
      <c r="D1298" s="28"/>
      <c r="E1298" s="8"/>
      <c r="F1298" s="8"/>
      <c r="G1298" s="8"/>
      <c r="H1298" s="28"/>
      <c r="I1298" s="28"/>
    </row>
    <row r="1299" spans="1:9" x14ac:dyDescent="0.35">
      <c r="A1299" s="8"/>
      <c r="B1299" s="8"/>
      <c r="C1299" s="8"/>
      <c r="D1299" s="28"/>
      <c r="E1299" s="8"/>
      <c r="F1299" s="8"/>
      <c r="G1299" s="8"/>
      <c r="H1299" s="28"/>
      <c r="I1299" s="28"/>
    </row>
    <row r="1300" spans="1:9" x14ac:dyDescent="0.35">
      <c r="A1300" s="8"/>
      <c r="B1300" s="8"/>
      <c r="C1300" s="8"/>
      <c r="D1300" s="28"/>
      <c r="E1300" s="8"/>
      <c r="F1300" s="8"/>
      <c r="G1300" s="8"/>
      <c r="H1300" s="28"/>
      <c r="I1300" s="28"/>
    </row>
    <row r="1301" spans="1:9" x14ac:dyDescent="0.35">
      <c r="A1301" s="8"/>
      <c r="B1301" s="8"/>
      <c r="C1301" s="8"/>
      <c r="D1301" s="28"/>
      <c r="E1301" s="8"/>
      <c r="F1301" s="8"/>
      <c r="G1301" s="8"/>
      <c r="H1301" s="28"/>
      <c r="I1301" s="28"/>
    </row>
    <row r="1302" spans="1:9" x14ac:dyDescent="0.35">
      <c r="A1302" s="8"/>
      <c r="B1302" s="8"/>
      <c r="C1302" s="8"/>
      <c r="D1302" s="28"/>
      <c r="E1302" s="8"/>
      <c r="F1302" s="8"/>
      <c r="G1302" s="8"/>
      <c r="H1302" s="28"/>
      <c r="I1302" s="28"/>
    </row>
    <row r="1303" spans="1:9" x14ac:dyDescent="0.35">
      <c r="A1303" s="8"/>
      <c r="B1303" s="8"/>
      <c r="C1303" s="8"/>
      <c r="D1303" s="28"/>
      <c r="E1303" s="8"/>
      <c r="F1303" s="8"/>
      <c r="G1303" s="8"/>
      <c r="H1303" s="28"/>
      <c r="I1303" s="28"/>
    </row>
    <row r="1304" spans="1:9" x14ac:dyDescent="0.35">
      <c r="A1304" s="8"/>
      <c r="B1304" s="8"/>
      <c r="C1304" s="8"/>
      <c r="D1304" s="28"/>
      <c r="E1304" s="8"/>
      <c r="F1304" s="8"/>
      <c r="G1304" s="8"/>
      <c r="H1304" s="28"/>
      <c r="I1304" s="28"/>
    </row>
    <row r="1305" spans="1:9" x14ac:dyDescent="0.35">
      <c r="A1305" s="8"/>
      <c r="B1305" s="8"/>
      <c r="C1305" s="8"/>
      <c r="D1305" s="28"/>
      <c r="E1305" s="8"/>
      <c r="F1305" s="8"/>
      <c r="G1305" s="8"/>
      <c r="H1305" s="28"/>
      <c r="I1305" s="28"/>
    </row>
    <row r="1306" spans="1:9" x14ac:dyDescent="0.35">
      <c r="A1306" s="8"/>
      <c r="B1306" s="8"/>
      <c r="C1306" s="8"/>
      <c r="D1306" s="28"/>
      <c r="E1306" s="8"/>
      <c r="F1306" s="8"/>
      <c r="G1306" s="8"/>
      <c r="H1306" s="28"/>
      <c r="I1306" s="28"/>
    </row>
    <row r="1307" spans="1:9" x14ac:dyDescent="0.35">
      <c r="A1307" s="8"/>
      <c r="B1307" s="8"/>
      <c r="C1307" s="8"/>
      <c r="D1307" s="28"/>
      <c r="E1307" s="8"/>
      <c r="F1307" s="8"/>
      <c r="G1307" s="8"/>
      <c r="H1307" s="28"/>
      <c r="I1307" s="28"/>
    </row>
    <row r="1308" spans="1:9" x14ac:dyDescent="0.35">
      <c r="A1308" s="8"/>
      <c r="B1308" s="8"/>
      <c r="C1308" s="8"/>
      <c r="D1308" s="28"/>
      <c r="E1308" s="8"/>
      <c r="F1308" s="8"/>
      <c r="G1308" s="8"/>
      <c r="H1308" s="28"/>
      <c r="I1308" s="28"/>
    </row>
    <row r="1309" spans="1:9" x14ac:dyDescent="0.35">
      <c r="A1309" s="8"/>
      <c r="B1309" s="8"/>
      <c r="C1309" s="8"/>
      <c r="D1309" s="28"/>
      <c r="E1309" s="8"/>
      <c r="F1309" s="8"/>
      <c r="G1309" s="8"/>
      <c r="H1309" s="28"/>
      <c r="I1309" s="28"/>
    </row>
    <row r="1310" spans="1:9" x14ac:dyDescent="0.35">
      <c r="A1310" s="8"/>
      <c r="B1310" s="8"/>
      <c r="C1310" s="8"/>
      <c r="D1310" s="28"/>
      <c r="E1310" s="8"/>
      <c r="F1310" s="8"/>
      <c r="G1310" s="8"/>
      <c r="H1310" s="28"/>
      <c r="I1310" s="28"/>
    </row>
    <row r="1311" spans="1:9" x14ac:dyDescent="0.35">
      <c r="A1311" s="8"/>
      <c r="B1311" s="8"/>
      <c r="C1311" s="8"/>
      <c r="D1311" s="28"/>
      <c r="E1311" s="8"/>
      <c r="F1311" s="8"/>
      <c r="G1311" s="8"/>
      <c r="H1311" s="28"/>
      <c r="I1311" s="28"/>
    </row>
    <row r="1312" spans="1:9" x14ac:dyDescent="0.35">
      <c r="A1312" s="8"/>
      <c r="B1312" s="8"/>
      <c r="C1312" s="8"/>
      <c r="D1312" s="28"/>
      <c r="E1312" s="8"/>
      <c r="F1312" s="8"/>
      <c r="G1312" s="8"/>
      <c r="H1312" s="28"/>
      <c r="I1312" s="28"/>
    </row>
    <row r="1313" spans="1:9" x14ac:dyDescent="0.35">
      <c r="A1313" s="8"/>
      <c r="B1313" s="8"/>
      <c r="C1313" s="8"/>
      <c r="D1313" s="28"/>
      <c r="E1313" s="8"/>
      <c r="F1313" s="8"/>
      <c r="G1313" s="8"/>
      <c r="H1313" s="28"/>
      <c r="I1313" s="28"/>
    </row>
    <row r="1314" spans="1:9" x14ac:dyDescent="0.35">
      <c r="A1314" s="8"/>
      <c r="B1314" s="8"/>
      <c r="C1314" s="8"/>
      <c r="D1314" s="28"/>
      <c r="E1314" s="8"/>
      <c r="F1314" s="8"/>
      <c r="G1314" s="8"/>
      <c r="H1314" s="28"/>
      <c r="I1314" s="28"/>
    </row>
    <row r="1315" spans="1:9" x14ac:dyDescent="0.35">
      <c r="A1315" s="8"/>
      <c r="B1315" s="8"/>
      <c r="C1315" s="8"/>
      <c r="D1315" s="28"/>
      <c r="E1315" s="8"/>
      <c r="F1315" s="8"/>
      <c r="G1315" s="8"/>
      <c r="H1315" s="28"/>
      <c r="I1315" s="28"/>
    </row>
    <row r="1316" spans="1:9" x14ac:dyDescent="0.35">
      <c r="A1316" s="8"/>
      <c r="B1316" s="8"/>
      <c r="C1316" s="8"/>
      <c r="D1316" s="28"/>
      <c r="E1316" s="8"/>
      <c r="F1316" s="8"/>
      <c r="G1316" s="8"/>
      <c r="H1316" s="28"/>
      <c r="I1316" s="28"/>
    </row>
    <row r="1317" spans="1:9" x14ac:dyDescent="0.35">
      <c r="A1317" s="8"/>
      <c r="B1317" s="8"/>
      <c r="C1317" s="8"/>
      <c r="D1317" s="28"/>
      <c r="E1317" s="8"/>
      <c r="F1317" s="8"/>
      <c r="G1317" s="8"/>
      <c r="H1317" s="28"/>
      <c r="I1317" s="28"/>
    </row>
    <row r="1318" spans="1:9" x14ac:dyDescent="0.35">
      <c r="A1318" s="8"/>
      <c r="B1318" s="8"/>
      <c r="C1318" s="8"/>
      <c r="D1318" s="28"/>
      <c r="E1318" s="8"/>
      <c r="F1318" s="8"/>
      <c r="G1318" s="8"/>
      <c r="H1318" s="28"/>
      <c r="I1318" s="28"/>
    </row>
    <row r="1319" spans="1:9" x14ac:dyDescent="0.35">
      <c r="A1319" s="8"/>
      <c r="B1319" s="8"/>
      <c r="C1319" s="8"/>
      <c r="D1319" s="28"/>
      <c r="E1319" s="8"/>
      <c r="F1319" s="8"/>
      <c r="G1319" s="8"/>
      <c r="H1319" s="28"/>
      <c r="I1319" s="28"/>
    </row>
    <row r="1320" spans="1:9" x14ac:dyDescent="0.35">
      <c r="A1320" s="8"/>
      <c r="B1320" s="8"/>
      <c r="C1320" s="8"/>
      <c r="D1320" s="28"/>
      <c r="E1320" s="8"/>
      <c r="F1320" s="8"/>
      <c r="G1320" s="8"/>
      <c r="H1320" s="28"/>
      <c r="I1320" s="28"/>
    </row>
    <row r="1321" spans="1:9" x14ac:dyDescent="0.35">
      <c r="A1321" s="8"/>
      <c r="B1321" s="8"/>
      <c r="C1321" s="8"/>
      <c r="D1321" s="28"/>
      <c r="E1321" s="8"/>
      <c r="F1321" s="8"/>
      <c r="G1321" s="8"/>
      <c r="H1321" s="28"/>
      <c r="I1321" s="28"/>
    </row>
    <row r="1322" spans="1:9" x14ac:dyDescent="0.35">
      <c r="A1322" s="8"/>
      <c r="B1322" s="8"/>
      <c r="C1322" s="8"/>
      <c r="D1322" s="28"/>
      <c r="E1322" s="8"/>
      <c r="F1322" s="8"/>
      <c r="G1322" s="8"/>
      <c r="H1322" s="28"/>
      <c r="I1322" s="28"/>
    </row>
    <row r="1323" spans="1:9" x14ac:dyDescent="0.35">
      <c r="A1323" s="8"/>
      <c r="B1323" s="8"/>
      <c r="C1323" s="8"/>
      <c r="D1323" s="28"/>
      <c r="E1323" s="8"/>
      <c r="F1323" s="8"/>
      <c r="G1323" s="8"/>
      <c r="H1323" s="28"/>
      <c r="I1323" s="28"/>
    </row>
    <row r="1324" spans="1:9" x14ac:dyDescent="0.35">
      <c r="A1324" s="8"/>
      <c r="B1324" s="8"/>
      <c r="C1324" s="8"/>
      <c r="D1324" s="28"/>
      <c r="E1324" s="8"/>
      <c r="F1324" s="8"/>
      <c r="G1324" s="8"/>
      <c r="H1324" s="28"/>
      <c r="I1324" s="28"/>
    </row>
    <row r="1325" spans="1:9" x14ac:dyDescent="0.35">
      <c r="A1325" s="8"/>
      <c r="B1325" s="8"/>
      <c r="C1325" s="8"/>
      <c r="D1325" s="28"/>
      <c r="E1325" s="8"/>
      <c r="F1325" s="8"/>
      <c r="G1325" s="8"/>
      <c r="H1325" s="28"/>
      <c r="I1325" s="28"/>
    </row>
    <row r="1326" spans="1:9" x14ac:dyDescent="0.35">
      <c r="A1326" s="8"/>
      <c r="B1326" s="8"/>
      <c r="C1326" s="8"/>
      <c r="D1326" s="28"/>
      <c r="E1326" s="8"/>
      <c r="F1326" s="8"/>
      <c r="G1326" s="8"/>
      <c r="H1326" s="28"/>
      <c r="I1326" s="28"/>
    </row>
    <row r="1327" spans="1:9" x14ac:dyDescent="0.35">
      <c r="A1327" s="8"/>
      <c r="B1327" s="8"/>
      <c r="C1327" s="8"/>
      <c r="D1327" s="28"/>
      <c r="E1327" s="8"/>
      <c r="F1327" s="8"/>
      <c r="G1327" s="8"/>
      <c r="H1327" s="28"/>
      <c r="I1327" s="28"/>
    </row>
    <row r="1328" spans="1:9" x14ac:dyDescent="0.35">
      <c r="A1328" s="8"/>
      <c r="B1328" s="8"/>
      <c r="C1328" s="8"/>
      <c r="D1328" s="28"/>
      <c r="E1328" s="8"/>
      <c r="F1328" s="8"/>
      <c r="G1328" s="8"/>
      <c r="H1328" s="28"/>
      <c r="I1328" s="28"/>
    </row>
    <row r="1329" spans="1:9" x14ac:dyDescent="0.35">
      <c r="A1329" s="8"/>
      <c r="B1329" s="8"/>
      <c r="C1329" s="8"/>
      <c r="D1329" s="28"/>
      <c r="E1329" s="8"/>
      <c r="F1329" s="8"/>
      <c r="G1329" s="8"/>
      <c r="H1329" s="28"/>
      <c r="I1329" s="28"/>
    </row>
    <row r="1330" spans="1:9" x14ac:dyDescent="0.35">
      <c r="A1330" s="8"/>
      <c r="B1330" s="8"/>
      <c r="C1330" s="8"/>
      <c r="D1330" s="28"/>
      <c r="E1330" s="8"/>
      <c r="F1330" s="8"/>
      <c r="G1330" s="8"/>
      <c r="H1330" s="28"/>
      <c r="I1330" s="28"/>
    </row>
    <row r="1331" spans="1:9" x14ac:dyDescent="0.35">
      <c r="A1331" s="8"/>
      <c r="B1331" s="8"/>
      <c r="C1331" s="8"/>
      <c r="D1331" s="28"/>
      <c r="E1331" s="8"/>
      <c r="F1331" s="8"/>
      <c r="G1331" s="8"/>
      <c r="H1331" s="28"/>
      <c r="I1331" s="28"/>
    </row>
    <row r="1332" spans="1:9" x14ac:dyDescent="0.35">
      <c r="A1332" s="8"/>
      <c r="B1332" s="8"/>
      <c r="C1332" s="8"/>
      <c r="D1332" s="28"/>
      <c r="E1332" s="8"/>
      <c r="F1332" s="8"/>
      <c r="G1332" s="8"/>
      <c r="H1332" s="28"/>
      <c r="I1332" s="28"/>
    </row>
    <row r="1333" spans="1:9" x14ac:dyDescent="0.35">
      <c r="A1333" s="8"/>
      <c r="B1333" s="8"/>
      <c r="C1333" s="8"/>
      <c r="D1333" s="28"/>
      <c r="E1333" s="8"/>
      <c r="F1333" s="8"/>
      <c r="G1333" s="8"/>
      <c r="H1333" s="28"/>
      <c r="I1333" s="28"/>
    </row>
    <row r="1334" spans="1:9" x14ac:dyDescent="0.35">
      <c r="A1334" s="8"/>
      <c r="B1334" s="8"/>
      <c r="C1334" s="8"/>
      <c r="D1334" s="28"/>
      <c r="E1334" s="8"/>
      <c r="F1334" s="8"/>
      <c r="G1334" s="8"/>
      <c r="H1334" s="28"/>
      <c r="I1334" s="28"/>
    </row>
    <row r="1335" spans="1:9" x14ac:dyDescent="0.35">
      <c r="A1335" s="8"/>
      <c r="B1335" s="8"/>
      <c r="C1335" s="8"/>
      <c r="D1335" s="28"/>
      <c r="E1335" s="8"/>
      <c r="F1335" s="8"/>
      <c r="G1335" s="8"/>
      <c r="H1335" s="28"/>
      <c r="I1335" s="28"/>
    </row>
    <row r="1336" spans="1:9" x14ac:dyDescent="0.35">
      <c r="A1336" s="8"/>
      <c r="B1336" s="8"/>
      <c r="C1336" s="8"/>
      <c r="D1336" s="28"/>
      <c r="E1336" s="8"/>
      <c r="F1336" s="8"/>
      <c r="G1336" s="8"/>
      <c r="H1336" s="28"/>
      <c r="I1336" s="28"/>
    </row>
    <row r="1337" spans="1:9" x14ac:dyDescent="0.35">
      <c r="A1337" s="8"/>
      <c r="B1337" s="8"/>
      <c r="C1337" s="8"/>
      <c r="D1337" s="28"/>
      <c r="E1337" s="8"/>
      <c r="F1337" s="8"/>
      <c r="G1337" s="8"/>
      <c r="H1337" s="28"/>
      <c r="I1337" s="28"/>
    </row>
    <row r="1338" spans="1:9" x14ac:dyDescent="0.35">
      <c r="A1338" s="8"/>
      <c r="B1338" s="8"/>
      <c r="C1338" s="8"/>
      <c r="D1338" s="28"/>
      <c r="E1338" s="8"/>
      <c r="F1338" s="8"/>
      <c r="G1338" s="8"/>
      <c r="H1338" s="28"/>
      <c r="I1338" s="28"/>
    </row>
    <row r="1339" spans="1:9" x14ac:dyDescent="0.35">
      <c r="A1339" s="8"/>
      <c r="B1339" s="8"/>
      <c r="C1339" s="8"/>
      <c r="D1339" s="28"/>
      <c r="E1339" s="8"/>
      <c r="F1339" s="8"/>
      <c r="G1339" s="8"/>
      <c r="H1339" s="28"/>
      <c r="I1339" s="28"/>
    </row>
    <row r="1340" spans="1:9" x14ac:dyDescent="0.35">
      <c r="A1340" s="8"/>
      <c r="B1340" s="8"/>
      <c r="C1340" s="8"/>
      <c r="D1340" s="28"/>
      <c r="E1340" s="8"/>
      <c r="F1340" s="8"/>
      <c r="G1340" s="8"/>
      <c r="H1340" s="28"/>
      <c r="I1340" s="28"/>
    </row>
    <row r="1341" spans="1:9" x14ac:dyDescent="0.35">
      <c r="A1341" s="8"/>
      <c r="B1341" s="8"/>
      <c r="C1341" s="8"/>
      <c r="D1341" s="28"/>
      <c r="E1341" s="8"/>
      <c r="F1341" s="8"/>
      <c r="G1341" s="8"/>
      <c r="H1341" s="28"/>
      <c r="I1341" s="28"/>
    </row>
    <row r="1342" spans="1:9" x14ac:dyDescent="0.35">
      <c r="A1342" s="8"/>
      <c r="B1342" s="8"/>
      <c r="C1342" s="8"/>
      <c r="D1342" s="28"/>
      <c r="E1342" s="8"/>
      <c r="F1342" s="8"/>
      <c r="G1342" s="8"/>
      <c r="H1342" s="28"/>
      <c r="I1342" s="28"/>
    </row>
    <row r="1343" spans="1:9" x14ac:dyDescent="0.35">
      <c r="A1343" s="8"/>
      <c r="B1343" s="8"/>
      <c r="C1343" s="8"/>
      <c r="D1343" s="28"/>
      <c r="E1343" s="8"/>
      <c r="F1343" s="8"/>
      <c r="G1343" s="8"/>
      <c r="H1343" s="28"/>
      <c r="I1343" s="28"/>
    </row>
    <row r="1344" spans="1:9" x14ac:dyDescent="0.35">
      <c r="A1344" s="8"/>
      <c r="B1344" s="8"/>
      <c r="C1344" s="8"/>
      <c r="D1344" s="28"/>
      <c r="E1344" s="8"/>
      <c r="F1344" s="8"/>
      <c r="G1344" s="8"/>
      <c r="H1344" s="28"/>
      <c r="I1344" s="28"/>
    </row>
    <row r="1345" spans="1:9" x14ac:dyDescent="0.35">
      <c r="A1345" s="8"/>
      <c r="B1345" s="8"/>
      <c r="C1345" s="8"/>
      <c r="D1345" s="28"/>
      <c r="E1345" s="8"/>
      <c r="F1345" s="8"/>
      <c r="G1345" s="8"/>
      <c r="H1345" s="28"/>
      <c r="I1345" s="28"/>
    </row>
    <row r="1346" spans="1:9" x14ac:dyDescent="0.35">
      <c r="A1346" s="8"/>
      <c r="B1346" s="8"/>
      <c r="C1346" s="8"/>
      <c r="D1346" s="28"/>
      <c r="E1346" s="8"/>
      <c r="F1346" s="8"/>
      <c r="G1346" s="8"/>
      <c r="H1346" s="28"/>
      <c r="I1346" s="28"/>
    </row>
    <row r="1347" spans="1:9" x14ac:dyDescent="0.35">
      <c r="A1347" s="8"/>
      <c r="B1347" s="8"/>
      <c r="C1347" s="8"/>
      <c r="D1347" s="28"/>
      <c r="E1347" s="8"/>
      <c r="F1347" s="8"/>
      <c r="G1347" s="8"/>
      <c r="H1347" s="28"/>
      <c r="I1347" s="28"/>
    </row>
    <row r="1348" spans="1:9" x14ac:dyDescent="0.35">
      <c r="A1348" s="8"/>
      <c r="B1348" s="8"/>
      <c r="C1348" s="8"/>
      <c r="D1348" s="28"/>
      <c r="E1348" s="8"/>
      <c r="F1348" s="8"/>
      <c r="G1348" s="8"/>
      <c r="H1348" s="28"/>
      <c r="I1348" s="28"/>
    </row>
    <row r="1349" spans="1:9" x14ac:dyDescent="0.35">
      <c r="A1349" s="8"/>
      <c r="B1349" s="8"/>
      <c r="C1349" s="8"/>
      <c r="D1349" s="28"/>
      <c r="E1349" s="8"/>
      <c r="F1349" s="8"/>
      <c r="G1349" s="8"/>
      <c r="H1349" s="28"/>
      <c r="I1349" s="28"/>
    </row>
    <row r="1350" spans="1:9" x14ac:dyDescent="0.35">
      <c r="A1350" s="8"/>
      <c r="B1350" s="8"/>
      <c r="C1350" s="8"/>
      <c r="D1350" s="28"/>
      <c r="E1350" s="8"/>
      <c r="F1350" s="8"/>
      <c r="G1350" s="8"/>
      <c r="H1350" s="28"/>
      <c r="I1350" s="28"/>
    </row>
    <row r="1351" spans="1:9" x14ac:dyDescent="0.35">
      <c r="A1351" s="8"/>
      <c r="B1351" s="8"/>
      <c r="C1351" s="8"/>
      <c r="D1351" s="28"/>
      <c r="E1351" s="8"/>
      <c r="F1351" s="8"/>
      <c r="G1351" s="8"/>
      <c r="H1351" s="28"/>
      <c r="I1351" s="28"/>
    </row>
    <row r="1352" spans="1:9" x14ac:dyDescent="0.35">
      <c r="A1352" s="8"/>
      <c r="B1352" s="8"/>
      <c r="C1352" s="8"/>
      <c r="D1352" s="28"/>
      <c r="E1352" s="8"/>
      <c r="F1352" s="8"/>
      <c r="G1352" s="8"/>
      <c r="H1352" s="28"/>
      <c r="I1352" s="28"/>
    </row>
    <row r="1353" spans="1:9" x14ac:dyDescent="0.35">
      <c r="A1353" s="8"/>
      <c r="B1353" s="8"/>
      <c r="C1353" s="8"/>
      <c r="D1353" s="28"/>
      <c r="E1353" s="8"/>
      <c r="F1353" s="8"/>
      <c r="G1353" s="8"/>
      <c r="H1353" s="28"/>
      <c r="I1353" s="28"/>
    </row>
    <row r="1354" spans="1:9" x14ac:dyDescent="0.35">
      <c r="A1354" s="8"/>
      <c r="B1354" s="8"/>
      <c r="C1354" s="8"/>
      <c r="D1354" s="28"/>
      <c r="E1354" s="8"/>
      <c r="F1354" s="8"/>
      <c r="G1354" s="8"/>
      <c r="H1354" s="28"/>
      <c r="I1354" s="28"/>
    </row>
    <row r="1355" spans="1:9" x14ac:dyDescent="0.35">
      <c r="A1355" s="8"/>
      <c r="B1355" s="8"/>
      <c r="C1355" s="8"/>
      <c r="D1355" s="28"/>
      <c r="E1355" s="8"/>
      <c r="F1355" s="8"/>
      <c r="G1355" s="8"/>
      <c r="H1355" s="28"/>
      <c r="I1355" s="28"/>
    </row>
    <row r="1356" spans="1:9" x14ac:dyDescent="0.35">
      <c r="A1356" s="8"/>
      <c r="B1356" s="8"/>
      <c r="C1356" s="8"/>
      <c r="D1356" s="28"/>
      <c r="E1356" s="8"/>
      <c r="F1356" s="8"/>
      <c r="G1356" s="8"/>
      <c r="H1356" s="28"/>
      <c r="I1356" s="28"/>
    </row>
    <row r="1357" spans="1:9" x14ac:dyDescent="0.35">
      <c r="A1357" s="8"/>
      <c r="B1357" s="8"/>
      <c r="C1357" s="8"/>
      <c r="D1357" s="28"/>
      <c r="E1357" s="8"/>
      <c r="F1357" s="8"/>
      <c r="G1357" s="8"/>
      <c r="H1357" s="28"/>
      <c r="I1357" s="28"/>
    </row>
    <row r="1358" spans="1:9" x14ac:dyDescent="0.35">
      <c r="A1358" s="8"/>
      <c r="B1358" s="8"/>
      <c r="C1358" s="8"/>
      <c r="D1358" s="28"/>
      <c r="E1358" s="8"/>
      <c r="F1358" s="8"/>
      <c r="G1358" s="8"/>
      <c r="H1358" s="28"/>
      <c r="I1358" s="28"/>
    </row>
    <row r="1359" spans="1:9" x14ac:dyDescent="0.35">
      <c r="A1359" s="8"/>
      <c r="B1359" s="8"/>
      <c r="C1359" s="8"/>
      <c r="D1359" s="28"/>
      <c r="E1359" s="8"/>
      <c r="F1359" s="8"/>
      <c r="G1359" s="8"/>
      <c r="H1359" s="28"/>
      <c r="I1359" s="28"/>
    </row>
    <row r="1360" spans="1:9" x14ac:dyDescent="0.35">
      <c r="A1360" s="8"/>
      <c r="B1360" s="8"/>
      <c r="C1360" s="8"/>
      <c r="D1360" s="28"/>
      <c r="E1360" s="8"/>
      <c r="F1360" s="8"/>
      <c r="G1360" s="8"/>
      <c r="H1360" s="28"/>
      <c r="I1360" s="28"/>
    </row>
    <row r="1361" spans="1:9" x14ac:dyDescent="0.35">
      <c r="A1361" s="8"/>
      <c r="B1361" s="8"/>
      <c r="C1361" s="8"/>
      <c r="D1361" s="28"/>
      <c r="E1361" s="8"/>
      <c r="F1361" s="8"/>
      <c r="G1361" s="8"/>
      <c r="H1361" s="28"/>
      <c r="I1361" s="28"/>
    </row>
    <row r="1362" spans="1:9" x14ac:dyDescent="0.35">
      <c r="A1362" s="8"/>
      <c r="B1362" s="8"/>
      <c r="C1362" s="8"/>
      <c r="D1362" s="28"/>
      <c r="E1362" s="8"/>
      <c r="F1362" s="8"/>
      <c r="G1362" s="8"/>
      <c r="H1362" s="28"/>
      <c r="I1362" s="28"/>
    </row>
    <row r="1363" spans="1:9" x14ac:dyDescent="0.35">
      <c r="A1363" s="8"/>
      <c r="B1363" s="8"/>
      <c r="C1363" s="8"/>
      <c r="D1363" s="28"/>
      <c r="E1363" s="8"/>
      <c r="F1363" s="8"/>
      <c r="G1363" s="8"/>
      <c r="H1363" s="28"/>
      <c r="I1363" s="28"/>
    </row>
    <row r="1364" spans="1:9" x14ac:dyDescent="0.35">
      <c r="A1364" s="8"/>
      <c r="B1364" s="8"/>
      <c r="C1364" s="8"/>
      <c r="D1364" s="28"/>
      <c r="E1364" s="8"/>
      <c r="F1364" s="8"/>
      <c r="G1364" s="8"/>
      <c r="H1364" s="28"/>
      <c r="I1364" s="28"/>
    </row>
    <row r="1365" spans="1:9" x14ac:dyDescent="0.35">
      <c r="A1365" s="8"/>
      <c r="B1365" s="8"/>
      <c r="C1365" s="8"/>
      <c r="D1365" s="28"/>
      <c r="E1365" s="8"/>
      <c r="F1365" s="8"/>
      <c r="G1365" s="8"/>
      <c r="H1365" s="28"/>
      <c r="I1365" s="28"/>
    </row>
    <row r="1366" spans="1:9" x14ac:dyDescent="0.35">
      <c r="A1366" s="8"/>
      <c r="B1366" s="8"/>
      <c r="C1366" s="8"/>
      <c r="D1366" s="28"/>
      <c r="E1366" s="8"/>
      <c r="F1366" s="8"/>
      <c r="G1366" s="8"/>
      <c r="H1366" s="28"/>
      <c r="I1366" s="28"/>
    </row>
    <row r="1367" spans="1:9" x14ac:dyDescent="0.35">
      <c r="A1367" s="8"/>
      <c r="B1367" s="8"/>
      <c r="C1367" s="8"/>
      <c r="D1367" s="28"/>
      <c r="E1367" s="8"/>
      <c r="F1367" s="8"/>
      <c r="G1367" s="8"/>
      <c r="H1367" s="28"/>
      <c r="I1367" s="28"/>
    </row>
    <row r="1368" spans="1:9" x14ac:dyDescent="0.35">
      <c r="A1368" s="8"/>
      <c r="B1368" s="8"/>
      <c r="C1368" s="8"/>
      <c r="D1368" s="28"/>
      <c r="E1368" s="8"/>
      <c r="F1368" s="8"/>
      <c r="G1368" s="8"/>
      <c r="H1368" s="28"/>
      <c r="I1368" s="28"/>
    </row>
    <row r="1369" spans="1:9" x14ac:dyDescent="0.35">
      <c r="A1369" s="8"/>
      <c r="B1369" s="8"/>
      <c r="C1369" s="8"/>
      <c r="D1369" s="28"/>
      <c r="E1369" s="8"/>
      <c r="F1369" s="8"/>
      <c r="G1369" s="8"/>
      <c r="H1369" s="28"/>
      <c r="I1369" s="28"/>
    </row>
    <row r="1370" spans="1:9" x14ac:dyDescent="0.35">
      <c r="A1370" s="8"/>
      <c r="B1370" s="8"/>
      <c r="C1370" s="8"/>
      <c r="D1370" s="28"/>
      <c r="E1370" s="8"/>
      <c r="F1370" s="8"/>
      <c r="G1370" s="8"/>
      <c r="H1370" s="28"/>
      <c r="I1370" s="28"/>
    </row>
    <row r="1371" spans="1:9" x14ac:dyDescent="0.35">
      <c r="A1371" s="8"/>
      <c r="B1371" s="8"/>
      <c r="C1371" s="8"/>
      <c r="D1371" s="28"/>
      <c r="E1371" s="8"/>
      <c r="F1371" s="8"/>
      <c r="G1371" s="8"/>
      <c r="H1371" s="28"/>
      <c r="I1371" s="28"/>
    </row>
    <row r="1372" spans="1:9" x14ac:dyDescent="0.35">
      <c r="A1372" s="8"/>
      <c r="B1372" s="8"/>
      <c r="C1372" s="8"/>
      <c r="D1372" s="28"/>
      <c r="E1372" s="8"/>
      <c r="F1372" s="8"/>
      <c r="G1372" s="8"/>
      <c r="H1372" s="28"/>
      <c r="I1372" s="28"/>
    </row>
    <row r="1373" spans="1:9" x14ac:dyDescent="0.35">
      <c r="A1373" s="8"/>
      <c r="B1373" s="8"/>
      <c r="C1373" s="8"/>
      <c r="D1373" s="28"/>
      <c r="E1373" s="8"/>
      <c r="F1373" s="8"/>
      <c r="G1373" s="8"/>
      <c r="H1373" s="28"/>
      <c r="I1373" s="28"/>
    </row>
    <row r="1374" spans="1:9" x14ac:dyDescent="0.35">
      <c r="A1374" s="8"/>
      <c r="B1374" s="8"/>
      <c r="C1374" s="8"/>
      <c r="D1374" s="28"/>
      <c r="E1374" s="8"/>
      <c r="F1374" s="8"/>
      <c r="G1374" s="8"/>
      <c r="H1374" s="28"/>
      <c r="I1374" s="28"/>
    </row>
    <row r="1375" spans="1:9" x14ac:dyDescent="0.35">
      <c r="A1375" s="8"/>
      <c r="B1375" s="8"/>
      <c r="C1375" s="8"/>
      <c r="D1375" s="28"/>
      <c r="E1375" s="8"/>
      <c r="F1375" s="8"/>
      <c r="G1375" s="8"/>
      <c r="H1375" s="28"/>
      <c r="I1375" s="28"/>
    </row>
    <row r="1376" spans="1:9" x14ac:dyDescent="0.35">
      <c r="A1376" s="8"/>
      <c r="B1376" s="8"/>
      <c r="C1376" s="8"/>
      <c r="D1376" s="28"/>
      <c r="E1376" s="8"/>
      <c r="F1376" s="8"/>
      <c r="G1376" s="8"/>
      <c r="H1376" s="28"/>
      <c r="I1376" s="28"/>
    </row>
    <row r="1377" spans="1:9" x14ac:dyDescent="0.35">
      <c r="A1377" s="8"/>
      <c r="B1377" s="8"/>
      <c r="C1377" s="8"/>
      <c r="D1377" s="28"/>
      <c r="E1377" s="8"/>
      <c r="F1377" s="8"/>
      <c r="G1377" s="8"/>
      <c r="H1377" s="28"/>
      <c r="I1377" s="28"/>
    </row>
    <row r="1378" spans="1:9" x14ac:dyDescent="0.35">
      <c r="A1378" s="8"/>
      <c r="B1378" s="8"/>
      <c r="C1378" s="8"/>
      <c r="D1378" s="28"/>
      <c r="E1378" s="8"/>
      <c r="F1378" s="8"/>
      <c r="G1378" s="8"/>
      <c r="H1378" s="28"/>
      <c r="I1378" s="28"/>
    </row>
    <row r="1379" spans="1:9" x14ac:dyDescent="0.35">
      <c r="A1379" s="8"/>
      <c r="B1379" s="8"/>
      <c r="C1379" s="8"/>
      <c r="D1379" s="28"/>
      <c r="E1379" s="8"/>
      <c r="F1379" s="8"/>
      <c r="G1379" s="8"/>
      <c r="H1379" s="28"/>
      <c r="I1379" s="28"/>
    </row>
    <row r="1380" spans="1:9" x14ac:dyDescent="0.35">
      <c r="A1380" s="8"/>
      <c r="B1380" s="8"/>
      <c r="C1380" s="8"/>
      <c r="D1380" s="28"/>
      <c r="E1380" s="8"/>
      <c r="F1380" s="8"/>
      <c r="G1380" s="8"/>
      <c r="H1380" s="28"/>
      <c r="I1380" s="28"/>
    </row>
    <row r="1381" spans="1:9" x14ac:dyDescent="0.35">
      <c r="A1381" s="8"/>
      <c r="B1381" s="8"/>
      <c r="C1381" s="8"/>
      <c r="D1381" s="28"/>
      <c r="E1381" s="8"/>
      <c r="F1381" s="8"/>
      <c r="G1381" s="8"/>
      <c r="H1381" s="28"/>
      <c r="I1381" s="28"/>
    </row>
    <row r="1382" spans="1:9" x14ac:dyDescent="0.35">
      <c r="A1382" s="8"/>
      <c r="B1382" s="8"/>
      <c r="C1382" s="8"/>
      <c r="D1382" s="28"/>
      <c r="E1382" s="8"/>
      <c r="F1382" s="8"/>
      <c r="G1382" s="8"/>
      <c r="H1382" s="28"/>
      <c r="I1382" s="28"/>
    </row>
    <row r="1383" spans="1:9" x14ac:dyDescent="0.35">
      <c r="A1383" s="8"/>
      <c r="B1383" s="8"/>
      <c r="C1383" s="8"/>
      <c r="D1383" s="28"/>
      <c r="E1383" s="8"/>
      <c r="F1383" s="8"/>
      <c r="G1383" s="8"/>
      <c r="H1383" s="28"/>
      <c r="I1383" s="28"/>
    </row>
    <row r="1384" spans="1:9" x14ac:dyDescent="0.35">
      <c r="A1384" s="8"/>
      <c r="B1384" s="8"/>
      <c r="C1384" s="8"/>
      <c r="D1384" s="28"/>
      <c r="E1384" s="8"/>
      <c r="F1384" s="8"/>
      <c r="G1384" s="8"/>
      <c r="H1384" s="28"/>
      <c r="I1384" s="28"/>
    </row>
    <row r="1385" spans="1:9" x14ac:dyDescent="0.35">
      <c r="A1385" s="8"/>
      <c r="B1385" s="8"/>
      <c r="C1385" s="8"/>
      <c r="D1385" s="28"/>
      <c r="E1385" s="8"/>
      <c r="F1385" s="8"/>
      <c r="G1385" s="8"/>
      <c r="H1385" s="28"/>
      <c r="I1385" s="28"/>
    </row>
    <row r="1386" spans="1:9" x14ac:dyDescent="0.35">
      <c r="A1386" s="8"/>
      <c r="B1386" s="8"/>
      <c r="C1386" s="8"/>
      <c r="D1386" s="28"/>
      <c r="E1386" s="8"/>
      <c r="F1386" s="8"/>
      <c r="G1386" s="8"/>
      <c r="H1386" s="28"/>
      <c r="I1386" s="28"/>
    </row>
    <row r="1387" spans="1:9" x14ac:dyDescent="0.35">
      <c r="A1387" s="8"/>
      <c r="B1387" s="8"/>
      <c r="C1387" s="8"/>
      <c r="D1387" s="28"/>
      <c r="E1387" s="8"/>
      <c r="F1387" s="8"/>
      <c r="G1387" s="8"/>
      <c r="H1387" s="28"/>
      <c r="I1387" s="28"/>
    </row>
    <row r="1388" spans="1:9" x14ac:dyDescent="0.35">
      <c r="A1388" s="8"/>
      <c r="B1388" s="8"/>
      <c r="C1388" s="8"/>
      <c r="D1388" s="28"/>
      <c r="E1388" s="8"/>
      <c r="F1388" s="8"/>
      <c r="G1388" s="8"/>
      <c r="H1388" s="28"/>
      <c r="I1388" s="28"/>
    </row>
    <row r="1389" spans="1:9" x14ac:dyDescent="0.35">
      <c r="A1389" s="8"/>
      <c r="B1389" s="8"/>
      <c r="C1389" s="8"/>
      <c r="D1389" s="28"/>
      <c r="E1389" s="8"/>
      <c r="F1389" s="8"/>
      <c r="G1389" s="8"/>
      <c r="H1389" s="28"/>
      <c r="I1389" s="28"/>
    </row>
    <row r="1390" spans="1:9" x14ac:dyDescent="0.35">
      <c r="A1390" s="8"/>
      <c r="B1390" s="8"/>
      <c r="C1390" s="8"/>
      <c r="D1390" s="28"/>
      <c r="E1390" s="8"/>
      <c r="F1390" s="8"/>
      <c r="G1390" s="8"/>
      <c r="H1390" s="28"/>
      <c r="I1390" s="28"/>
    </row>
    <row r="1391" spans="1:9" x14ac:dyDescent="0.35">
      <c r="A1391" s="8"/>
      <c r="B1391" s="8"/>
      <c r="C1391" s="8"/>
      <c r="D1391" s="28"/>
      <c r="E1391" s="8"/>
      <c r="F1391" s="8"/>
      <c r="G1391" s="8"/>
      <c r="H1391" s="28"/>
      <c r="I1391" s="28"/>
    </row>
    <row r="1392" spans="1:9" x14ac:dyDescent="0.35">
      <c r="A1392" s="8"/>
      <c r="B1392" s="8"/>
      <c r="C1392" s="8"/>
      <c r="D1392" s="28"/>
      <c r="E1392" s="8"/>
      <c r="F1392" s="8"/>
      <c r="G1392" s="8"/>
      <c r="H1392" s="28"/>
      <c r="I1392" s="28"/>
    </row>
    <row r="1393" spans="1:9" x14ac:dyDescent="0.35">
      <c r="A1393" s="8"/>
      <c r="B1393" s="8"/>
      <c r="C1393" s="8"/>
      <c r="D1393" s="28"/>
      <c r="E1393" s="8"/>
      <c r="F1393" s="8"/>
      <c r="G1393" s="8"/>
      <c r="H1393" s="28"/>
      <c r="I1393" s="28"/>
    </row>
    <row r="1394" spans="1:9" x14ac:dyDescent="0.35">
      <c r="A1394" s="8"/>
      <c r="B1394" s="8"/>
      <c r="C1394" s="8"/>
      <c r="D1394" s="28"/>
      <c r="E1394" s="8"/>
      <c r="F1394" s="8"/>
      <c r="G1394" s="8"/>
      <c r="H1394" s="28"/>
      <c r="I1394" s="28"/>
    </row>
    <row r="1395" spans="1:9" x14ac:dyDescent="0.35">
      <c r="A1395" s="8"/>
      <c r="B1395" s="8"/>
      <c r="C1395" s="8"/>
      <c r="D1395" s="28"/>
      <c r="E1395" s="8"/>
      <c r="F1395" s="8"/>
      <c r="G1395" s="8"/>
      <c r="H1395" s="28"/>
      <c r="I1395" s="28"/>
    </row>
    <row r="1396" spans="1:9" x14ac:dyDescent="0.35">
      <c r="A1396" s="8"/>
      <c r="B1396" s="8"/>
      <c r="C1396" s="8"/>
      <c r="D1396" s="28"/>
      <c r="E1396" s="8"/>
      <c r="F1396" s="8"/>
      <c r="G1396" s="8"/>
      <c r="H1396" s="28"/>
      <c r="I1396" s="28"/>
    </row>
    <row r="1397" spans="1:9" x14ac:dyDescent="0.35">
      <c r="A1397" s="8"/>
      <c r="B1397" s="8"/>
      <c r="C1397" s="8"/>
      <c r="D1397" s="28"/>
      <c r="E1397" s="8"/>
      <c r="F1397" s="8"/>
      <c r="G1397" s="8"/>
      <c r="H1397" s="28"/>
      <c r="I1397" s="28"/>
    </row>
    <row r="1398" spans="1:9" x14ac:dyDescent="0.35">
      <c r="A1398" s="8"/>
      <c r="B1398" s="8"/>
      <c r="C1398" s="8"/>
      <c r="D1398" s="28"/>
      <c r="E1398" s="8"/>
      <c r="F1398" s="8"/>
      <c r="G1398" s="8"/>
      <c r="H1398" s="28"/>
      <c r="I1398" s="28"/>
    </row>
    <row r="1399" spans="1:9" x14ac:dyDescent="0.35">
      <c r="A1399" s="8"/>
      <c r="B1399" s="8"/>
      <c r="C1399" s="8"/>
      <c r="D1399" s="28"/>
      <c r="E1399" s="8"/>
      <c r="F1399" s="8"/>
      <c r="G1399" s="8"/>
      <c r="H1399" s="28"/>
      <c r="I1399" s="28"/>
    </row>
    <row r="1400" spans="1:9" x14ac:dyDescent="0.35">
      <c r="A1400" s="8"/>
      <c r="B1400" s="8"/>
      <c r="C1400" s="8"/>
      <c r="D1400" s="28"/>
      <c r="E1400" s="8"/>
      <c r="F1400" s="8"/>
      <c r="G1400" s="8"/>
      <c r="H1400" s="28"/>
      <c r="I1400" s="28"/>
    </row>
    <row r="1401" spans="1:9" x14ac:dyDescent="0.35">
      <c r="A1401" s="8"/>
      <c r="B1401" s="8"/>
      <c r="C1401" s="8"/>
      <c r="D1401" s="28"/>
      <c r="E1401" s="8"/>
      <c r="F1401" s="8"/>
      <c r="G1401" s="8"/>
      <c r="H1401" s="28"/>
      <c r="I1401" s="28"/>
    </row>
    <row r="1402" spans="1:9" x14ac:dyDescent="0.35">
      <c r="A1402" s="8"/>
      <c r="B1402" s="8"/>
      <c r="C1402" s="8"/>
      <c r="D1402" s="28"/>
      <c r="E1402" s="8"/>
      <c r="F1402" s="8"/>
      <c r="G1402" s="8"/>
      <c r="H1402" s="28"/>
      <c r="I1402" s="28"/>
    </row>
    <row r="1403" spans="1:9" x14ac:dyDescent="0.35">
      <c r="A1403" s="8"/>
      <c r="B1403" s="8"/>
      <c r="C1403" s="8"/>
      <c r="D1403" s="28"/>
      <c r="E1403" s="8"/>
      <c r="F1403" s="8"/>
      <c r="G1403" s="8"/>
      <c r="H1403" s="28"/>
      <c r="I1403" s="28"/>
    </row>
    <row r="1404" spans="1:9" x14ac:dyDescent="0.35">
      <c r="A1404" s="8"/>
      <c r="B1404" s="8"/>
      <c r="C1404" s="8"/>
      <c r="D1404" s="28"/>
      <c r="E1404" s="8"/>
      <c r="F1404" s="8"/>
      <c r="G1404" s="8"/>
      <c r="H1404" s="28"/>
      <c r="I1404" s="28"/>
    </row>
    <row r="1405" spans="1:9" x14ac:dyDescent="0.35">
      <c r="A1405" s="8"/>
      <c r="B1405" s="8"/>
      <c r="C1405" s="8"/>
      <c r="D1405" s="28"/>
      <c r="E1405" s="8"/>
      <c r="F1405" s="8"/>
      <c r="G1405" s="8"/>
      <c r="H1405" s="28"/>
      <c r="I1405" s="28"/>
    </row>
    <row r="1406" spans="1:9" x14ac:dyDescent="0.35">
      <c r="A1406" s="8"/>
      <c r="B1406" s="8"/>
      <c r="C1406" s="8"/>
      <c r="D1406" s="28"/>
      <c r="E1406" s="8"/>
      <c r="F1406" s="8"/>
      <c r="G1406" s="8"/>
      <c r="H1406" s="28"/>
      <c r="I1406" s="28"/>
    </row>
    <row r="1407" spans="1:9" x14ac:dyDescent="0.35">
      <c r="A1407" s="8"/>
      <c r="B1407" s="8"/>
      <c r="C1407" s="8"/>
      <c r="D1407" s="28"/>
      <c r="E1407" s="8"/>
      <c r="F1407" s="8"/>
      <c r="G1407" s="8"/>
      <c r="H1407" s="28"/>
      <c r="I1407" s="28"/>
    </row>
    <row r="1408" spans="1:9" x14ac:dyDescent="0.35">
      <c r="A1408" s="8"/>
      <c r="B1408" s="8"/>
      <c r="C1408" s="8"/>
      <c r="D1408" s="28"/>
      <c r="E1408" s="8"/>
      <c r="F1408" s="8"/>
      <c r="G1408" s="8"/>
      <c r="H1408" s="28"/>
      <c r="I1408" s="28"/>
    </row>
    <row r="1409" spans="1:9" x14ac:dyDescent="0.35">
      <c r="A1409" s="8"/>
      <c r="B1409" s="8"/>
      <c r="C1409" s="8"/>
      <c r="D1409" s="28"/>
      <c r="E1409" s="8"/>
      <c r="F1409" s="8"/>
      <c r="G1409" s="8"/>
      <c r="H1409" s="28"/>
      <c r="I1409" s="28"/>
    </row>
    <row r="1410" spans="1:9" x14ac:dyDescent="0.35">
      <c r="A1410" s="8"/>
      <c r="B1410" s="8"/>
      <c r="C1410" s="8"/>
      <c r="D1410" s="28"/>
      <c r="E1410" s="8"/>
      <c r="F1410" s="8"/>
      <c r="G1410" s="8"/>
      <c r="H1410" s="28"/>
      <c r="I1410" s="28"/>
    </row>
    <row r="1411" spans="1:9" x14ac:dyDescent="0.35">
      <c r="A1411" s="8"/>
      <c r="B1411" s="8"/>
      <c r="C1411" s="8"/>
      <c r="D1411" s="28"/>
      <c r="E1411" s="8"/>
      <c r="F1411" s="8"/>
      <c r="G1411" s="8"/>
      <c r="H1411" s="28"/>
      <c r="I1411" s="28"/>
    </row>
    <row r="1412" spans="1:9" x14ac:dyDescent="0.35">
      <c r="A1412" s="8"/>
      <c r="B1412" s="8"/>
      <c r="C1412" s="8"/>
      <c r="D1412" s="28"/>
      <c r="E1412" s="8"/>
      <c r="F1412" s="8"/>
      <c r="G1412" s="8"/>
      <c r="H1412" s="28"/>
      <c r="I1412" s="28"/>
    </row>
    <row r="1413" spans="1:9" x14ac:dyDescent="0.35">
      <c r="A1413" s="8"/>
      <c r="B1413" s="8"/>
      <c r="C1413" s="8"/>
      <c r="D1413" s="28"/>
      <c r="E1413" s="8"/>
      <c r="F1413" s="8"/>
      <c r="G1413" s="8"/>
      <c r="H1413" s="28"/>
      <c r="I1413" s="28"/>
    </row>
    <row r="1414" spans="1:9" x14ac:dyDescent="0.35">
      <c r="A1414" s="8"/>
      <c r="B1414" s="8"/>
      <c r="C1414" s="8"/>
      <c r="D1414" s="28"/>
      <c r="E1414" s="8"/>
      <c r="F1414" s="8"/>
      <c r="G1414" s="8"/>
      <c r="H1414" s="28"/>
      <c r="I1414" s="28"/>
    </row>
    <row r="1415" spans="1:9" x14ac:dyDescent="0.35">
      <c r="A1415" s="8"/>
      <c r="B1415" s="8"/>
      <c r="C1415" s="8"/>
      <c r="D1415" s="28"/>
      <c r="E1415" s="8"/>
      <c r="F1415" s="8"/>
      <c r="G1415" s="8"/>
      <c r="H1415" s="28"/>
      <c r="I1415" s="28"/>
    </row>
    <row r="1416" spans="1:9" x14ac:dyDescent="0.35">
      <c r="A1416" s="8"/>
      <c r="B1416" s="8"/>
      <c r="C1416" s="8"/>
      <c r="D1416" s="28"/>
      <c r="E1416" s="8"/>
      <c r="F1416" s="8"/>
      <c r="G1416" s="8"/>
      <c r="H1416" s="28"/>
      <c r="I1416" s="28"/>
    </row>
    <row r="1417" spans="1:9" x14ac:dyDescent="0.35">
      <c r="A1417" s="8"/>
      <c r="B1417" s="8"/>
      <c r="C1417" s="8"/>
      <c r="D1417" s="28"/>
      <c r="E1417" s="8"/>
      <c r="F1417" s="8"/>
      <c r="G1417" s="8"/>
      <c r="H1417" s="28"/>
      <c r="I1417" s="28"/>
    </row>
    <row r="1418" spans="1:9" x14ac:dyDescent="0.35">
      <c r="A1418" s="8"/>
      <c r="B1418" s="8"/>
      <c r="C1418" s="8"/>
      <c r="D1418" s="28"/>
      <c r="E1418" s="8"/>
      <c r="F1418" s="8"/>
      <c r="G1418" s="8"/>
      <c r="H1418" s="28"/>
      <c r="I1418" s="28"/>
    </row>
    <row r="1419" spans="1:9" x14ac:dyDescent="0.35">
      <c r="A1419" s="8"/>
      <c r="B1419" s="8"/>
      <c r="C1419" s="8"/>
      <c r="D1419" s="28"/>
      <c r="E1419" s="8"/>
      <c r="F1419" s="8"/>
      <c r="G1419" s="8"/>
      <c r="H1419" s="28"/>
      <c r="I1419" s="28"/>
    </row>
    <row r="1420" spans="1:9" x14ac:dyDescent="0.35">
      <c r="A1420" s="8"/>
      <c r="B1420" s="8"/>
      <c r="C1420" s="8"/>
      <c r="D1420" s="28"/>
      <c r="E1420" s="8"/>
      <c r="F1420" s="8"/>
      <c r="G1420" s="8"/>
      <c r="H1420" s="28"/>
      <c r="I1420" s="28"/>
    </row>
    <row r="1421" spans="1:9" x14ac:dyDescent="0.35">
      <c r="A1421" s="8"/>
      <c r="B1421" s="8"/>
      <c r="C1421" s="8"/>
      <c r="D1421" s="28"/>
      <c r="E1421" s="8"/>
      <c r="F1421" s="8"/>
      <c r="G1421" s="8"/>
      <c r="H1421" s="28"/>
      <c r="I1421" s="28"/>
    </row>
    <row r="1422" spans="1:9" x14ac:dyDescent="0.35">
      <c r="A1422" s="8"/>
      <c r="B1422" s="8"/>
      <c r="C1422" s="8"/>
      <c r="D1422" s="28"/>
      <c r="E1422" s="8"/>
      <c r="F1422" s="8"/>
      <c r="G1422" s="8"/>
      <c r="H1422" s="28"/>
      <c r="I1422" s="28"/>
    </row>
    <row r="1423" spans="1:9" x14ac:dyDescent="0.35">
      <c r="A1423" s="8"/>
      <c r="B1423" s="8"/>
      <c r="C1423" s="8"/>
      <c r="D1423" s="28"/>
      <c r="E1423" s="8"/>
      <c r="F1423" s="8"/>
      <c r="G1423" s="8"/>
      <c r="H1423" s="28"/>
      <c r="I1423" s="28"/>
    </row>
    <row r="1424" spans="1:9" x14ac:dyDescent="0.35">
      <c r="A1424" s="8"/>
      <c r="B1424" s="8"/>
      <c r="C1424" s="8"/>
      <c r="D1424" s="28"/>
      <c r="E1424" s="8"/>
      <c r="F1424" s="8"/>
      <c r="G1424" s="8"/>
      <c r="H1424" s="28"/>
      <c r="I1424" s="28"/>
    </row>
    <row r="1425" spans="1:9" x14ac:dyDescent="0.35">
      <c r="A1425" s="8"/>
      <c r="B1425" s="8"/>
      <c r="C1425" s="8"/>
      <c r="D1425" s="28"/>
      <c r="E1425" s="8"/>
      <c r="F1425" s="8"/>
      <c r="G1425" s="8"/>
      <c r="H1425" s="28"/>
      <c r="I1425" s="28"/>
    </row>
    <row r="1426" spans="1:9" x14ac:dyDescent="0.35">
      <c r="A1426" s="8"/>
      <c r="B1426" s="8"/>
      <c r="C1426" s="8"/>
      <c r="D1426" s="28"/>
      <c r="E1426" s="8"/>
      <c r="F1426" s="8"/>
      <c r="G1426" s="8"/>
      <c r="H1426" s="28"/>
      <c r="I1426" s="28"/>
    </row>
    <row r="1427" spans="1:9" x14ac:dyDescent="0.35">
      <c r="A1427" s="8"/>
      <c r="B1427" s="8"/>
      <c r="C1427" s="8"/>
      <c r="D1427" s="28"/>
      <c r="E1427" s="8"/>
      <c r="F1427" s="8"/>
      <c r="G1427" s="8"/>
      <c r="H1427" s="28"/>
      <c r="I1427" s="28"/>
    </row>
    <row r="1428" spans="1:9" x14ac:dyDescent="0.35">
      <c r="A1428" s="8"/>
      <c r="B1428" s="8"/>
      <c r="C1428" s="8"/>
      <c r="D1428" s="28"/>
      <c r="E1428" s="8"/>
      <c r="F1428" s="8"/>
      <c r="G1428" s="8"/>
      <c r="H1428" s="28"/>
      <c r="I1428" s="28"/>
    </row>
    <row r="1429" spans="1:9" x14ac:dyDescent="0.35">
      <c r="A1429" s="8"/>
      <c r="B1429" s="8"/>
      <c r="C1429" s="8"/>
      <c r="D1429" s="28"/>
      <c r="E1429" s="8"/>
      <c r="F1429" s="8"/>
      <c r="G1429" s="8"/>
      <c r="H1429" s="28"/>
      <c r="I1429" s="28"/>
    </row>
    <row r="1430" spans="1:9" x14ac:dyDescent="0.35">
      <c r="A1430" s="8"/>
      <c r="B1430" s="8"/>
      <c r="C1430" s="8"/>
      <c r="D1430" s="28"/>
      <c r="E1430" s="8"/>
      <c r="F1430" s="8"/>
      <c r="G1430" s="8"/>
      <c r="H1430" s="28"/>
      <c r="I1430" s="28"/>
    </row>
    <row r="1431" spans="1:9" x14ac:dyDescent="0.35">
      <c r="A1431" s="8"/>
      <c r="B1431" s="8"/>
      <c r="C1431" s="8"/>
      <c r="D1431" s="28"/>
      <c r="E1431" s="8"/>
      <c r="F1431" s="8"/>
      <c r="G1431" s="8"/>
      <c r="H1431" s="28"/>
      <c r="I1431" s="28"/>
    </row>
    <row r="1432" spans="1:9" x14ac:dyDescent="0.35">
      <c r="A1432" s="8"/>
      <c r="B1432" s="8"/>
      <c r="C1432" s="8"/>
      <c r="D1432" s="28"/>
      <c r="E1432" s="8"/>
      <c r="F1432" s="8"/>
      <c r="G1432" s="8"/>
      <c r="H1432" s="28"/>
      <c r="I1432" s="28"/>
    </row>
    <row r="1433" spans="1:9" x14ac:dyDescent="0.35">
      <c r="A1433" s="8"/>
      <c r="B1433" s="8"/>
      <c r="C1433" s="8"/>
      <c r="D1433" s="28"/>
      <c r="E1433" s="8"/>
      <c r="F1433" s="8"/>
      <c r="G1433" s="8"/>
      <c r="H1433" s="28"/>
      <c r="I1433" s="28"/>
    </row>
    <row r="1434" spans="1:9" x14ac:dyDescent="0.35">
      <c r="A1434" s="8"/>
      <c r="B1434" s="8"/>
      <c r="C1434" s="8"/>
      <c r="D1434" s="28"/>
      <c r="E1434" s="8"/>
      <c r="F1434" s="8"/>
      <c r="G1434" s="8"/>
      <c r="H1434" s="28"/>
      <c r="I1434" s="28"/>
    </row>
    <row r="1435" spans="1:9" x14ac:dyDescent="0.35">
      <c r="A1435" s="8"/>
      <c r="B1435" s="8"/>
      <c r="C1435" s="8"/>
      <c r="D1435" s="28"/>
      <c r="E1435" s="8"/>
      <c r="F1435" s="8"/>
      <c r="G1435" s="8"/>
      <c r="H1435" s="28"/>
      <c r="I1435" s="28"/>
    </row>
    <row r="1436" spans="1:9" x14ac:dyDescent="0.35">
      <c r="A1436" s="8"/>
      <c r="B1436" s="8"/>
      <c r="C1436" s="8"/>
      <c r="D1436" s="28"/>
      <c r="E1436" s="8"/>
      <c r="F1436" s="8"/>
      <c r="G1436" s="8"/>
      <c r="H1436" s="28"/>
      <c r="I1436" s="28"/>
    </row>
    <row r="1437" spans="1:9" x14ac:dyDescent="0.35">
      <c r="A1437" s="8"/>
      <c r="B1437" s="8"/>
      <c r="C1437" s="8"/>
      <c r="D1437" s="28"/>
      <c r="E1437" s="8"/>
      <c r="F1437" s="8"/>
      <c r="G1437" s="8"/>
      <c r="H1437" s="28"/>
      <c r="I1437" s="28"/>
    </row>
    <row r="1438" spans="1:9" x14ac:dyDescent="0.35">
      <c r="A1438" s="8"/>
      <c r="B1438" s="8"/>
      <c r="C1438" s="8"/>
      <c r="D1438" s="28"/>
      <c r="E1438" s="8"/>
      <c r="F1438" s="8"/>
      <c r="G1438" s="8"/>
      <c r="H1438" s="28"/>
      <c r="I1438" s="28"/>
    </row>
    <row r="1439" spans="1:9" x14ac:dyDescent="0.35">
      <c r="A1439" s="8"/>
      <c r="B1439" s="8"/>
      <c r="C1439" s="8"/>
      <c r="D1439" s="28"/>
      <c r="E1439" s="8"/>
      <c r="F1439" s="8"/>
      <c r="G1439" s="8"/>
      <c r="H1439" s="28"/>
      <c r="I1439" s="28"/>
    </row>
    <row r="1440" spans="1:9" x14ac:dyDescent="0.35">
      <c r="A1440" s="8"/>
      <c r="B1440" s="8"/>
      <c r="C1440" s="8"/>
      <c r="D1440" s="28"/>
      <c r="E1440" s="8"/>
      <c r="F1440" s="8"/>
      <c r="G1440" s="8"/>
      <c r="H1440" s="28"/>
      <c r="I1440" s="28"/>
    </row>
    <row r="1441" spans="1:9" x14ac:dyDescent="0.35">
      <c r="A1441" s="8"/>
      <c r="B1441" s="8"/>
      <c r="C1441" s="8"/>
      <c r="D1441" s="28"/>
      <c r="E1441" s="8"/>
      <c r="F1441" s="8"/>
      <c r="G1441" s="8"/>
      <c r="H1441" s="28"/>
      <c r="I1441" s="28"/>
    </row>
    <row r="1442" spans="1:9" x14ac:dyDescent="0.35">
      <c r="A1442" s="8"/>
      <c r="B1442" s="8"/>
      <c r="C1442" s="8"/>
      <c r="D1442" s="28"/>
      <c r="E1442" s="8"/>
      <c r="F1442" s="8"/>
      <c r="G1442" s="8"/>
      <c r="H1442" s="28"/>
      <c r="I1442" s="28"/>
    </row>
    <row r="1443" spans="1:9" x14ac:dyDescent="0.35">
      <c r="A1443" s="8"/>
      <c r="B1443" s="8"/>
      <c r="C1443" s="8"/>
      <c r="D1443" s="28"/>
      <c r="E1443" s="8"/>
      <c r="F1443" s="8"/>
      <c r="G1443" s="8"/>
      <c r="H1443" s="28"/>
      <c r="I1443" s="28"/>
    </row>
    <row r="1444" spans="1:9" x14ac:dyDescent="0.35">
      <c r="A1444" s="8"/>
      <c r="B1444" s="8"/>
      <c r="C1444" s="8"/>
      <c r="D1444" s="28"/>
      <c r="E1444" s="8"/>
      <c r="F1444" s="8"/>
      <c r="G1444" s="8"/>
      <c r="H1444" s="28"/>
      <c r="I1444" s="28"/>
    </row>
    <row r="1445" spans="1:9" x14ac:dyDescent="0.35">
      <c r="A1445" s="8"/>
      <c r="B1445" s="8"/>
      <c r="C1445" s="8"/>
      <c r="D1445" s="28"/>
      <c r="E1445" s="8"/>
      <c r="F1445" s="8"/>
      <c r="G1445" s="8"/>
      <c r="H1445" s="28"/>
      <c r="I1445" s="28"/>
    </row>
    <row r="1446" spans="1:9" x14ac:dyDescent="0.35">
      <c r="A1446" s="8"/>
      <c r="B1446" s="8"/>
      <c r="C1446" s="8"/>
      <c r="D1446" s="28"/>
      <c r="E1446" s="8"/>
      <c r="F1446" s="8"/>
      <c r="G1446" s="8"/>
      <c r="H1446" s="28"/>
      <c r="I1446" s="28"/>
    </row>
    <row r="1447" spans="1:9" x14ac:dyDescent="0.35">
      <c r="A1447" s="8"/>
      <c r="B1447" s="8"/>
      <c r="C1447" s="8"/>
      <c r="D1447" s="28"/>
      <c r="E1447" s="8"/>
      <c r="F1447" s="8"/>
      <c r="G1447" s="8"/>
      <c r="H1447" s="28"/>
      <c r="I1447" s="28"/>
    </row>
    <row r="1448" spans="1:9" x14ac:dyDescent="0.35">
      <c r="A1448" s="8"/>
      <c r="B1448" s="8"/>
      <c r="C1448" s="8"/>
      <c r="D1448" s="28"/>
      <c r="E1448" s="8"/>
      <c r="F1448" s="8"/>
      <c r="G1448" s="8"/>
      <c r="H1448" s="28"/>
      <c r="I1448" s="28"/>
    </row>
    <row r="1449" spans="1:9" x14ac:dyDescent="0.35">
      <c r="A1449" s="8"/>
      <c r="B1449" s="8"/>
      <c r="C1449" s="8"/>
      <c r="D1449" s="28"/>
      <c r="E1449" s="8"/>
      <c r="F1449" s="8"/>
      <c r="G1449" s="8"/>
      <c r="H1449" s="28"/>
      <c r="I1449" s="28"/>
    </row>
    <row r="1450" spans="1:9" x14ac:dyDescent="0.35">
      <c r="A1450" s="8"/>
      <c r="B1450" s="8"/>
      <c r="C1450" s="8"/>
      <c r="D1450" s="28"/>
      <c r="E1450" s="8"/>
      <c r="F1450" s="8"/>
      <c r="G1450" s="8"/>
      <c r="H1450" s="28"/>
      <c r="I1450" s="28"/>
    </row>
    <row r="1451" spans="1:9" x14ac:dyDescent="0.35">
      <c r="A1451" s="8"/>
      <c r="B1451" s="8"/>
      <c r="C1451" s="8"/>
      <c r="D1451" s="28"/>
      <c r="E1451" s="8"/>
      <c r="F1451" s="8"/>
      <c r="G1451" s="8"/>
      <c r="H1451" s="28"/>
      <c r="I1451" s="28"/>
    </row>
    <row r="1452" spans="1:9" x14ac:dyDescent="0.35">
      <c r="A1452" s="8"/>
      <c r="B1452" s="8"/>
      <c r="C1452" s="8"/>
      <c r="D1452" s="28"/>
      <c r="E1452" s="8"/>
      <c r="F1452" s="8"/>
      <c r="G1452" s="8"/>
      <c r="H1452" s="28"/>
      <c r="I1452" s="28"/>
    </row>
    <row r="1453" spans="1:9" x14ac:dyDescent="0.35">
      <c r="A1453" s="8"/>
      <c r="B1453" s="8"/>
      <c r="C1453" s="8"/>
      <c r="D1453" s="28"/>
      <c r="E1453" s="8"/>
      <c r="F1453" s="8"/>
      <c r="G1453" s="8"/>
      <c r="H1453" s="28"/>
      <c r="I1453" s="28"/>
    </row>
    <row r="1454" spans="1:9" x14ac:dyDescent="0.35">
      <c r="A1454" s="8"/>
      <c r="B1454" s="8"/>
      <c r="C1454" s="8"/>
      <c r="D1454" s="28"/>
      <c r="E1454" s="8"/>
      <c r="F1454" s="8"/>
      <c r="G1454" s="8"/>
      <c r="H1454" s="28"/>
      <c r="I1454" s="28"/>
    </row>
    <row r="1455" spans="1:9" x14ac:dyDescent="0.35">
      <c r="A1455" s="8"/>
      <c r="B1455" s="8"/>
      <c r="C1455" s="8"/>
      <c r="D1455" s="28"/>
      <c r="E1455" s="8"/>
      <c r="F1455" s="8"/>
      <c r="G1455" s="8"/>
      <c r="H1455" s="28"/>
      <c r="I1455" s="28"/>
    </row>
    <row r="1456" spans="1:9" x14ac:dyDescent="0.35">
      <c r="A1456" s="8"/>
      <c r="B1456" s="8"/>
      <c r="C1456" s="8"/>
      <c r="D1456" s="28"/>
      <c r="E1456" s="8"/>
      <c r="F1456" s="8"/>
      <c r="G1456" s="8"/>
      <c r="H1456" s="28"/>
      <c r="I1456" s="28"/>
    </row>
    <row r="1457" spans="1:9" x14ac:dyDescent="0.35">
      <c r="A1457" s="8"/>
      <c r="B1457" s="8"/>
      <c r="C1457" s="8"/>
      <c r="D1457" s="28"/>
      <c r="E1457" s="8"/>
      <c r="F1457" s="8"/>
      <c r="G1457" s="8"/>
      <c r="H1457" s="28"/>
      <c r="I1457" s="28"/>
    </row>
    <row r="1458" spans="1:9" x14ac:dyDescent="0.35">
      <c r="A1458" s="8"/>
      <c r="B1458" s="8"/>
      <c r="C1458" s="8"/>
      <c r="D1458" s="28"/>
      <c r="E1458" s="8"/>
      <c r="F1458" s="8"/>
      <c r="G1458" s="8"/>
      <c r="H1458" s="28"/>
      <c r="I1458" s="28"/>
    </row>
    <row r="1459" spans="1:9" x14ac:dyDescent="0.35">
      <c r="A1459" s="8"/>
      <c r="B1459" s="8"/>
      <c r="C1459" s="8"/>
      <c r="D1459" s="28"/>
      <c r="E1459" s="8"/>
      <c r="F1459" s="8"/>
      <c r="G1459" s="8"/>
      <c r="H1459" s="28"/>
      <c r="I1459" s="28"/>
    </row>
    <row r="1460" spans="1:9" x14ac:dyDescent="0.35">
      <c r="A1460" s="8"/>
      <c r="B1460" s="8"/>
      <c r="C1460" s="8"/>
      <c r="D1460" s="28"/>
      <c r="E1460" s="8"/>
      <c r="F1460" s="8"/>
      <c r="G1460" s="8"/>
      <c r="H1460" s="28"/>
      <c r="I1460" s="28"/>
    </row>
    <row r="1461" spans="1:9" x14ac:dyDescent="0.35">
      <c r="A1461" s="8"/>
      <c r="B1461" s="8"/>
      <c r="C1461" s="8"/>
      <c r="D1461" s="28"/>
      <c r="E1461" s="8"/>
      <c r="F1461" s="8"/>
      <c r="G1461" s="8"/>
      <c r="H1461" s="28"/>
      <c r="I1461" s="28"/>
    </row>
    <row r="1462" spans="1:9" x14ac:dyDescent="0.35">
      <c r="A1462" s="8"/>
      <c r="B1462" s="8"/>
      <c r="C1462" s="8"/>
      <c r="D1462" s="28"/>
      <c r="E1462" s="8"/>
      <c r="F1462" s="8"/>
      <c r="G1462" s="8"/>
      <c r="H1462" s="28"/>
      <c r="I1462" s="28"/>
    </row>
    <row r="1463" spans="1:9" x14ac:dyDescent="0.35">
      <c r="A1463" s="8"/>
      <c r="B1463" s="8"/>
      <c r="C1463" s="8"/>
      <c r="D1463" s="28"/>
      <c r="E1463" s="8"/>
      <c r="F1463" s="8"/>
      <c r="G1463" s="8"/>
      <c r="H1463" s="28"/>
      <c r="I1463" s="28"/>
    </row>
    <row r="1464" spans="1:9" x14ac:dyDescent="0.35">
      <c r="A1464" s="8"/>
      <c r="B1464" s="8"/>
      <c r="C1464" s="8"/>
      <c r="D1464" s="28"/>
      <c r="E1464" s="8"/>
      <c r="F1464" s="8"/>
      <c r="G1464" s="8"/>
      <c r="H1464" s="28"/>
      <c r="I1464" s="28"/>
    </row>
    <row r="1465" spans="1:9" x14ac:dyDescent="0.35">
      <c r="A1465" s="8"/>
      <c r="B1465" s="8"/>
      <c r="C1465" s="8"/>
      <c r="D1465" s="28"/>
      <c r="E1465" s="8"/>
      <c r="F1465" s="8"/>
      <c r="G1465" s="8"/>
      <c r="H1465" s="28"/>
      <c r="I1465" s="28"/>
    </row>
    <row r="1466" spans="1:9" x14ac:dyDescent="0.35">
      <c r="A1466" s="8"/>
      <c r="B1466" s="8"/>
      <c r="C1466" s="8"/>
      <c r="D1466" s="28"/>
      <c r="E1466" s="8"/>
      <c r="F1466" s="8"/>
      <c r="G1466" s="8"/>
      <c r="H1466" s="28"/>
      <c r="I1466" s="28"/>
    </row>
    <row r="1467" spans="1:9" x14ac:dyDescent="0.35">
      <c r="A1467" s="8"/>
      <c r="B1467" s="8"/>
      <c r="C1467" s="8"/>
      <c r="D1467" s="28"/>
      <c r="E1467" s="8"/>
      <c r="F1467" s="8"/>
      <c r="G1467" s="8"/>
      <c r="H1467" s="28"/>
      <c r="I1467" s="28"/>
    </row>
    <row r="1468" spans="1:9" x14ac:dyDescent="0.35">
      <c r="A1468" s="8"/>
      <c r="B1468" s="8"/>
      <c r="C1468" s="8"/>
      <c r="D1468" s="28"/>
      <c r="E1468" s="8"/>
      <c r="F1468" s="8"/>
      <c r="G1468" s="8"/>
      <c r="H1468" s="28"/>
      <c r="I1468" s="28"/>
    </row>
    <row r="1469" spans="1:9" x14ac:dyDescent="0.35">
      <c r="A1469" s="8"/>
      <c r="B1469" s="8"/>
      <c r="C1469" s="8"/>
      <c r="D1469" s="28"/>
      <c r="E1469" s="8"/>
      <c r="F1469" s="8"/>
      <c r="G1469" s="8"/>
      <c r="H1469" s="28"/>
      <c r="I1469" s="28"/>
    </row>
    <row r="1470" spans="1:9" x14ac:dyDescent="0.35">
      <c r="A1470" s="8"/>
      <c r="B1470" s="8"/>
      <c r="C1470" s="8"/>
      <c r="D1470" s="28"/>
      <c r="E1470" s="8"/>
      <c r="F1470" s="8"/>
      <c r="G1470" s="8"/>
      <c r="H1470" s="28"/>
      <c r="I1470" s="28"/>
    </row>
    <row r="1471" spans="1:9" x14ac:dyDescent="0.35">
      <c r="A1471" s="8"/>
      <c r="B1471" s="8"/>
      <c r="C1471" s="8"/>
      <c r="D1471" s="28"/>
      <c r="E1471" s="8"/>
      <c r="F1471" s="8"/>
      <c r="G1471" s="8"/>
      <c r="H1471" s="28"/>
      <c r="I1471" s="28"/>
    </row>
    <row r="1472" spans="1:9" x14ac:dyDescent="0.35">
      <c r="A1472" s="8"/>
      <c r="B1472" s="8"/>
      <c r="C1472" s="8"/>
      <c r="D1472" s="28"/>
      <c r="E1472" s="8"/>
      <c r="F1472" s="8"/>
      <c r="G1472" s="8"/>
      <c r="H1472" s="28"/>
      <c r="I1472" s="28"/>
    </row>
    <row r="1473" spans="1:9" x14ac:dyDescent="0.35">
      <c r="A1473" s="8"/>
      <c r="B1473" s="8"/>
      <c r="C1473" s="8"/>
      <c r="D1473" s="28"/>
      <c r="E1473" s="8"/>
      <c r="F1473" s="8"/>
      <c r="G1473" s="8"/>
      <c r="H1473" s="28"/>
      <c r="I1473" s="28"/>
    </row>
    <row r="1474" spans="1:9" x14ac:dyDescent="0.35">
      <c r="A1474" s="8"/>
      <c r="B1474" s="8"/>
      <c r="C1474" s="8"/>
      <c r="D1474" s="28"/>
      <c r="E1474" s="8"/>
      <c r="F1474" s="8"/>
      <c r="G1474" s="8"/>
      <c r="H1474" s="28"/>
      <c r="I1474" s="28"/>
    </row>
    <row r="1475" spans="1:9" x14ac:dyDescent="0.35">
      <c r="A1475" s="8"/>
      <c r="B1475" s="8"/>
      <c r="C1475" s="8"/>
      <c r="D1475" s="28"/>
      <c r="E1475" s="8"/>
      <c r="F1475" s="8"/>
      <c r="G1475" s="8"/>
      <c r="H1475" s="28"/>
      <c r="I1475" s="28"/>
    </row>
    <row r="1476" spans="1:9" x14ac:dyDescent="0.35">
      <c r="A1476" s="8"/>
      <c r="B1476" s="8"/>
      <c r="C1476" s="8"/>
      <c r="D1476" s="28"/>
      <c r="E1476" s="8"/>
      <c r="F1476" s="8"/>
      <c r="G1476" s="8"/>
      <c r="H1476" s="28"/>
      <c r="I1476" s="28"/>
    </row>
    <row r="1477" spans="1:9" x14ac:dyDescent="0.35">
      <c r="A1477" s="8"/>
      <c r="B1477" s="8"/>
      <c r="C1477" s="8"/>
      <c r="D1477" s="28"/>
      <c r="E1477" s="8"/>
      <c r="F1477" s="8"/>
      <c r="G1477" s="8"/>
      <c r="H1477" s="28"/>
      <c r="I1477" s="28"/>
    </row>
    <row r="1478" spans="1:9" x14ac:dyDescent="0.35">
      <c r="A1478" s="8"/>
      <c r="B1478" s="8"/>
      <c r="C1478" s="8"/>
      <c r="D1478" s="28"/>
      <c r="E1478" s="8"/>
      <c r="F1478" s="8"/>
      <c r="G1478" s="8"/>
      <c r="H1478" s="28"/>
      <c r="I1478" s="28"/>
    </row>
    <row r="1479" spans="1:9" x14ac:dyDescent="0.35">
      <c r="A1479" s="8"/>
      <c r="B1479" s="8"/>
      <c r="C1479" s="8"/>
      <c r="D1479" s="28"/>
      <c r="E1479" s="8"/>
      <c r="F1479" s="8"/>
      <c r="G1479" s="8"/>
      <c r="H1479" s="28"/>
      <c r="I1479" s="28"/>
    </row>
    <row r="1480" spans="1:9" x14ac:dyDescent="0.35">
      <c r="A1480" s="8"/>
      <c r="B1480" s="8"/>
      <c r="C1480" s="8"/>
      <c r="D1480" s="28"/>
      <c r="E1480" s="8"/>
      <c r="F1480" s="8"/>
      <c r="G1480" s="8"/>
      <c r="H1480" s="28"/>
      <c r="I1480" s="28"/>
    </row>
    <row r="1481" spans="1:9" x14ac:dyDescent="0.35">
      <c r="A1481" s="8"/>
      <c r="B1481" s="8"/>
      <c r="C1481" s="8"/>
      <c r="D1481" s="28"/>
      <c r="E1481" s="8"/>
      <c r="F1481" s="8"/>
      <c r="G1481" s="8"/>
      <c r="H1481" s="28"/>
      <c r="I1481" s="28"/>
    </row>
    <row r="1482" spans="1:9" x14ac:dyDescent="0.35">
      <c r="A1482" s="8"/>
      <c r="B1482" s="8"/>
      <c r="C1482" s="8"/>
      <c r="D1482" s="28"/>
      <c r="E1482" s="8"/>
      <c r="F1482" s="8"/>
      <c r="G1482" s="8"/>
      <c r="H1482" s="28"/>
      <c r="I1482" s="28"/>
    </row>
    <row r="1483" spans="1:9" x14ac:dyDescent="0.35">
      <c r="A1483" s="8"/>
      <c r="B1483" s="8"/>
      <c r="C1483" s="8"/>
      <c r="D1483" s="28"/>
      <c r="E1483" s="8"/>
      <c r="F1483" s="8"/>
      <c r="G1483" s="8"/>
      <c r="H1483" s="28"/>
      <c r="I1483" s="28"/>
    </row>
    <row r="1484" spans="1:9" x14ac:dyDescent="0.35">
      <c r="A1484" s="8"/>
      <c r="B1484" s="8"/>
      <c r="C1484" s="8"/>
      <c r="D1484" s="28"/>
      <c r="E1484" s="8"/>
      <c r="F1484" s="8"/>
      <c r="G1484" s="8"/>
      <c r="H1484" s="28"/>
      <c r="I1484" s="28"/>
    </row>
    <row r="1485" spans="1:9" x14ac:dyDescent="0.35">
      <c r="A1485" s="8"/>
      <c r="B1485" s="8"/>
      <c r="C1485" s="8"/>
      <c r="D1485" s="28"/>
      <c r="E1485" s="8"/>
      <c r="F1485" s="8"/>
      <c r="G1485" s="8"/>
      <c r="H1485" s="28"/>
      <c r="I1485" s="28"/>
    </row>
    <row r="1486" spans="1:9" x14ac:dyDescent="0.35">
      <c r="A1486" s="8"/>
      <c r="B1486" s="8"/>
      <c r="C1486" s="8"/>
      <c r="D1486" s="28"/>
      <c r="E1486" s="8"/>
      <c r="F1486" s="8"/>
      <c r="G1486" s="8"/>
      <c r="H1486" s="28"/>
      <c r="I1486" s="28"/>
    </row>
    <row r="1487" spans="1:9" x14ac:dyDescent="0.35">
      <c r="A1487" s="8"/>
      <c r="B1487" s="8"/>
      <c r="C1487" s="8"/>
      <c r="D1487" s="28"/>
      <c r="E1487" s="8"/>
      <c r="F1487" s="8"/>
      <c r="G1487" s="8"/>
      <c r="H1487" s="28"/>
      <c r="I1487" s="28"/>
    </row>
    <row r="1488" spans="1:9" x14ac:dyDescent="0.35">
      <c r="A1488" s="8"/>
      <c r="B1488" s="8"/>
      <c r="C1488" s="8"/>
      <c r="D1488" s="28"/>
      <c r="E1488" s="8"/>
      <c r="F1488" s="8"/>
      <c r="G1488" s="8"/>
      <c r="H1488" s="28"/>
      <c r="I1488" s="28"/>
    </row>
    <row r="1489" spans="1:9" x14ac:dyDescent="0.35">
      <c r="A1489" s="8"/>
      <c r="B1489" s="8"/>
      <c r="C1489" s="8"/>
      <c r="D1489" s="28"/>
      <c r="E1489" s="8"/>
      <c r="F1489" s="8"/>
      <c r="G1489" s="8"/>
      <c r="H1489" s="28"/>
      <c r="I1489" s="28"/>
    </row>
    <row r="1490" spans="1:9" x14ac:dyDescent="0.35">
      <c r="A1490" s="8"/>
      <c r="B1490" s="8"/>
      <c r="C1490" s="8"/>
      <c r="D1490" s="28"/>
      <c r="E1490" s="8"/>
      <c r="F1490" s="8"/>
      <c r="G1490" s="8"/>
      <c r="H1490" s="28"/>
      <c r="I1490" s="28"/>
    </row>
    <row r="1491" spans="1:9" x14ac:dyDescent="0.35">
      <c r="A1491" s="8"/>
      <c r="B1491" s="8"/>
      <c r="C1491" s="8"/>
      <c r="D1491" s="28"/>
      <c r="E1491" s="8"/>
      <c r="F1491" s="8"/>
      <c r="G1491" s="8"/>
      <c r="H1491" s="28"/>
      <c r="I1491" s="28"/>
    </row>
    <row r="1492" spans="1:9" x14ac:dyDescent="0.35">
      <c r="A1492" s="8"/>
      <c r="B1492" s="8"/>
      <c r="C1492" s="8"/>
      <c r="D1492" s="28"/>
      <c r="E1492" s="8"/>
      <c r="F1492" s="8"/>
      <c r="G1492" s="8"/>
      <c r="H1492" s="28"/>
      <c r="I1492" s="28"/>
    </row>
    <row r="1493" spans="1:9" x14ac:dyDescent="0.35">
      <c r="A1493" s="8"/>
      <c r="B1493" s="8"/>
      <c r="C1493" s="8"/>
      <c r="D1493" s="28"/>
      <c r="E1493" s="8"/>
      <c r="F1493" s="8"/>
      <c r="G1493" s="8"/>
      <c r="H1493" s="28"/>
      <c r="I1493" s="28"/>
    </row>
    <row r="1494" spans="1:9" x14ac:dyDescent="0.35">
      <c r="A1494" s="8"/>
      <c r="B1494" s="8"/>
      <c r="C1494" s="8"/>
      <c r="D1494" s="28"/>
      <c r="E1494" s="8"/>
      <c r="F1494" s="8"/>
      <c r="G1494" s="8"/>
      <c r="H1494" s="28"/>
      <c r="I1494" s="28"/>
    </row>
    <row r="1495" spans="1:9" x14ac:dyDescent="0.35">
      <c r="A1495" s="8"/>
      <c r="B1495" s="8"/>
      <c r="C1495" s="8"/>
      <c r="D1495" s="28"/>
      <c r="E1495" s="8"/>
      <c r="F1495" s="8"/>
      <c r="G1495" s="8"/>
      <c r="H1495" s="28"/>
      <c r="I1495" s="28"/>
    </row>
    <row r="1496" spans="1:9" x14ac:dyDescent="0.35">
      <c r="A1496" s="8"/>
      <c r="B1496" s="8"/>
      <c r="C1496" s="8"/>
      <c r="D1496" s="28"/>
      <c r="E1496" s="8"/>
      <c r="F1496" s="8"/>
      <c r="G1496" s="8"/>
      <c r="H1496" s="28"/>
      <c r="I1496" s="28"/>
    </row>
    <row r="1497" spans="1:9" x14ac:dyDescent="0.35">
      <c r="A1497" s="8"/>
      <c r="B1497" s="8"/>
      <c r="C1497" s="8"/>
      <c r="D1497" s="28"/>
      <c r="E1497" s="8"/>
      <c r="F1497" s="8"/>
      <c r="G1497" s="8"/>
      <c r="H1497" s="28"/>
      <c r="I1497" s="28"/>
    </row>
    <row r="1498" spans="1:9" x14ac:dyDescent="0.35">
      <c r="A1498" s="8"/>
      <c r="B1498" s="8"/>
      <c r="C1498" s="8"/>
      <c r="D1498" s="28"/>
      <c r="E1498" s="8"/>
      <c r="F1498" s="8"/>
      <c r="G1498" s="8"/>
      <c r="H1498" s="28"/>
      <c r="I1498" s="28"/>
    </row>
    <row r="1499" spans="1:9" x14ac:dyDescent="0.35">
      <c r="A1499" s="8"/>
      <c r="B1499" s="8"/>
      <c r="C1499" s="8"/>
      <c r="D1499" s="28"/>
      <c r="E1499" s="8"/>
      <c r="F1499" s="8"/>
      <c r="G1499" s="8"/>
      <c r="H1499" s="28"/>
      <c r="I1499" s="28"/>
    </row>
    <row r="1500" spans="1:9" x14ac:dyDescent="0.35">
      <c r="A1500" s="8"/>
      <c r="B1500" s="8"/>
      <c r="C1500" s="8"/>
      <c r="D1500" s="28"/>
      <c r="E1500" s="8"/>
      <c r="F1500" s="8"/>
      <c r="G1500" s="8"/>
      <c r="H1500" s="28"/>
      <c r="I1500" s="28"/>
    </row>
    <row r="1501" spans="1:9" x14ac:dyDescent="0.35">
      <c r="A1501" s="8"/>
      <c r="B1501" s="8"/>
      <c r="C1501" s="8"/>
      <c r="D1501" s="28"/>
      <c r="E1501" s="8"/>
      <c r="F1501" s="8"/>
      <c r="G1501" s="8"/>
      <c r="H1501" s="28"/>
      <c r="I1501" s="28"/>
    </row>
    <row r="1502" spans="1:9" x14ac:dyDescent="0.35">
      <c r="A1502" s="8"/>
      <c r="B1502" s="8"/>
      <c r="C1502" s="8"/>
      <c r="D1502" s="28"/>
      <c r="E1502" s="8"/>
      <c r="F1502" s="8"/>
      <c r="G1502" s="8"/>
      <c r="H1502" s="28"/>
      <c r="I1502" s="28"/>
    </row>
    <row r="1503" spans="1:9" x14ac:dyDescent="0.35">
      <c r="A1503" s="8"/>
      <c r="B1503" s="8"/>
      <c r="C1503" s="8"/>
      <c r="D1503" s="28"/>
      <c r="E1503" s="8"/>
      <c r="F1503" s="8"/>
      <c r="G1503" s="8"/>
      <c r="H1503" s="28"/>
      <c r="I1503" s="28"/>
    </row>
    <row r="1504" spans="1:9" x14ac:dyDescent="0.35">
      <c r="A1504" s="8"/>
      <c r="B1504" s="8"/>
      <c r="C1504" s="8"/>
      <c r="D1504" s="28"/>
      <c r="E1504" s="8"/>
      <c r="F1504" s="8"/>
      <c r="G1504" s="8"/>
      <c r="H1504" s="28"/>
      <c r="I1504" s="28"/>
    </row>
    <row r="1505" spans="1:9" x14ac:dyDescent="0.35">
      <c r="A1505" s="8"/>
      <c r="B1505" s="8"/>
      <c r="C1505" s="8"/>
      <c r="D1505" s="28"/>
      <c r="E1505" s="8"/>
      <c r="F1505" s="8"/>
      <c r="G1505" s="8"/>
      <c r="H1505" s="28"/>
      <c r="I1505" s="28"/>
    </row>
    <row r="1506" spans="1:9" x14ac:dyDescent="0.35">
      <c r="A1506" s="8"/>
      <c r="B1506" s="8"/>
      <c r="C1506" s="8"/>
      <c r="D1506" s="28"/>
      <c r="E1506" s="8"/>
      <c r="F1506" s="8"/>
      <c r="G1506" s="8"/>
      <c r="H1506" s="28"/>
      <c r="I1506" s="28"/>
    </row>
    <row r="1507" spans="1:9" x14ac:dyDescent="0.35">
      <c r="A1507" s="8"/>
      <c r="B1507" s="8"/>
      <c r="C1507" s="8"/>
      <c r="D1507" s="28"/>
      <c r="E1507" s="8"/>
      <c r="F1507" s="8"/>
      <c r="G1507" s="8"/>
      <c r="H1507" s="28"/>
      <c r="I1507" s="28"/>
    </row>
    <row r="1508" spans="1:9" x14ac:dyDescent="0.35">
      <c r="A1508" s="8"/>
      <c r="B1508" s="8"/>
      <c r="C1508" s="8"/>
      <c r="D1508" s="28"/>
      <c r="E1508" s="8"/>
      <c r="F1508" s="8"/>
      <c r="G1508" s="8"/>
      <c r="H1508" s="28"/>
      <c r="I1508" s="28"/>
    </row>
    <row r="1509" spans="1:9" x14ac:dyDescent="0.35">
      <c r="A1509" s="8"/>
      <c r="B1509" s="8"/>
      <c r="C1509" s="8"/>
      <c r="D1509" s="28"/>
      <c r="E1509" s="8"/>
      <c r="F1509" s="8"/>
      <c r="G1509" s="8"/>
      <c r="H1509" s="28"/>
      <c r="I1509" s="28"/>
    </row>
    <row r="1510" spans="1:9" x14ac:dyDescent="0.35">
      <c r="A1510" s="8"/>
      <c r="B1510" s="8"/>
      <c r="C1510" s="8"/>
      <c r="D1510" s="28"/>
      <c r="E1510" s="8"/>
      <c r="F1510" s="8"/>
      <c r="G1510" s="8"/>
      <c r="H1510" s="28"/>
      <c r="I1510" s="28"/>
    </row>
    <row r="1511" spans="1:9" x14ac:dyDescent="0.35">
      <c r="A1511" s="8"/>
      <c r="B1511" s="8"/>
      <c r="C1511" s="8"/>
      <c r="D1511" s="28"/>
      <c r="E1511" s="8"/>
      <c r="F1511" s="8"/>
      <c r="G1511" s="8"/>
      <c r="H1511" s="28"/>
      <c r="I1511" s="28"/>
    </row>
    <row r="1512" spans="1:9" x14ac:dyDescent="0.35">
      <c r="A1512" s="8"/>
      <c r="B1512" s="8"/>
      <c r="C1512" s="8"/>
      <c r="D1512" s="28"/>
      <c r="E1512" s="8"/>
      <c r="F1512" s="8"/>
      <c r="G1512" s="8"/>
      <c r="H1512" s="28"/>
      <c r="I1512" s="28"/>
    </row>
    <row r="1513" spans="1:9" x14ac:dyDescent="0.35">
      <c r="A1513" s="8"/>
      <c r="B1513" s="8"/>
      <c r="C1513" s="8"/>
      <c r="D1513" s="28"/>
      <c r="E1513" s="8"/>
      <c r="F1513" s="8"/>
      <c r="G1513" s="8"/>
      <c r="H1513" s="28"/>
      <c r="I1513" s="28"/>
    </row>
    <row r="1514" spans="1:9" x14ac:dyDescent="0.35">
      <c r="A1514" s="8"/>
      <c r="B1514" s="8"/>
      <c r="C1514" s="8"/>
      <c r="D1514" s="28"/>
      <c r="E1514" s="8"/>
      <c r="F1514" s="8"/>
      <c r="G1514" s="8"/>
      <c r="H1514" s="28"/>
      <c r="I1514" s="28"/>
    </row>
    <row r="1515" spans="1:9" x14ac:dyDescent="0.35">
      <c r="A1515" s="8"/>
      <c r="B1515" s="8"/>
      <c r="C1515" s="8"/>
      <c r="D1515" s="28"/>
      <c r="E1515" s="8"/>
      <c r="F1515" s="8"/>
      <c r="G1515" s="8"/>
      <c r="H1515" s="28"/>
      <c r="I1515" s="28"/>
    </row>
    <row r="1516" spans="1:9" x14ac:dyDescent="0.35">
      <c r="A1516" s="8"/>
      <c r="B1516" s="8"/>
      <c r="C1516" s="8"/>
      <c r="D1516" s="28"/>
      <c r="E1516" s="8"/>
      <c r="F1516" s="8"/>
      <c r="G1516" s="8"/>
      <c r="H1516" s="28"/>
      <c r="I1516" s="28"/>
    </row>
    <row r="1517" spans="1:9" x14ac:dyDescent="0.35">
      <c r="A1517" s="8"/>
      <c r="B1517" s="8"/>
      <c r="C1517" s="8"/>
      <c r="D1517" s="28"/>
      <c r="E1517" s="8"/>
      <c r="F1517" s="8"/>
      <c r="G1517" s="8"/>
      <c r="H1517" s="28"/>
      <c r="I1517" s="28"/>
    </row>
    <row r="1518" spans="1:9" x14ac:dyDescent="0.35">
      <c r="A1518" s="8"/>
      <c r="B1518" s="8"/>
      <c r="C1518" s="8"/>
      <c r="D1518" s="28"/>
      <c r="E1518" s="8"/>
      <c r="F1518" s="8"/>
      <c r="G1518" s="8"/>
      <c r="H1518" s="28"/>
      <c r="I1518" s="28"/>
    </row>
    <row r="1519" spans="1:9" x14ac:dyDescent="0.35">
      <c r="A1519" s="8"/>
      <c r="B1519" s="8"/>
      <c r="C1519" s="8"/>
      <c r="D1519" s="28"/>
      <c r="E1519" s="8"/>
      <c r="F1519" s="8"/>
      <c r="G1519" s="8"/>
      <c r="H1519" s="28"/>
      <c r="I1519" s="28"/>
    </row>
    <row r="1520" spans="1:9" x14ac:dyDescent="0.35">
      <c r="A1520" s="8"/>
      <c r="B1520" s="8"/>
      <c r="C1520" s="8"/>
      <c r="D1520" s="28"/>
      <c r="E1520" s="8"/>
      <c r="F1520" s="8"/>
      <c r="G1520" s="8"/>
      <c r="H1520" s="28"/>
      <c r="I1520" s="28"/>
    </row>
    <row r="1521" spans="1:9" x14ac:dyDescent="0.35">
      <c r="A1521" s="8"/>
      <c r="B1521" s="8"/>
      <c r="C1521" s="8"/>
      <c r="D1521" s="28"/>
      <c r="E1521" s="8"/>
      <c r="F1521" s="8"/>
      <c r="G1521" s="8"/>
      <c r="H1521" s="28"/>
      <c r="I1521" s="28"/>
    </row>
    <row r="1522" spans="1:9" x14ac:dyDescent="0.35">
      <c r="A1522" s="8"/>
      <c r="B1522" s="8"/>
      <c r="C1522" s="8"/>
      <c r="D1522" s="28"/>
      <c r="E1522" s="8"/>
      <c r="F1522" s="8"/>
      <c r="G1522" s="8"/>
      <c r="H1522" s="28"/>
      <c r="I1522" s="28"/>
    </row>
    <row r="1523" spans="1:9" x14ac:dyDescent="0.35">
      <c r="A1523" s="8"/>
      <c r="B1523" s="8"/>
      <c r="C1523" s="8"/>
      <c r="D1523" s="28"/>
      <c r="E1523" s="8"/>
      <c r="F1523" s="8"/>
      <c r="G1523" s="8"/>
      <c r="H1523" s="28"/>
      <c r="I1523" s="28"/>
    </row>
    <row r="1524" spans="1:9" x14ac:dyDescent="0.35">
      <c r="A1524" s="8"/>
      <c r="B1524" s="8"/>
      <c r="C1524" s="8"/>
      <c r="D1524" s="28"/>
      <c r="E1524" s="8"/>
      <c r="F1524" s="8"/>
      <c r="G1524" s="8"/>
      <c r="H1524" s="28"/>
      <c r="I1524" s="28"/>
    </row>
    <row r="1525" spans="1:9" x14ac:dyDescent="0.35">
      <c r="A1525" s="8"/>
      <c r="B1525" s="8"/>
      <c r="C1525" s="8"/>
      <c r="D1525" s="28"/>
      <c r="E1525" s="8"/>
      <c r="F1525" s="8"/>
      <c r="G1525" s="8"/>
      <c r="H1525" s="28"/>
      <c r="I1525" s="28"/>
    </row>
    <row r="1526" spans="1:9" x14ac:dyDescent="0.35">
      <c r="A1526" s="8"/>
      <c r="B1526" s="8"/>
      <c r="C1526" s="8"/>
      <c r="D1526" s="28"/>
      <c r="E1526" s="8"/>
      <c r="F1526" s="8"/>
      <c r="G1526" s="8"/>
      <c r="H1526" s="28"/>
      <c r="I1526" s="28"/>
    </row>
    <row r="1527" spans="1:9" x14ac:dyDescent="0.35">
      <c r="A1527" s="8"/>
      <c r="B1527" s="8"/>
      <c r="C1527" s="8"/>
      <c r="D1527" s="28"/>
      <c r="E1527" s="8"/>
      <c r="F1527" s="8"/>
      <c r="G1527" s="8"/>
      <c r="H1527" s="28"/>
      <c r="I1527" s="28"/>
    </row>
    <row r="1528" spans="1:9" x14ac:dyDescent="0.35">
      <c r="A1528" s="8"/>
      <c r="B1528" s="8"/>
      <c r="C1528" s="8"/>
      <c r="D1528" s="28"/>
      <c r="E1528" s="8"/>
      <c r="F1528" s="8"/>
      <c r="G1528" s="8"/>
      <c r="H1528" s="28"/>
      <c r="I1528" s="28"/>
    </row>
    <row r="1529" spans="1:9" x14ac:dyDescent="0.35">
      <c r="A1529" s="8"/>
      <c r="B1529" s="8"/>
      <c r="C1529" s="8"/>
      <c r="D1529" s="28"/>
      <c r="E1529" s="8"/>
      <c r="F1529" s="8"/>
      <c r="G1529" s="8"/>
      <c r="H1529" s="28"/>
      <c r="I1529" s="28"/>
    </row>
    <row r="1530" spans="1:9" x14ac:dyDescent="0.35">
      <c r="A1530" s="8"/>
      <c r="B1530" s="8"/>
      <c r="C1530" s="8"/>
      <c r="D1530" s="28"/>
      <c r="E1530" s="8"/>
      <c r="F1530" s="8"/>
      <c r="G1530" s="8"/>
      <c r="H1530" s="28"/>
      <c r="I1530" s="28"/>
    </row>
    <row r="1531" spans="1:9" x14ac:dyDescent="0.35">
      <c r="A1531" s="8"/>
      <c r="B1531" s="8"/>
      <c r="C1531" s="8"/>
      <c r="D1531" s="28"/>
      <c r="E1531" s="8"/>
      <c r="F1531" s="8"/>
      <c r="G1531" s="8"/>
      <c r="H1531" s="28"/>
      <c r="I1531" s="28"/>
    </row>
    <row r="1532" spans="1:9" x14ac:dyDescent="0.35">
      <c r="A1532" s="8"/>
      <c r="B1532" s="8"/>
      <c r="C1532" s="8"/>
      <c r="D1532" s="28"/>
      <c r="E1532" s="8"/>
      <c r="F1532" s="8"/>
      <c r="G1532" s="8"/>
      <c r="H1532" s="28"/>
      <c r="I1532" s="28"/>
    </row>
    <row r="1533" spans="1:9" x14ac:dyDescent="0.35">
      <c r="A1533" s="8"/>
      <c r="B1533" s="8"/>
      <c r="C1533" s="8"/>
      <c r="D1533" s="28"/>
      <c r="E1533" s="8"/>
      <c r="F1533" s="8"/>
      <c r="G1533" s="8"/>
      <c r="H1533" s="28"/>
      <c r="I1533" s="28"/>
    </row>
    <row r="1534" spans="1:9" x14ac:dyDescent="0.35">
      <c r="A1534" s="8"/>
      <c r="B1534" s="8"/>
      <c r="C1534" s="8"/>
      <c r="D1534" s="28"/>
      <c r="E1534" s="8"/>
      <c r="F1534" s="8"/>
      <c r="G1534" s="8"/>
      <c r="H1534" s="28"/>
      <c r="I1534" s="28"/>
    </row>
    <row r="1535" spans="1:9" x14ac:dyDescent="0.35">
      <c r="A1535" s="8"/>
      <c r="B1535" s="8"/>
      <c r="C1535" s="8"/>
      <c r="D1535" s="28"/>
      <c r="E1535" s="8"/>
      <c r="F1535" s="8"/>
      <c r="G1535" s="8"/>
      <c r="H1535" s="28"/>
      <c r="I1535" s="28"/>
    </row>
    <row r="1536" spans="1:9" x14ac:dyDescent="0.35">
      <c r="A1536" s="8"/>
      <c r="B1536" s="8"/>
      <c r="C1536" s="8"/>
      <c r="D1536" s="28"/>
      <c r="E1536" s="8"/>
      <c r="F1536" s="8"/>
      <c r="G1536" s="8"/>
      <c r="H1536" s="28"/>
      <c r="I1536" s="28"/>
    </row>
    <row r="1537" spans="1:9" x14ac:dyDescent="0.35">
      <c r="A1537" s="8"/>
      <c r="B1537" s="8"/>
      <c r="C1537" s="8"/>
      <c r="D1537" s="28"/>
      <c r="E1537" s="8"/>
      <c r="F1537" s="8"/>
      <c r="G1537" s="8"/>
      <c r="H1537" s="28"/>
      <c r="I1537" s="28"/>
    </row>
    <row r="1538" spans="1:9" x14ac:dyDescent="0.35">
      <c r="A1538" s="8"/>
      <c r="B1538" s="8"/>
      <c r="C1538" s="8"/>
      <c r="D1538" s="28"/>
      <c r="E1538" s="8"/>
      <c r="F1538" s="8"/>
      <c r="G1538" s="8"/>
      <c r="H1538" s="28"/>
      <c r="I1538" s="28"/>
    </row>
    <row r="1539" spans="1:9" x14ac:dyDescent="0.35">
      <c r="A1539" s="8"/>
      <c r="B1539" s="8"/>
      <c r="C1539" s="8"/>
      <c r="D1539" s="28"/>
      <c r="E1539" s="8"/>
      <c r="F1539" s="8"/>
      <c r="G1539" s="8"/>
      <c r="H1539" s="28"/>
      <c r="I1539" s="28"/>
    </row>
    <row r="1540" spans="1:9" x14ac:dyDescent="0.35">
      <c r="A1540" s="8"/>
      <c r="B1540" s="8"/>
      <c r="C1540" s="8"/>
      <c r="D1540" s="28"/>
      <c r="E1540" s="8"/>
      <c r="F1540" s="8"/>
      <c r="G1540" s="8"/>
      <c r="H1540" s="28"/>
      <c r="I1540" s="28"/>
    </row>
    <row r="1541" spans="1:9" x14ac:dyDescent="0.35">
      <c r="A1541" s="8"/>
      <c r="B1541" s="8"/>
      <c r="C1541" s="8"/>
      <c r="D1541" s="28"/>
      <c r="E1541" s="8"/>
      <c r="F1541" s="8"/>
      <c r="G1541" s="8"/>
      <c r="H1541" s="28"/>
      <c r="I1541" s="28"/>
    </row>
    <row r="1542" spans="1:9" x14ac:dyDescent="0.35">
      <c r="A1542" s="8"/>
      <c r="B1542" s="8"/>
      <c r="C1542" s="8"/>
      <c r="D1542" s="28"/>
      <c r="E1542" s="8"/>
      <c r="F1542" s="8"/>
      <c r="G1542" s="8"/>
      <c r="H1542" s="28"/>
      <c r="I1542" s="28"/>
    </row>
    <row r="1543" spans="1:9" x14ac:dyDescent="0.35">
      <c r="A1543" s="8"/>
      <c r="B1543" s="8"/>
      <c r="C1543" s="8"/>
      <c r="D1543" s="28"/>
      <c r="E1543" s="8"/>
      <c r="F1543" s="8"/>
      <c r="G1543" s="8"/>
      <c r="H1543" s="28"/>
      <c r="I1543" s="28"/>
    </row>
    <row r="1544" spans="1:9" x14ac:dyDescent="0.35">
      <c r="A1544" s="8"/>
      <c r="B1544" s="8"/>
      <c r="C1544" s="8"/>
      <c r="D1544" s="28"/>
      <c r="E1544" s="8"/>
      <c r="F1544" s="8"/>
      <c r="G1544" s="8"/>
      <c r="H1544" s="28"/>
      <c r="I1544" s="28"/>
    </row>
    <row r="1545" spans="1:9" x14ac:dyDescent="0.35">
      <c r="A1545" s="8"/>
      <c r="B1545" s="8"/>
      <c r="C1545" s="8"/>
      <c r="D1545" s="28"/>
      <c r="E1545" s="8"/>
      <c r="F1545" s="8"/>
      <c r="G1545" s="8"/>
      <c r="H1545" s="28"/>
      <c r="I1545" s="28"/>
    </row>
    <row r="1546" spans="1:9" x14ac:dyDescent="0.35">
      <c r="A1546" s="8"/>
      <c r="B1546" s="8"/>
      <c r="C1546" s="8"/>
      <c r="D1546" s="28"/>
      <c r="E1546" s="8"/>
      <c r="F1546" s="8"/>
      <c r="G1546" s="8"/>
      <c r="H1546" s="28"/>
      <c r="I1546" s="28"/>
    </row>
    <row r="1547" spans="1:9" x14ac:dyDescent="0.35">
      <c r="A1547" s="8"/>
      <c r="B1547" s="8"/>
      <c r="C1547" s="8"/>
      <c r="D1547" s="28"/>
      <c r="E1547" s="8"/>
      <c r="F1547" s="8"/>
      <c r="G1547" s="8"/>
      <c r="H1547" s="28"/>
      <c r="I1547" s="28"/>
    </row>
    <row r="1548" spans="1:9" x14ac:dyDescent="0.35">
      <c r="A1548" s="8"/>
      <c r="B1548" s="8"/>
      <c r="C1548" s="8"/>
      <c r="D1548" s="28"/>
      <c r="E1548" s="8"/>
      <c r="F1548" s="8"/>
      <c r="G1548" s="8"/>
      <c r="H1548" s="28"/>
      <c r="I1548" s="28"/>
    </row>
    <row r="1549" spans="1:9" x14ac:dyDescent="0.35">
      <c r="A1549" s="8"/>
      <c r="B1549" s="8"/>
      <c r="C1549" s="8"/>
      <c r="D1549" s="28"/>
      <c r="E1549" s="8"/>
      <c r="F1549" s="8"/>
      <c r="G1549" s="8"/>
      <c r="H1549" s="28"/>
      <c r="I1549" s="28"/>
    </row>
    <row r="1550" spans="1:9" x14ac:dyDescent="0.35">
      <c r="A1550" s="8"/>
      <c r="B1550" s="8"/>
      <c r="C1550" s="8"/>
      <c r="D1550" s="28"/>
      <c r="E1550" s="8"/>
      <c r="F1550" s="8"/>
      <c r="G1550" s="8"/>
      <c r="H1550" s="28"/>
      <c r="I1550" s="28"/>
    </row>
    <row r="1551" spans="1:9" x14ac:dyDescent="0.35">
      <c r="A1551" s="8"/>
      <c r="B1551" s="8"/>
      <c r="C1551" s="8"/>
      <c r="D1551" s="28"/>
      <c r="E1551" s="8"/>
      <c r="F1551" s="8"/>
      <c r="G1551" s="8"/>
      <c r="H1551" s="28"/>
      <c r="I1551" s="28"/>
    </row>
    <row r="1552" spans="1:9" x14ac:dyDescent="0.35">
      <c r="A1552" s="8"/>
      <c r="B1552" s="8"/>
      <c r="C1552" s="8"/>
      <c r="D1552" s="28"/>
      <c r="E1552" s="8"/>
      <c r="F1552" s="8"/>
      <c r="G1552" s="8"/>
      <c r="H1552" s="28"/>
      <c r="I1552" s="28"/>
    </row>
    <row r="1553" spans="1:9" x14ac:dyDescent="0.35">
      <c r="A1553" s="8"/>
      <c r="B1553" s="8"/>
      <c r="C1553" s="8"/>
      <c r="D1553" s="28"/>
      <c r="E1553" s="8"/>
      <c r="F1553" s="8"/>
      <c r="G1553" s="8"/>
      <c r="H1553" s="28"/>
      <c r="I1553" s="28"/>
    </row>
    <row r="1554" spans="1:9" x14ac:dyDescent="0.35">
      <c r="A1554" s="8"/>
      <c r="B1554" s="8"/>
      <c r="C1554" s="8"/>
      <c r="D1554" s="28"/>
      <c r="E1554" s="8"/>
      <c r="F1554" s="8"/>
      <c r="G1554" s="8"/>
      <c r="H1554" s="28"/>
      <c r="I1554" s="28"/>
    </row>
    <row r="1555" spans="1:9" x14ac:dyDescent="0.35">
      <c r="A1555" s="8"/>
      <c r="B1555" s="8"/>
      <c r="C1555" s="8"/>
      <c r="D1555" s="28"/>
      <c r="E1555" s="8"/>
      <c r="F1555" s="8"/>
      <c r="G1555" s="8"/>
      <c r="H1555" s="28"/>
      <c r="I1555" s="28"/>
    </row>
    <row r="1556" spans="1:9" x14ac:dyDescent="0.35">
      <c r="A1556" s="8"/>
      <c r="B1556" s="8"/>
      <c r="C1556" s="8"/>
      <c r="D1556" s="28"/>
      <c r="E1556" s="8"/>
      <c r="F1556" s="8"/>
      <c r="G1556" s="8"/>
      <c r="H1556" s="28"/>
      <c r="I1556" s="28"/>
    </row>
    <row r="1557" spans="1:9" x14ac:dyDescent="0.35">
      <c r="A1557" s="8"/>
      <c r="B1557" s="8"/>
      <c r="C1557" s="8"/>
      <c r="D1557" s="28"/>
      <c r="E1557" s="8"/>
      <c r="F1557" s="8"/>
      <c r="G1557" s="8"/>
      <c r="H1557" s="28"/>
      <c r="I1557" s="28"/>
    </row>
    <row r="1558" spans="1:9" x14ac:dyDescent="0.35">
      <c r="A1558" s="8"/>
      <c r="B1558" s="8"/>
      <c r="C1558" s="8"/>
      <c r="D1558" s="28"/>
      <c r="E1558" s="8"/>
      <c r="F1558" s="8"/>
      <c r="G1558" s="8"/>
      <c r="H1558" s="28"/>
      <c r="I1558" s="28"/>
    </row>
    <row r="1559" spans="1:9" x14ac:dyDescent="0.35">
      <c r="A1559" s="8"/>
      <c r="B1559" s="8"/>
      <c r="C1559" s="8"/>
      <c r="D1559" s="28"/>
      <c r="E1559" s="8"/>
      <c r="F1559" s="8"/>
      <c r="G1559" s="8"/>
      <c r="H1559" s="28"/>
      <c r="I1559" s="28"/>
    </row>
    <row r="1560" spans="1:9" x14ac:dyDescent="0.35">
      <c r="A1560" s="8"/>
      <c r="B1560" s="8"/>
      <c r="C1560" s="8"/>
      <c r="D1560" s="28"/>
      <c r="E1560" s="8"/>
      <c r="F1560" s="8"/>
      <c r="G1560" s="8"/>
      <c r="H1560" s="28"/>
      <c r="I1560" s="28"/>
    </row>
    <row r="1561" spans="1:9" x14ac:dyDescent="0.35">
      <c r="A1561" s="8"/>
      <c r="B1561" s="8"/>
      <c r="C1561" s="8"/>
      <c r="D1561" s="28"/>
      <c r="E1561" s="8"/>
      <c r="F1561" s="8"/>
      <c r="G1561" s="8"/>
      <c r="H1561" s="28"/>
      <c r="I1561" s="28"/>
    </row>
    <row r="1562" spans="1:9" x14ac:dyDescent="0.35">
      <c r="A1562" s="8"/>
      <c r="B1562" s="8"/>
      <c r="C1562" s="8"/>
      <c r="D1562" s="28"/>
      <c r="E1562" s="8"/>
      <c r="F1562" s="8"/>
      <c r="G1562" s="8"/>
      <c r="H1562" s="28"/>
      <c r="I1562" s="28"/>
    </row>
    <row r="1563" spans="1:9" x14ac:dyDescent="0.35">
      <c r="A1563" s="8"/>
      <c r="B1563" s="8"/>
      <c r="C1563" s="8"/>
      <c r="D1563" s="28"/>
      <c r="E1563" s="8"/>
      <c r="F1563" s="8"/>
      <c r="G1563" s="8"/>
      <c r="H1563" s="28"/>
      <c r="I1563" s="28"/>
    </row>
    <row r="1564" spans="1:9" x14ac:dyDescent="0.35">
      <c r="A1564" s="8"/>
      <c r="B1564" s="8"/>
      <c r="C1564" s="8"/>
      <c r="D1564" s="28"/>
      <c r="E1564" s="8"/>
      <c r="F1564" s="8"/>
      <c r="G1564" s="8"/>
      <c r="H1564" s="28"/>
      <c r="I1564" s="28"/>
    </row>
    <row r="1565" spans="1:9" x14ac:dyDescent="0.35">
      <c r="A1565" s="8"/>
      <c r="B1565" s="8"/>
      <c r="C1565" s="8"/>
      <c r="D1565" s="28"/>
      <c r="E1565" s="8"/>
      <c r="F1565" s="8"/>
      <c r="G1565" s="8"/>
      <c r="H1565" s="28"/>
      <c r="I1565" s="28"/>
    </row>
    <row r="1566" spans="1:9" x14ac:dyDescent="0.35">
      <c r="A1566" s="8"/>
      <c r="B1566" s="8"/>
      <c r="C1566" s="8"/>
      <c r="D1566" s="28"/>
      <c r="E1566" s="8"/>
      <c r="F1566" s="8"/>
      <c r="G1566" s="8"/>
      <c r="H1566" s="28"/>
      <c r="I1566" s="28"/>
    </row>
    <row r="1567" spans="1:9" x14ac:dyDescent="0.35">
      <c r="A1567" s="8"/>
      <c r="B1567" s="8"/>
      <c r="C1567" s="8"/>
      <c r="D1567" s="28"/>
      <c r="E1567" s="8"/>
      <c r="F1567" s="8"/>
      <c r="G1567" s="8"/>
      <c r="H1567" s="28"/>
      <c r="I1567" s="28"/>
    </row>
    <row r="1568" spans="1:9" x14ac:dyDescent="0.35">
      <c r="A1568" s="8"/>
      <c r="B1568" s="8"/>
      <c r="C1568" s="8"/>
      <c r="D1568" s="28"/>
      <c r="E1568" s="8"/>
      <c r="F1568" s="8"/>
      <c r="G1568" s="8"/>
      <c r="H1568" s="28"/>
      <c r="I1568" s="28"/>
    </row>
    <row r="1569" spans="1:9" x14ac:dyDescent="0.35">
      <c r="A1569" s="8"/>
      <c r="B1569" s="8"/>
      <c r="C1569" s="8"/>
      <c r="D1569" s="28"/>
      <c r="E1569" s="8"/>
      <c r="F1569" s="8"/>
      <c r="G1569" s="8"/>
      <c r="H1569" s="28"/>
      <c r="I1569" s="28"/>
    </row>
    <row r="1570" spans="1:9" x14ac:dyDescent="0.35">
      <c r="A1570" s="8"/>
      <c r="B1570" s="8"/>
      <c r="C1570" s="8"/>
      <c r="D1570" s="28"/>
      <c r="E1570" s="8"/>
      <c r="F1570" s="8"/>
      <c r="G1570" s="8"/>
      <c r="H1570" s="28"/>
      <c r="I1570" s="28"/>
    </row>
    <row r="1571" spans="1:9" x14ac:dyDescent="0.35">
      <c r="A1571" s="8"/>
      <c r="B1571" s="8"/>
      <c r="C1571" s="8"/>
      <c r="D1571" s="28"/>
      <c r="E1571" s="8"/>
      <c r="F1571" s="8"/>
      <c r="G1571" s="8"/>
      <c r="H1571" s="28"/>
      <c r="I1571" s="28"/>
    </row>
    <row r="1572" spans="1:9" x14ac:dyDescent="0.35">
      <c r="A1572" s="8"/>
      <c r="B1572" s="8"/>
      <c r="C1572" s="8"/>
      <c r="D1572" s="28"/>
      <c r="E1572" s="8"/>
      <c r="F1572" s="8"/>
      <c r="G1572" s="8"/>
      <c r="H1572" s="28"/>
      <c r="I1572" s="28"/>
    </row>
    <row r="1573" spans="1:9" x14ac:dyDescent="0.35">
      <c r="A1573" s="8"/>
      <c r="B1573" s="8"/>
      <c r="C1573" s="8"/>
      <c r="D1573" s="28"/>
      <c r="E1573" s="8"/>
      <c r="F1573" s="8"/>
      <c r="G1573" s="8"/>
      <c r="H1573" s="28"/>
      <c r="I1573" s="28"/>
    </row>
    <row r="1574" spans="1:9" x14ac:dyDescent="0.35">
      <c r="A1574" s="8"/>
      <c r="B1574" s="8"/>
      <c r="C1574" s="8"/>
      <c r="D1574" s="28"/>
      <c r="E1574" s="8"/>
      <c r="F1574" s="8"/>
      <c r="G1574" s="8"/>
      <c r="H1574" s="28"/>
      <c r="I1574" s="28"/>
    </row>
    <row r="1575" spans="1:9" x14ac:dyDescent="0.35">
      <c r="A1575" s="8"/>
      <c r="B1575" s="8"/>
      <c r="C1575" s="8"/>
      <c r="D1575" s="28"/>
      <c r="E1575" s="8"/>
      <c r="F1575" s="8"/>
      <c r="G1575" s="8"/>
      <c r="H1575" s="28"/>
      <c r="I1575" s="28"/>
    </row>
    <row r="1576" spans="1:9" x14ac:dyDescent="0.35">
      <c r="A1576" s="8"/>
      <c r="B1576" s="8"/>
      <c r="C1576" s="8"/>
      <c r="D1576" s="28"/>
      <c r="E1576" s="8"/>
      <c r="F1576" s="8"/>
      <c r="G1576" s="8"/>
      <c r="H1576" s="28"/>
      <c r="I1576" s="28"/>
    </row>
    <row r="1577" spans="1:9" x14ac:dyDescent="0.35">
      <c r="A1577" s="8"/>
      <c r="B1577" s="8"/>
      <c r="C1577" s="8"/>
      <c r="D1577" s="28"/>
      <c r="E1577" s="8"/>
      <c r="F1577" s="8"/>
      <c r="G1577" s="8"/>
      <c r="H1577" s="28"/>
      <c r="I1577" s="28"/>
    </row>
    <row r="1578" spans="1:9" x14ac:dyDescent="0.35">
      <c r="A1578" s="8"/>
      <c r="B1578" s="8"/>
      <c r="C1578" s="8"/>
      <c r="D1578" s="28"/>
      <c r="E1578" s="8"/>
      <c r="F1578" s="8"/>
      <c r="G1578" s="8"/>
      <c r="H1578" s="28"/>
      <c r="I1578" s="28"/>
    </row>
    <row r="1579" spans="1:9" x14ac:dyDescent="0.35">
      <c r="A1579" s="8"/>
      <c r="B1579" s="8"/>
      <c r="C1579" s="8"/>
      <c r="D1579" s="28"/>
      <c r="E1579" s="8"/>
      <c r="F1579" s="8"/>
      <c r="G1579" s="8"/>
      <c r="H1579" s="28"/>
      <c r="I1579" s="28"/>
    </row>
    <row r="1580" spans="1:9" x14ac:dyDescent="0.35">
      <c r="A1580" s="8"/>
      <c r="B1580" s="8"/>
      <c r="C1580" s="8"/>
      <c r="D1580" s="28"/>
      <c r="E1580" s="8"/>
      <c r="F1580" s="8"/>
      <c r="G1580" s="8"/>
      <c r="H1580" s="28"/>
      <c r="I1580" s="28"/>
    </row>
    <row r="1581" spans="1:9" x14ac:dyDescent="0.35">
      <c r="A1581" s="8"/>
      <c r="B1581" s="8"/>
      <c r="C1581" s="8"/>
      <c r="D1581" s="28"/>
      <c r="E1581" s="8"/>
      <c r="F1581" s="8"/>
      <c r="G1581" s="8"/>
      <c r="H1581" s="28"/>
      <c r="I1581" s="28"/>
    </row>
    <row r="1582" spans="1:9" x14ac:dyDescent="0.35">
      <c r="A1582" s="8"/>
      <c r="B1582" s="8"/>
      <c r="C1582" s="8"/>
      <c r="D1582" s="28"/>
      <c r="E1582" s="8"/>
      <c r="F1582" s="8"/>
      <c r="G1582" s="8"/>
      <c r="H1582" s="28"/>
      <c r="I1582" s="28"/>
    </row>
    <row r="1583" spans="1:9" x14ac:dyDescent="0.35">
      <c r="A1583" s="8"/>
      <c r="B1583" s="8"/>
      <c r="C1583" s="8"/>
      <c r="D1583" s="28"/>
      <c r="E1583" s="8"/>
      <c r="F1583" s="8"/>
      <c r="G1583" s="8"/>
      <c r="H1583" s="28"/>
      <c r="I1583" s="28"/>
    </row>
    <row r="1584" spans="1:9" x14ac:dyDescent="0.35">
      <c r="A1584" s="8"/>
      <c r="B1584" s="8"/>
      <c r="C1584" s="8"/>
      <c r="D1584" s="28"/>
      <c r="E1584" s="8"/>
      <c r="F1584" s="8"/>
      <c r="G1584" s="8"/>
      <c r="H1584" s="28"/>
      <c r="I1584" s="28"/>
    </row>
    <row r="1585" spans="1:9" x14ac:dyDescent="0.35">
      <c r="A1585" s="8"/>
      <c r="B1585" s="8"/>
      <c r="C1585" s="8"/>
      <c r="D1585" s="28"/>
      <c r="E1585" s="8"/>
      <c r="F1585" s="8"/>
      <c r="G1585" s="8"/>
      <c r="H1585" s="28"/>
      <c r="I1585" s="28"/>
    </row>
    <row r="1586" spans="1:9" x14ac:dyDescent="0.35">
      <c r="A1586" s="8"/>
      <c r="B1586" s="8"/>
      <c r="C1586" s="8"/>
      <c r="D1586" s="28"/>
      <c r="E1586" s="8"/>
      <c r="F1586" s="8"/>
      <c r="G1586" s="8"/>
      <c r="H1586" s="28"/>
      <c r="I1586" s="28"/>
    </row>
    <row r="1587" spans="1:9" x14ac:dyDescent="0.35">
      <c r="A1587" s="8"/>
      <c r="B1587" s="8"/>
      <c r="C1587" s="8"/>
      <c r="D1587" s="28"/>
      <c r="E1587" s="8"/>
      <c r="F1587" s="8"/>
      <c r="G1587" s="8"/>
      <c r="H1587" s="28"/>
      <c r="I1587" s="28"/>
    </row>
    <row r="1588" spans="1:9" x14ac:dyDescent="0.35">
      <c r="A1588" s="8"/>
      <c r="B1588" s="8"/>
      <c r="C1588" s="8"/>
      <c r="D1588" s="28"/>
      <c r="E1588" s="8"/>
      <c r="F1588" s="8"/>
      <c r="G1588" s="8"/>
      <c r="H1588" s="28"/>
      <c r="I1588" s="28"/>
    </row>
    <row r="1589" spans="1:9" x14ac:dyDescent="0.35">
      <c r="A1589" s="8"/>
      <c r="B1589" s="8"/>
      <c r="C1589" s="8"/>
      <c r="D1589" s="28"/>
      <c r="E1589" s="8"/>
      <c r="F1589" s="8"/>
      <c r="G1589" s="8"/>
      <c r="H1589" s="28"/>
      <c r="I1589" s="28"/>
    </row>
    <row r="1590" spans="1:9" x14ac:dyDescent="0.35">
      <c r="A1590" s="8"/>
      <c r="B1590" s="8"/>
      <c r="C1590" s="8"/>
      <c r="D1590" s="28"/>
      <c r="E1590" s="8"/>
      <c r="F1590" s="8"/>
      <c r="G1590" s="8"/>
      <c r="H1590" s="28"/>
      <c r="I1590" s="28"/>
    </row>
    <row r="1591" spans="1:9" x14ac:dyDescent="0.35">
      <c r="A1591" s="8"/>
      <c r="B1591" s="8"/>
      <c r="C1591" s="8"/>
      <c r="D1591" s="28"/>
      <c r="E1591" s="8"/>
      <c r="F1591" s="8"/>
      <c r="G1591" s="8"/>
      <c r="H1591" s="28"/>
      <c r="I1591" s="28"/>
    </row>
    <row r="1592" spans="1:9" x14ac:dyDescent="0.35">
      <c r="A1592" s="8"/>
      <c r="B1592" s="8"/>
      <c r="C1592" s="8"/>
      <c r="D1592" s="28"/>
      <c r="E1592" s="8"/>
      <c r="F1592" s="8"/>
      <c r="G1592" s="8"/>
      <c r="H1592" s="28"/>
      <c r="I1592" s="28"/>
    </row>
    <row r="1593" spans="1:9" x14ac:dyDescent="0.35">
      <c r="A1593" s="8"/>
      <c r="B1593" s="8"/>
      <c r="C1593" s="8"/>
      <c r="D1593" s="28"/>
      <c r="E1593" s="8"/>
      <c r="F1593" s="8"/>
      <c r="G1593" s="8"/>
      <c r="H1593" s="28"/>
      <c r="I1593" s="28"/>
    </row>
    <row r="1594" spans="1:9" x14ac:dyDescent="0.35">
      <c r="A1594" s="8"/>
      <c r="B1594" s="8"/>
      <c r="C1594" s="8"/>
      <c r="D1594" s="28"/>
      <c r="E1594" s="8"/>
      <c r="F1594" s="8"/>
      <c r="G1594" s="8"/>
      <c r="H1594" s="28"/>
      <c r="I1594" s="28"/>
    </row>
    <row r="1595" spans="1:9" x14ac:dyDescent="0.35">
      <c r="A1595" s="8"/>
      <c r="B1595" s="8"/>
      <c r="C1595" s="8"/>
      <c r="D1595" s="28"/>
      <c r="E1595" s="8"/>
      <c r="F1595" s="8"/>
      <c r="G1595" s="8"/>
      <c r="H1595" s="28"/>
      <c r="I1595" s="28"/>
    </row>
    <row r="1596" spans="1:9" x14ac:dyDescent="0.35">
      <c r="A1596" s="8"/>
      <c r="B1596" s="8"/>
      <c r="C1596" s="8"/>
      <c r="D1596" s="28"/>
      <c r="E1596" s="8"/>
      <c r="F1596" s="8"/>
      <c r="G1596" s="8"/>
      <c r="H1596" s="28"/>
      <c r="I1596" s="28"/>
    </row>
    <row r="1597" spans="1:9" x14ac:dyDescent="0.35">
      <c r="A1597" s="8"/>
      <c r="B1597" s="8"/>
      <c r="C1597" s="8"/>
      <c r="D1597" s="28"/>
      <c r="E1597" s="8"/>
      <c r="F1597" s="8"/>
      <c r="G1597" s="8"/>
      <c r="H1597" s="28"/>
      <c r="I1597" s="28"/>
    </row>
    <row r="1598" spans="1:9" x14ac:dyDescent="0.35">
      <c r="A1598" s="8"/>
      <c r="B1598" s="8"/>
      <c r="C1598" s="8"/>
      <c r="D1598" s="28"/>
      <c r="E1598" s="8"/>
      <c r="F1598" s="8"/>
      <c r="G1598" s="8"/>
      <c r="H1598" s="28"/>
      <c r="I1598" s="28"/>
    </row>
    <row r="1599" spans="1:9" x14ac:dyDescent="0.35">
      <c r="A1599" s="8"/>
      <c r="B1599" s="8"/>
      <c r="C1599" s="8"/>
      <c r="D1599" s="28"/>
      <c r="E1599" s="8"/>
      <c r="F1599" s="8"/>
      <c r="G1599" s="8"/>
      <c r="H1599" s="28"/>
      <c r="I1599" s="28"/>
    </row>
    <row r="1600" spans="1:9" x14ac:dyDescent="0.35">
      <c r="A1600" s="8"/>
      <c r="B1600" s="8"/>
      <c r="C1600" s="8"/>
      <c r="D1600" s="28"/>
      <c r="E1600" s="8"/>
      <c r="F1600" s="8"/>
      <c r="G1600" s="8"/>
      <c r="H1600" s="28"/>
      <c r="I1600" s="28"/>
    </row>
    <row r="1601" spans="1:9" x14ac:dyDescent="0.35">
      <c r="A1601" s="8"/>
      <c r="B1601" s="8"/>
      <c r="C1601" s="8"/>
      <c r="D1601" s="28"/>
      <c r="E1601" s="8"/>
      <c r="F1601" s="8"/>
      <c r="G1601" s="8"/>
      <c r="H1601" s="28"/>
      <c r="I1601" s="28"/>
    </row>
    <row r="1602" spans="1:9" x14ac:dyDescent="0.35">
      <c r="A1602" s="8"/>
      <c r="B1602" s="8"/>
      <c r="C1602" s="8"/>
      <c r="D1602" s="28"/>
      <c r="E1602" s="8"/>
      <c r="F1602" s="8"/>
      <c r="G1602" s="8"/>
      <c r="H1602" s="28"/>
      <c r="I1602" s="28"/>
    </row>
    <row r="1603" spans="1:9" x14ac:dyDescent="0.35">
      <c r="A1603" s="8"/>
      <c r="B1603" s="8"/>
      <c r="C1603" s="8"/>
      <c r="D1603" s="28"/>
      <c r="E1603" s="8"/>
      <c r="F1603" s="8"/>
      <c r="G1603" s="8"/>
      <c r="H1603" s="28"/>
      <c r="I1603" s="28"/>
    </row>
    <row r="1604" spans="1:9" x14ac:dyDescent="0.35">
      <c r="A1604" s="8"/>
      <c r="B1604" s="8"/>
      <c r="C1604" s="8"/>
      <c r="D1604" s="28"/>
      <c r="E1604" s="8"/>
      <c r="F1604" s="8"/>
      <c r="G1604" s="8"/>
      <c r="H1604" s="28"/>
      <c r="I1604" s="28"/>
    </row>
    <row r="1605" spans="1:9" x14ac:dyDescent="0.35">
      <c r="A1605" s="8"/>
      <c r="B1605" s="8"/>
      <c r="C1605" s="8"/>
      <c r="D1605" s="28"/>
      <c r="E1605" s="8"/>
      <c r="F1605" s="8"/>
      <c r="G1605" s="8"/>
      <c r="H1605" s="28"/>
      <c r="I1605" s="28"/>
    </row>
    <row r="1606" spans="1:9" x14ac:dyDescent="0.35">
      <c r="A1606" s="8"/>
      <c r="B1606" s="8"/>
      <c r="C1606" s="8"/>
      <c r="D1606" s="28"/>
      <c r="E1606" s="8"/>
      <c r="F1606" s="8"/>
      <c r="G1606" s="8"/>
      <c r="H1606" s="28"/>
      <c r="I1606" s="28"/>
    </row>
    <row r="1607" spans="1:9" x14ac:dyDescent="0.35">
      <c r="A1607" s="8"/>
      <c r="B1607" s="8"/>
      <c r="C1607" s="8"/>
      <c r="D1607" s="28"/>
      <c r="E1607" s="8"/>
      <c r="F1607" s="8"/>
      <c r="G1607" s="8"/>
      <c r="H1607" s="28"/>
      <c r="I1607" s="28"/>
    </row>
    <row r="1608" spans="1:9" x14ac:dyDescent="0.35">
      <c r="A1608" s="8"/>
      <c r="B1608" s="8"/>
      <c r="C1608" s="8"/>
      <c r="D1608" s="28"/>
      <c r="E1608" s="8"/>
      <c r="F1608" s="8"/>
      <c r="G1608" s="8"/>
      <c r="H1608" s="28"/>
      <c r="I1608" s="28"/>
    </row>
    <row r="1609" spans="1:9" x14ac:dyDescent="0.35">
      <c r="A1609" s="8"/>
      <c r="B1609" s="8"/>
      <c r="C1609" s="8"/>
      <c r="D1609" s="28"/>
      <c r="E1609" s="8"/>
      <c r="F1609" s="8"/>
      <c r="G1609" s="8"/>
      <c r="H1609" s="28"/>
      <c r="I1609" s="28"/>
    </row>
    <row r="1610" spans="1:9" x14ac:dyDescent="0.35">
      <c r="A1610" s="8"/>
      <c r="B1610" s="8"/>
      <c r="C1610" s="8"/>
      <c r="D1610" s="28"/>
      <c r="E1610" s="8"/>
      <c r="F1610" s="8"/>
      <c r="G1610" s="8"/>
      <c r="H1610" s="28"/>
      <c r="I1610" s="28"/>
    </row>
    <row r="1611" spans="1:9" x14ac:dyDescent="0.35">
      <c r="A1611" s="8"/>
      <c r="B1611" s="8"/>
      <c r="C1611" s="8"/>
      <c r="D1611" s="28"/>
      <c r="E1611" s="8"/>
      <c r="F1611" s="8"/>
      <c r="G1611" s="8"/>
      <c r="H1611" s="28"/>
      <c r="I1611" s="28"/>
    </row>
    <row r="1612" spans="1:9" x14ac:dyDescent="0.35">
      <c r="A1612" s="8"/>
      <c r="B1612" s="8"/>
      <c r="C1612" s="8"/>
      <c r="D1612" s="28"/>
      <c r="E1612" s="8"/>
      <c r="F1612" s="8"/>
      <c r="G1612" s="8"/>
      <c r="H1612" s="28"/>
      <c r="I1612" s="28"/>
    </row>
    <row r="1613" spans="1:9" x14ac:dyDescent="0.35">
      <c r="A1613" s="8"/>
      <c r="B1613" s="8"/>
      <c r="C1613" s="8"/>
      <c r="D1613" s="28"/>
      <c r="E1613" s="8"/>
      <c r="F1613" s="8"/>
      <c r="G1613" s="8"/>
      <c r="H1613" s="28"/>
      <c r="I1613" s="28"/>
    </row>
    <row r="1614" spans="1:9" x14ac:dyDescent="0.35">
      <c r="A1614" s="8"/>
      <c r="B1614" s="8"/>
      <c r="C1614" s="8"/>
      <c r="D1614" s="28"/>
      <c r="E1614" s="8"/>
      <c r="F1614" s="8"/>
      <c r="G1614" s="8"/>
      <c r="H1614" s="28"/>
      <c r="I1614" s="28"/>
    </row>
    <row r="1615" spans="1:9" x14ac:dyDescent="0.35">
      <c r="A1615" s="8"/>
      <c r="B1615" s="8"/>
      <c r="C1615" s="8"/>
      <c r="D1615" s="28"/>
      <c r="E1615" s="8"/>
      <c r="F1615" s="8"/>
      <c r="G1615" s="8"/>
      <c r="H1615" s="28"/>
      <c r="I1615" s="28"/>
    </row>
    <row r="1616" spans="1:9" x14ac:dyDescent="0.35">
      <c r="A1616" s="8"/>
      <c r="B1616" s="8"/>
      <c r="C1616" s="8"/>
      <c r="D1616" s="28"/>
      <c r="E1616" s="8"/>
      <c r="F1616" s="8"/>
      <c r="G1616" s="8"/>
      <c r="H1616" s="28"/>
      <c r="I1616" s="28"/>
    </row>
    <row r="1617" spans="1:9" x14ac:dyDescent="0.35">
      <c r="A1617" s="8"/>
      <c r="B1617" s="8"/>
      <c r="C1617" s="8"/>
      <c r="D1617" s="28"/>
      <c r="E1617" s="8"/>
      <c r="F1617" s="8"/>
      <c r="G1617" s="8"/>
      <c r="H1617" s="28"/>
      <c r="I1617" s="28"/>
    </row>
    <row r="1618" spans="1:9" x14ac:dyDescent="0.35">
      <c r="A1618" s="8"/>
      <c r="B1618" s="8"/>
      <c r="C1618" s="8"/>
      <c r="D1618" s="28"/>
      <c r="E1618" s="8"/>
      <c r="F1618" s="8"/>
      <c r="G1618" s="8"/>
      <c r="H1618" s="28"/>
      <c r="I1618" s="28"/>
    </row>
    <row r="1619" spans="1:9" x14ac:dyDescent="0.35">
      <c r="A1619" s="8"/>
      <c r="B1619" s="8"/>
      <c r="C1619" s="8"/>
      <c r="D1619" s="28"/>
      <c r="E1619" s="8"/>
      <c r="F1619" s="8"/>
      <c r="G1619" s="8"/>
      <c r="H1619" s="28"/>
      <c r="I1619" s="28"/>
    </row>
    <row r="1620" spans="1:9" x14ac:dyDescent="0.35">
      <c r="A1620" s="8"/>
      <c r="B1620" s="8"/>
      <c r="C1620" s="8"/>
      <c r="D1620" s="28"/>
      <c r="E1620" s="8"/>
      <c r="F1620" s="8"/>
      <c r="G1620" s="8"/>
      <c r="H1620" s="28"/>
      <c r="I1620" s="28"/>
    </row>
    <row r="1621" spans="1:9" x14ac:dyDescent="0.35">
      <c r="A1621" s="8"/>
      <c r="B1621" s="8"/>
      <c r="C1621" s="8"/>
      <c r="D1621" s="28"/>
      <c r="E1621" s="8"/>
      <c r="F1621" s="8"/>
      <c r="G1621" s="8"/>
      <c r="H1621" s="28"/>
      <c r="I1621" s="28"/>
    </row>
    <row r="1622" spans="1:9" x14ac:dyDescent="0.35">
      <c r="A1622" s="8"/>
      <c r="B1622" s="8"/>
      <c r="C1622" s="8"/>
      <c r="D1622" s="28"/>
      <c r="E1622" s="8"/>
      <c r="F1622" s="8"/>
      <c r="G1622" s="8"/>
      <c r="H1622" s="28"/>
      <c r="I1622" s="28"/>
    </row>
    <row r="1623" spans="1:9" x14ac:dyDescent="0.35">
      <c r="A1623" s="8"/>
      <c r="B1623" s="8"/>
      <c r="C1623" s="8"/>
      <c r="D1623" s="28"/>
      <c r="E1623" s="8"/>
      <c r="F1623" s="8"/>
      <c r="G1623" s="8"/>
      <c r="H1623" s="28"/>
      <c r="I1623" s="28"/>
    </row>
    <row r="1624" spans="1:9" x14ac:dyDescent="0.35">
      <c r="A1624" s="8"/>
      <c r="B1624" s="8"/>
      <c r="C1624" s="8"/>
      <c r="D1624" s="28"/>
      <c r="E1624" s="8"/>
      <c r="F1624" s="8"/>
      <c r="G1624" s="8"/>
      <c r="H1624" s="28"/>
      <c r="I1624" s="28"/>
    </row>
    <row r="1625" spans="1:9" x14ac:dyDescent="0.35">
      <c r="A1625" s="8"/>
      <c r="B1625" s="8"/>
      <c r="C1625" s="8"/>
      <c r="D1625" s="28"/>
      <c r="E1625" s="8"/>
      <c r="F1625" s="8"/>
      <c r="G1625" s="8"/>
      <c r="H1625" s="28"/>
      <c r="I1625" s="28"/>
    </row>
    <row r="1626" spans="1:9" x14ac:dyDescent="0.35">
      <c r="A1626" s="8"/>
      <c r="B1626" s="8"/>
      <c r="C1626" s="8"/>
      <c r="D1626" s="28"/>
      <c r="E1626" s="8"/>
      <c r="F1626" s="8"/>
      <c r="G1626" s="8"/>
      <c r="H1626" s="28"/>
      <c r="I1626" s="28"/>
    </row>
    <row r="1627" spans="1:9" x14ac:dyDescent="0.35">
      <c r="A1627" s="8"/>
      <c r="B1627" s="8"/>
      <c r="C1627" s="8"/>
      <c r="D1627" s="28"/>
      <c r="E1627" s="8"/>
      <c r="F1627" s="8"/>
      <c r="G1627" s="8"/>
      <c r="H1627" s="28"/>
      <c r="I1627" s="28"/>
    </row>
    <row r="1628" spans="1:9" x14ac:dyDescent="0.35">
      <c r="A1628" s="8"/>
      <c r="B1628" s="8"/>
      <c r="C1628" s="8"/>
      <c r="D1628" s="28"/>
      <c r="E1628" s="8"/>
      <c r="F1628" s="8"/>
      <c r="G1628" s="8"/>
      <c r="H1628" s="28"/>
      <c r="I1628" s="28"/>
    </row>
    <row r="1629" spans="1:9" x14ac:dyDescent="0.35">
      <c r="A1629" s="8"/>
      <c r="B1629" s="8"/>
      <c r="C1629" s="8"/>
      <c r="D1629" s="28"/>
      <c r="E1629" s="8"/>
      <c r="F1629" s="8"/>
      <c r="G1629" s="8"/>
      <c r="H1629" s="28"/>
      <c r="I1629" s="28"/>
    </row>
    <row r="1630" spans="1:9" x14ac:dyDescent="0.35">
      <c r="A1630" s="8"/>
      <c r="B1630" s="8"/>
      <c r="C1630" s="8"/>
      <c r="D1630" s="28"/>
      <c r="E1630" s="8"/>
      <c r="F1630" s="8"/>
      <c r="G1630" s="8"/>
      <c r="H1630" s="28"/>
      <c r="I1630" s="28"/>
    </row>
    <row r="1631" spans="1:9" x14ac:dyDescent="0.35">
      <c r="A1631" s="8"/>
      <c r="B1631" s="8"/>
      <c r="C1631" s="8"/>
      <c r="D1631" s="28"/>
      <c r="E1631" s="8"/>
      <c r="F1631" s="8"/>
      <c r="G1631" s="8"/>
      <c r="H1631" s="28"/>
      <c r="I1631" s="28"/>
    </row>
    <row r="1632" spans="1:9" x14ac:dyDescent="0.35">
      <c r="A1632" s="8"/>
      <c r="B1632" s="8"/>
      <c r="C1632" s="8"/>
      <c r="D1632" s="28"/>
      <c r="E1632" s="8"/>
      <c r="F1632" s="8"/>
      <c r="G1632" s="8"/>
      <c r="H1632" s="28"/>
      <c r="I1632" s="28"/>
    </row>
    <row r="1633" spans="1:9" x14ac:dyDescent="0.35">
      <c r="A1633" s="8"/>
      <c r="B1633" s="8"/>
      <c r="C1633" s="8"/>
      <c r="D1633" s="28"/>
      <c r="E1633" s="8"/>
      <c r="F1633" s="8"/>
      <c r="G1633" s="8"/>
      <c r="H1633" s="28"/>
      <c r="I1633" s="28"/>
    </row>
    <row r="1634" spans="1:9" x14ac:dyDescent="0.35">
      <c r="A1634" s="8"/>
      <c r="B1634" s="8"/>
      <c r="C1634" s="8"/>
      <c r="D1634" s="28"/>
      <c r="E1634" s="8"/>
      <c r="F1634" s="8"/>
      <c r="G1634" s="8"/>
      <c r="H1634" s="28"/>
      <c r="I1634" s="28"/>
    </row>
    <row r="1635" spans="1:9" x14ac:dyDescent="0.35">
      <c r="A1635" s="8"/>
      <c r="B1635" s="8"/>
      <c r="C1635" s="8"/>
      <c r="D1635" s="28"/>
      <c r="E1635" s="8"/>
      <c r="F1635" s="8"/>
      <c r="G1635" s="8"/>
      <c r="H1635" s="28"/>
      <c r="I1635" s="28"/>
    </row>
    <row r="1636" spans="1:9" x14ac:dyDescent="0.35">
      <c r="A1636" s="8"/>
      <c r="B1636" s="8"/>
      <c r="C1636" s="8"/>
      <c r="D1636" s="28"/>
      <c r="E1636" s="8"/>
      <c r="F1636" s="8"/>
      <c r="G1636" s="8"/>
      <c r="H1636" s="28"/>
      <c r="I1636" s="28"/>
    </row>
    <row r="1637" spans="1:9" x14ac:dyDescent="0.35">
      <c r="A1637" s="8"/>
      <c r="B1637" s="8"/>
      <c r="C1637" s="8"/>
      <c r="D1637" s="28"/>
      <c r="E1637" s="8"/>
      <c r="F1637" s="8"/>
      <c r="G1637" s="8"/>
      <c r="H1637" s="28"/>
      <c r="I1637" s="28"/>
    </row>
    <row r="1638" spans="1:9" x14ac:dyDescent="0.35">
      <c r="A1638" s="8"/>
      <c r="B1638" s="8"/>
      <c r="C1638" s="8"/>
      <c r="D1638" s="28"/>
      <c r="E1638" s="8"/>
      <c r="F1638" s="8"/>
      <c r="G1638" s="8"/>
      <c r="H1638" s="28"/>
      <c r="I1638" s="28"/>
    </row>
    <row r="1639" spans="1:9" x14ac:dyDescent="0.35">
      <c r="A1639" s="8"/>
      <c r="B1639" s="8"/>
      <c r="C1639" s="8"/>
      <c r="D1639" s="28"/>
      <c r="E1639" s="8"/>
      <c r="F1639" s="8"/>
      <c r="G1639" s="8"/>
      <c r="H1639" s="28"/>
      <c r="I1639" s="28"/>
    </row>
    <row r="1640" spans="1:9" x14ac:dyDescent="0.35">
      <c r="A1640" s="8"/>
      <c r="B1640" s="8"/>
      <c r="C1640" s="8"/>
      <c r="D1640" s="28"/>
      <c r="E1640" s="8"/>
      <c r="F1640" s="8"/>
      <c r="G1640" s="8"/>
      <c r="H1640" s="28"/>
      <c r="I1640" s="28"/>
    </row>
    <row r="1641" spans="1:9" x14ac:dyDescent="0.35">
      <c r="A1641" s="8"/>
      <c r="B1641" s="8"/>
      <c r="C1641" s="8"/>
      <c r="D1641" s="28"/>
      <c r="E1641" s="8"/>
      <c r="F1641" s="8"/>
      <c r="G1641" s="8"/>
      <c r="H1641" s="28"/>
      <c r="I1641" s="28"/>
    </row>
    <row r="1642" spans="1:9" x14ac:dyDescent="0.35">
      <c r="A1642" s="8"/>
      <c r="B1642" s="8"/>
      <c r="C1642" s="8"/>
      <c r="D1642" s="28"/>
      <c r="E1642" s="8"/>
      <c r="F1642" s="8"/>
      <c r="G1642" s="8"/>
      <c r="H1642" s="28"/>
      <c r="I1642" s="28"/>
    </row>
    <row r="1643" spans="1:9" x14ac:dyDescent="0.35">
      <c r="A1643" s="8"/>
      <c r="B1643" s="8"/>
      <c r="C1643" s="8"/>
      <c r="D1643" s="28"/>
      <c r="E1643" s="8"/>
      <c r="F1643" s="8"/>
      <c r="G1643" s="8"/>
      <c r="H1643" s="28"/>
      <c r="I1643" s="28"/>
    </row>
    <row r="1644" spans="1:9" x14ac:dyDescent="0.35">
      <c r="A1644" s="8"/>
      <c r="B1644" s="8"/>
      <c r="C1644" s="8"/>
      <c r="D1644" s="28"/>
      <c r="E1644" s="8"/>
      <c r="F1644" s="8"/>
      <c r="G1644" s="8"/>
      <c r="H1644" s="28"/>
      <c r="I1644" s="28"/>
    </row>
    <row r="1645" spans="1:9" x14ac:dyDescent="0.35">
      <c r="A1645" s="8"/>
      <c r="B1645" s="8"/>
      <c r="C1645" s="8"/>
      <c r="D1645" s="28"/>
      <c r="E1645" s="8"/>
      <c r="F1645" s="8"/>
      <c r="G1645" s="8"/>
      <c r="H1645" s="28"/>
      <c r="I1645" s="28"/>
    </row>
    <row r="1646" spans="1:9" x14ac:dyDescent="0.35">
      <c r="A1646" s="8"/>
      <c r="B1646" s="8"/>
      <c r="C1646" s="8"/>
      <c r="D1646" s="28"/>
      <c r="E1646" s="8"/>
      <c r="F1646" s="8"/>
      <c r="G1646" s="8"/>
      <c r="H1646" s="28"/>
      <c r="I1646" s="28"/>
    </row>
    <row r="1647" spans="1:9" x14ac:dyDescent="0.35">
      <c r="A1647" s="8"/>
      <c r="B1647" s="8"/>
      <c r="C1647" s="8"/>
      <c r="D1647" s="28"/>
      <c r="E1647" s="8"/>
      <c r="F1647" s="8"/>
      <c r="G1647" s="8"/>
      <c r="H1647" s="28"/>
      <c r="I1647" s="28"/>
    </row>
    <row r="1648" spans="1:9" x14ac:dyDescent="0.35">
      <c r="A1648" s="8"/>
      <c r="B1648" s="8"/>
      <c r="C1648" s="8"/>
      <c r="D1648" s="28"/>
      <c r="E1648" s="8"/>
      <c r="F1648" s="8"/>
      <c r="G1648" s="8"/>
      <c r="H1648" s="28"/>
      <c r="I1648" s="28"/>
    </row>
    <row r="1649" spans="1:9" x14ac:dyDescent="0.35">
      <c r="A1649" s="8"/>
      <c r="B1649" s="8"/>
      <c r="C1649" s="8"/>
      <c r="D1649" s="28"/>
      <c r="E1649" s="8"/>
      <c r="F1649" s="8"/>
      <c r="G1649" s="8"/>
      <c r="H1649" s="28"/>
      <c r="I1649" s="28"/>
    </row>
    <row r="1650" spans="1:9" x14ac:dyDescent="0.35">
      <c r="A1650" s="8"/>
      <c r="B1650" s="8"/>
      <c r="C1650" s="8"/>
      <c r="D1650" s="28"/>
      <c r="E1650" s="8"/>
      <c r="F1650" s="8"/>
      <c r="G1650" s="8"/>
      <c r="H1650" s="28"/>
      <c r="I1650" s="28"/>
    </row>
    <row r="1651" spans="1:9" x14ac:dyDescent="0.35">
      <c r="A1651" s="8"/>
      <c r="B1651" s="8"/>
      <c r="C1651" s="8"/>
      <c r="D1651" s="28"/>
      <c r="E1651" s="8"/>
      <c r="F1651" s="8"/>
      <c r="G1651" s="8"/>
      <c r="H1651" s="28"/>
      <c r="I1651" s="28"/>
    </row>
    <row r="1652" spans="1:9" x14ac:dyDescent="0.35">
      <c r="A1652" s="8"/>
      <c r="B1652" s="8"/>
      <c r="C1652" s="8"/>
      <c r="D1652" s="28"/>
      <c r="E1652" s="8"/>
      <c r="F1652" s="8"/>
      <c r="G1652" s="8"/>
      <c r="H1652" s="28"/>
      <c r="I1652" s="28"/>
    </row>
    <row r="1653" spans="1:9" x14ac:dyDescent="0.35">
      <c r="A1653" s="8"/>
      <c r="B1653" s="8"/>
      <c r="C1653" s="8"/>
      <c r="D1653" s="28"/>
      <c r="E1653" s="8"/>
      <c r="F1653" s="8"/>
      <c r="G1653" s="8"/>
      <c r="H1653" s="28"/>
      <c r="I1653" s="28"/>
    </row>
    <row r="1654" spans="1:9" x14ac:dyDescent="0.35">
      <c r="A1654" s="8"/>
      <c r="B1654" s="8"/>
      <c r="C1654" s="8"/>
      <c r="D1654" s="28"/>
      <c r="E1654" s="8"/>
      <c r="F1654" s="8"/>
      <c r="G1654" s="8"/>
      <c r="H1654" s="28"/>
      <c r="I1654" s="28"/>
    </row>
    <row r="1655" spans="1:9" x14ac:dyDescent="0.35">
      <c r="A1655" s="8"/>
      <c r="B1655" s="8"/>
      <c r="C1655" s="8"/>
      <c r="D1655" s="28"/>
      <c r="E1655" s="8"/>
      <c r="F1655" s="8"/>
      <c r="G1655" s="8"/>
      <c r="H1655" s="28"/>
      <c r="I1655" s="28"/>
    </row>
    <row r="1656" spans="1:9" x14ac:dyDescent="0.35">
      <c r="A1656" s="8"/>
      <c r="B1656" s="8"/>
      <c r="C1656" s="8"/>
      <c r="D1656" s="28"/>
      <c r="E1656" s="8"/>
      <c r="F1656" s="8"/>
      <c r="G1656" s="8"/>
      <c r="H1656" s="28"/>
      <c r="I1656" s="28"/>
    </row>
    <row r="1657" spans="1:9" x14ac:dyDescent="0.35">
      <c r="A1657" s="8"/>
      <c r="B1657" s="8"/>
      <c r="C1657" s="8"/>
      <c r="D1657" s="28"/>
      <c r="E1657" s="8"/>
      <c r="F1657" s="8"/>
      <c r="G1657" s="8"/>
      <c r="H1657" s="28"/>
      <c r="I1657" s="28"/>
    </row>
    <row r="1658" spans="1:9" x14ac:dyDescent="0.35">
      <c r="A1658" s="8"/>
      <c r="B1658" s="8"/>
      <c r="C1658" s="8"/>
      <c r="D1658" s="28"/>
      <c r="E1658" s="8"/>
      <c r="F1658" s="8"/>
      <c r="G1658" s="8"/>
      <c r="H1658" s="28"/>
      <c r="I1658" s="28"/>
    </row>
    <row r="1659" spans="1:9" x14ac:dyDescent="0.35">
      <c r="A1659" s="8"/>
      <c r="B1659" s="8"/>
      <c r="C1659" s="8"/>
      <c r="D1659" s="28"/>
      <c r="E1659" s="8"/>
      <c r="F1659" s="8"/>
      <c r="G1659" s="8"/>
      <c r="H1659" s="28"/>
      <c r="I1659" s="28"/>
    </row>
    <row r="1660" spans="1:9" x14ac:dyDescent="0.35">
      <c r="A1660" s="8"/>
      <c r="B1660" s="8"/>
      <c r="C1660" s="8"/>
      <c r="D1660" s="28"/>
      <c r="E1660" s="8"/>
      <c r="F1660" s="8"/>
      <c r="G1660" s="8"/>
      <c r="H1660" s="28"/>
      <c r="I1660" s="28"/>
    </row>
    <row r="1661" spans="1:9" x14ac:dyDescent="0.35">
      <c r="A1661" s="8"/>
      <c r="B1661" s="8"/>
      <c r="C1661" s="8"/>
      <c r="D1661" s="28"/>
      <c r="E1661" s="8"/>
      <c r="F1661" s="8"/>
      <c r="G1661" s="8"/>
      <c r="H1661" s="28"/>
      <c r="I1661" s="28"/>
    </row>
    <row r="1662" spans="1:9" x14ac:dyDescent="0.35">
      <c r="A1662" s="8"/>
      <c r="B1662" s="8"/>
      <c r="C1662" s="8"/>
      <c r="D1662" s="28"/>
      <c r="E1662" s="8"/>
      <c r="F1662" s="8"/>
      <c r="G1662" s="8"/>
      <c r="H1662" s="28"/>
      <c r="I1662" s="28"/>
    </row>
    <row r="1663" spans="1:9" x14ac:dyDescent="0.35">
      <c r="A1663" s="8"/>
      <c r="B1663" s="8"/>
      <c r="C1663" s="8"/>
      <c r="D1663" s="28"/>
      <c r="E1663" s="8"/>
      <c r="F1663" s="8"/>
      <c r="G1663" s="8"/>
      <c r="H1663" s="28"/>
      <c r="I1663" s="28"/>
    </row>
    <row r="1664" spans="1:9" x14ac:dyDescent="0.35">
      <c r="A1664" s="8"/>
      <c r="B1664" s="8"/>
      <c r="C1664" s="8"/>
      <c r="D1664" s="28"/>
      <c r="E1664" s="8"/>
      <c r="F1664" s="8"/>
      <c r="G1664" s="8"/>
      <c r="H1664" s="28"/>
      <c r="I1664" s="28"/>
    </row>
    <row r="1665" spans="1:9" x14ac:dyDescent="0.35">
      <c r="A1665" s="8"/>
      <c r="B1665" s="8"/>
      <c r="C1665" s="8"/>
      <c r="D1665" s="28"/>
      <c r="E1665" s="8"/>
      <c r="F1665" s="8"/>
      <c r="G1665" s="8"/>
      <c r="H1665" s="28"/>
      <c r="I1665" s="28"/>
    </row>
    <row r="1666" spans="1:9" x14ac:dyDescent="0.35">
      <c r="A1666" s="8"/>
      <c r="B1666" s="8"/>
      <c r="C1666" s="8"/>
      <c r="D1666" s="28"/>
      <c r="E1666" s="8"/>
      <c r="F1666" s="8"/>
      <c r="G1666" s="8"/>
      <c r="H1666" s="28"/>
      <c r="I1666" s="28"/>
    </row>
    <row r="1667" spans="1:9" x14ac:dyDescent="0.35">
      <c r="A1667" s="8"/>
      <c r="B1667" s="8"/>
      <c r="C1667" s="8"/>
      <c r="D1667" s="28"/>
      <c r="E1667" s="8"/>
      <c r="F1667" s="8"/>
      <c r="G1667" s="8"/>
      <c r="H1667" s="28"/>
      <c r="I1667" s="28"/>
    </row>
    <row r="1668" spans="1:9" x14ac:dyDescent="0.35">
      <c r="A1668" s="8"/>
      <c r="B1668" s="8"/>
      <c r="C1668" s="8"/>
      <c r="D1668" s="28"/>
      <c r="E1668" s="8"/>
      <c r="F1668" s="8"/>
      <c r="G1668" s="8"/>
      <c r="H1668" s="28"/>
      <c r="I1668" s="28"/>
    </row>
    <row r="1669" spans="1:9" x14ac:dyDescent="0.35">
      <c r="A1669" s="8"/>
      <c r="B1669" s="8"/>
      <c r="C1669" s="8"/>
      <c r="D1669" s="28"/>
      <c r="E1669" s="8"/>
      <c r="F1669" s="8"/>
      <c r="G1669" s="8"/>
      <c r="H1669" s="28"/>
      <c r="I1669" s="28"/>
    </row>
    <row r="1670" spans="1:9" x14ac:dyDescent="0.35">
      <c r="A1670" s="8"/>
      <c r="B1670" s="8"/>
      <c r="C1670" s="8"/>
      <c r="D1670" s="28"/>
      <c r="E1670" s="8"/>
      <c r="F1670" s="8"/>
      <c r="G1670" s="8"/>
      <c r="H1670" s="28"/>
      <c r="I1670" s="28"/>
    </row>
    <row r="1671" spans="1:9" x14ac:dyDescent="0.35">
      <c r="A1671" s="8"/>
      <c r="B1671" s="8"/>
      <c r="C1671" s="8"/>
      <c r="D1671" s="28"/>
      <c r="E1671" s="8"/>
      <c r="F1671" s="8"/>
      <c r="G1671" s="8"/>
      <c r="H1671" s="28"/>
      <c r="I1671" s="28"/>
    </row>
    <row r="1672" spans="1:9" x14ac:dyDescent="0.35">
      <c r="A1672" s="8"/>
      <c r="B1672" s="8"/>
      <c r="C1672" s="8"/>
      <c r="D1672" s="28"/>
      <c r="E1672" s="8"/>
      <c r="F1672" s="8"/>
      <c r="G1672" s="8"/>
      <c r="H1672" s="28"/>
      <c r="I1672" s="28"/>
    </row>
    <row r="1673" spans="1:9" x14ac:dyDescent="0.35">
      <c r="A1673" s="8"/>
      <c r="B1673" s="8"/>
      <c r="C1673" s="8"/>
      <c r="D1673" s="28"/>
      <c r="E1673" s="8"/>
      <c r="F1673" s="8"/>
      <c r="G1673" s="8"/>
      <c r="H1673" s="28"/>
      <c r="I1673" s="28"/>
    </row>
    <row r="1674" spans="1:9" x14ac:dyDescent="0.35">
      <c r="A1674" s="8"/>
      <c r="B1674" s="8"/>
      <c r="C1674" s="8"/>
      <c r="D1674" s="28"/>
      <c r="E1674" s="8"/>
      <c r="F1674" s="8"/>
      <c r="G1674" s="8"/>
      <c r="H1674" s="28"/>
      <c r="I1674" s="28"/>
    </row>
    <row r="1675" spans="1:9" x14ac:dyDescent="0.35">
      <c r="A1675" s="8"/>
      <c r="B1675" s="8"/>
      <c r="C1675" s="8"/>
      <c r="D1675" s="28"/>
      <c r="E1675" s="8"/>
      <c r="F1675" s="8"/>
      <c r="G1675" s="8"/>
      <c r="H1675" s="28"/>
      <c r="I1675" s="28"/>
    </row>
    <row r="1676" spans="1:9" x14ac:dyDescent="0.35">
      <c r="A1676" s="8"/>
      <c r="B1676" s="8"/>
      <c r="C1676" s="8"/>
      <c r="D1676" s="28"/>
      <c r="E1676" s="8"/>
      <c r="F1676" s="8"/>
      <c r="G1676" s="8"/>
      <c r="H1676" s="28"/>
      <c r="I1676" s="28"/>
    </row>
    <row r="1677" spans="1:9" x14ac:dyDescent="0.35">
      <c r="A1677" s="8"/>
      <c r="B1677" s="8"/>
      <c r="C1677" s="8"/>
      <c r="D1677" s="28"/>
      <c r="E1677" s="8"/>
      <c r="F1677" s="8"/>
      <c r="G1677" s="8"/>
      <c r="H1677" s="28"/>
      <c r="I1677" s="28"/>
    </row>
    <row r="1678" spans="1:9" x14ac:dyDescent="0.35">
      <c r="A1678" s="8"/>
      <c r="B1678" s="8"/>
      <c r="C1678" s="8"/>
      <c r="D1678" s="28"/>
      <c r="E1678" s="8"/>
      <c r="F1678" s="8"/>
      <c r="G1678" s="8"/>
      <c r="H1678" s="28"/>
      <c r="I1678" s="28"/>
    </row>
    <row r="1679" spans="1:9" x14ac:dyDescent="0.35">
      <c r="A1679" s="8"/>
      <c r="B1679" s="8"/>
      <c r="C1679" s="8"/>
      <c r="D1679" s="28"/>
      <c r="E1679" s="8"/>
      <c r="F1679" s="8"/>
      <c r="G1679" s="8"/>
      <c r="H1679" s="28"/>
      <c r="I1679" s="28"/>
    </row>
    <row r="1680" spans="1:9" x14ac:dyDescent="0.35">
      <c r="A1680" s="8"/>
      <c r="B1680" s="8"/>
      <c r="C1680" s="8"/>
      <c r="D1680" s="28"/>
      <c r="E1680" s="8"/>
      <c r="F1680" s="8"/>
      <c r="G1680" s="8"/>
      <c r="H1680" s="28"/>
      <c r="I1680" s="28"/>
    </row>
    <row r="1681" spans="1:9" x14ac:dyDescent="0.35">
      <c r="A1681" s="8"/>
      <c r="B1681" s="8"/>
      <c r="C1681" s="8"/>
      <c r="D1681" s="28"/>
      <c r="E1681" s="8"/>
      <c r="F1681" s="8"/>
      <c r="G1681" s="8"/>
      <c r="H1681" s="28"/>
      <c r="I1681" s="28"/>
    </row>
    <row r="1682" spans="1:9" x14ac:dyDescent="0.35">
      <c r="A1682" s="8"/>
      <c r="B1682" s="8"/>
      <c r="C1682" s="8"/>
      <c r="D1682" s="28"/>
      <c r="E1682" s="8"/>
      <c r="F1682" s="8"/>
      <c r="G1682" s="8"/>
      <c r="H1682" s="28"/>
      <c r="I1682" s="28"/>
    </row>
    <row r="1683" spans="1:9" x14ac:dyDescent="0.35">
      <c r="A1683" s="8"/>
      <c r="B1683" s="8"/>
      <c r="C1683" s="8"/>
      <c r="D1683" s="28"/>
      <c r="E1683" s="8"/>
      <c r="F1683" s="8"/>
      <c r="G1683" s="8"/>
      <c r="H1683" s="28"/>
      <c r="I1683" s="28"/>
    </row>
    <row r="1684" spans="1:9" x14ac:dyDescent="0.35">
      <c r="A1684" s="8"/>
      <c r="B1684" s="8"/>
      <c r="C1684" s="8"/>
      <c r="D1684" s="28"/>
      <c r="E1684" s="8"/>
      <c r="F1684" s="8"/>
      <c r="G1684" s="8"/>
      <c r="H1684" s="28"/>
      <c r="I1684" s="28"/>
    </row>
    <row r="1685" spans="1:9" x14ac:dyDescent="0.35">
      <c r="A1685" s="8"/>
      <c r="B1685" s="8"/>
      <c r="C1685" s="8"/>
      <c r="D1685" s="28"/>
      <c r="E1685" s="8"/>
      <c r="F1685" s="8"/>
      <c r="G1685" s="8"/>
      <c r="H1685" s="28"/>
      <c r="I1685" s="28"/>
    </row>
    <row r="1686" spans="1:9" x14ac:dyDescent="0.35">
      <c r="A1686" s="8"/>
      <c r="B1686" s="8"/>
      <c r="C1686" s="8"/>
      <c r="D1686" s="28"/>
      <c r="E1686" s="8"/>
      <c r="F1686" s="8"/>
      <c r="G1686" s="8"/>
      <c r="H1686" s="28"/>
      <c r="I1686" s="28"/>
    </row>
    <row r="1687" spans="1:9" x14ac:dyDescent="0.35">
      <c r="A1687" s="8"/>
      <c r="B1687" s="8"/>
      <c r="C1687" s="8"/>
      <c r="D1687" s="28"/>
      <c r="E1687" s="8"/>
      <c r="F1687" s="8"/>
      <c r="G1687" s="8"/>
      <c r="H1687" s="28"/>
      <c r="I1687" s="28"/>
    </row>
    <row r="1688" spans="1:9" x14ac:dyDescent="0.35">
      <c r="A1688" s="8"/>
      <c r="B1688" s="8"/>
      <c r="C1688" s="8"/>
      <c r="D1688" s="28"/>
      <c r="E1688" s="8"/>
      <c r="F1688" s="8"/>
      <c r="G1688" s="8"/>
      <c r="H1688" s="28"/>
      <c r="I1688" s="28"/>
    </row>
    <row r="1689" spans="1:9" x14ac:dyDescent="0.35">
      <c r="A1689" s="8"/>
      <c r="B1689" s="8"/>
      <c r="C1689" s="8"/>
      <c r="D1689" s="28"/>
      <c r="E1689" s="8"/>
      <c r="F1689" s="8"/>
      <c r="G1689" s="8"/>
      <c r="H1689" s="28"/>
      <c r="I1689" s="28"/>
    </row>
    <row r="1690" spans="1:9" x14ac:dyDescent="0.35">
      <c r="A1690" s="8"/>
      <c r="B1690" s="8"/>
      <c r="C1690" s="8"/>
      <c r="D1690" s="28"/>
      <c r="E1690" s="8"/>
      <c r="F1690" s="8"/>
      <c r="G1690" s="8"/>
      <c r="H1690" s="28"/>
      <c r="I1690" s="28"/>
    </row>
    <row r="1691" spans="1:9" x14ac:dyDescent="0.35">
      <c r="A1691" s="8"/>
      <c r="B1691" s="8"/>
      <c r="C1691" s="8"/>
      <c r="D1691" s="28"/>
      <c r="E1691" s="8"/>
      <c r="F1691" s="8"/>
      <c r="G1691" s="8"/>
      <c r="H1691" s="28"/>
      <c r="I1691" s="28"/>
    </row>
    <row r="1692" spans="1:9" x14ac:dyDescent="0.35">
      <c r="A1692" s="8"/>
      <c r="B1692" s="8"/>
      <c r="C1692" s="8"/>
      <c r="D1692" s="28"/>
      <c r="E1692" s="8"/>
      <c r="F1692" s="8"/>
      <c r="G1692" s="8"/>
      <c r="H1692" s="28"/>
      <c r="I1692" s="28"/>
    </row>
    <row r="1693" spans="1:9" x14ac:dyDescent="0.35">
      <c r="A1693" s="8"/>
      <c r="B1693" s="8"/>
      <c r="C1693" s="8"/>
      <c r="D1693" s="28"/>
      <c r="E1693" s="8"/>
      <c r="F1693" s="8"/>
      <c r="G1693" s="8"/>
      <c r="H1693" s="28"/>
      <c r="I1693" s="28"/>
    </row>
    <row r="1694" spans="1:9" x14ac:dyDescent="0.35">
      <c r="A1694" s="8"/>
      <c r="B1694" s="8"/>
      <c r="C1694" s="8"/>
      <c r="D1694" s="28"/>
      <c r="E1694" s="8"/>
      <c r="F1694" s="8"/>
      <c r="G1694" s="8"/>
      <c r="H1694" s="28"/>
      <c r="I1694" s="28"/>
    </row>
    <row r="1695" spans="1:9" x14ac:dyDescent="0.35">
      <c r="A1695" s="8"/>
      <c r="B1695" s="8"/>
      <c r="C1695" s="8"/>
      <c r="D1695" s="28"/>
      <c r="E1695" s="8"/>
      <c r="F1695" s="8"/>
      <c r="G1695" s="8"/>
      <c r="H1695" s="28"/>
      <c r="I1695" s="28"/>
    </row>
    <row r="1696" spans="1:9" x14ac:dyDescent="0.35">
      <c r="A1696" s="8"/>
      <c r="B1696" s="8"/>
      <c r="C1696" s="8"/>
      <c r="D1696" s="28"/>
      <c r="E1696" s="8"/>
      <c r="F1696" s="8"/>
      <c r="G1696" s="8"/>
      <c r="H1696" s="28"/>
      <c r="I1696" s="28"/>
    </row>
    <row r="1697" spans="1:9" x14ac:dyDescent="0.35">
      <c r="A1697" s="8"/>
      <c r="B1697" s="8"/>
      <c r="C1697" s="8"/>
      <c r="D1697" s="28"/>
      <c r="E1697" s="8"/>
      <c r="F1697" s="8"/>
      <c r="G1697" s="8"/>
      <c r="H1697" s="28"/>
      <c r="I1697" s="28"/>
    </row>
    <row r="1698" spans="1:9" x14ac:dyDescent="0.35">
      <c r="A1698" s="8"/>
      <c r="B1698" s="8"/>
      <c r="C1698" s="8"/>
      <c r="D1698" s="28"/>
      <c r="E1698" s="8"/>
      <c r="F1698" s="8"/>
      <c r="G1698" s="8"/>
      <c r="H1698" s="28"/>
      <c r="I1698" s="28"/>
    </row>
    <row r="1699" spans="1:9" x14ac:dyDescent="0.35">
      <c r="A1699" s="8"/>
      <c r="B1699" s="8"/>
      <c r="C1699" s="8"/>
      <c r="D1699" s="28"/>
      <c r="E1699" s="8"/>
      <c r="F1699" s="8"/>
      <c r="G1699" s="8"/>
      <c r="H1699" s="28"/>
      <c r="I1699" s="28"/>
    </row>
    <row r="1700" spans="1:9" x14ac:dyDescent="0.35">
      <c r="A1700" s="8"/>
      <c r="B1700" s="8"/>
      <c r="C1700" s="8"/>
      <c r="D1700" s="28"/>
      <c r="E1700" s="8"/>
      <c r="F1700" s="8"/>
      <c r="G1700" s="8"/>
      <c r="H1700" s="28"/>
      <c r="I1700" s="28"/>
    </row>
    <row r="1701" spans="1:9" x14ac:dyDescent="0.35">
      <c r="A1701" s="8"/>
      <c r="B1701" s="8"/>
      <c r="C1701" s="8"/>
      <c r="D1701" s="28"/>
      <c r="E1701" s="8"/>
      <c r="F1701" s="8"/>
      <c r="G1701" s="8"/>
      <c r="H1701" s="28"/>
      <c r="I1701" s="28"/>
    </row>
    <row r="1702" spans="1:9" x14ac:dyDescent="0.35">
      <c r="A1702" s="8"/>
      <c r="B1702" s="8"/>
      <c r="C1702" s="8"/>
      <c r="D1702" s="28"/>
      <c r="E1702" s="8"/>
      <c r="F1702" s="8"/>
      <c r="G1702" s="8"/>
      <c r="H1702" s="28"/>
      <c r="I1702" s="28"/>
    </row>
    <row r="1703" spans="1:9" x14ac:dyDescent="0.35">
      <c r="A1703" s="8"/>
      <c r="B1703" s="8"/>
      <c r="C1703" s="8"/>
      <c r="D1703" s="28"/>
      <c r="E1703" s="8"/>
      <c r="F1703" s="8"/>
      <c r="G1703" s="8"/>
      <c r="H1703" s="28"/>
      <c r="I1703" s="28"/>
    </row>
    <row r="1704" spans="1:9" x14ac:dyDescent="0.35">
      <c r="A1704" s="8"/>
      <c r="B1704" s="8"/>
      <c r="C1704" s="8"/>
      <c r="D1704" s="28"/>
      <c r="E1704" s="8"/>
      <c r="F1704" s="8"/>
      <c r="G1704" s="8"/>
      <c r="H1704" s="28"/>
      <c r="I1704" s="28"/>
    </row>
    <row r="1705" spans="1:9" x14ac:dyDescent="0.35">
      <c r="A1705" s="8"/>
      <c r="B1705" s="8"/>
      <c r="C1705" s="8"/>
      <c r="D1705" s="28"/>
      <c r="E1705" s="8"/>
      <c r="F1705" s="8"/>
      <c r="G1705" s="8"/>
      <c r="H1705" s="28"/>
      <c r="I1705" s="28"/>
    </row>
    <row r="1706" spans="1:9" x14ac:dyDescent="0.35">
      <c r="A1706" s="8"/>
      <c r="B1706" s="8"/>
      <c r="C1706" s="8"/>
      <c r="D1706" s="28"/>
      <c r="E1706" s="8"/>
      <c r="F1706" s="8"/>
      <c r="G1706" s="8"/>
      <c r="H1706" s="28"/>
      <c r="I1706" s="28"/>
    </row>
    <row r="1707" spans="1:9" x14ac:dyDescent="0.35">
      <c r="A1707" s="8"/>
      <c r="B1707" s="8"/>
      <c r="C1707" s="8"/>
      <c r="D1707" s="28"/>
      <c r="E1707" s="8"/>
      <c r="F1707" s="8"/>
      <c r="G1707" s="8"/>
      <c r="H1707" s="28"/>
      <c r="I1707" s="28"/>
    </row>
    <row r="1708" spans="1:9" x14ac:dyDescent="0.35">
      <c r="A1708" s="8"/>
      <c r="B1708" s="8"/>
      <c r="C1708" s="8"/>
      <c r="D1708" s="28"/>
      <c r="E1708" s="8"/>
      <c r="F1708" s="8"/>
      <c r="G1708" s="8"/>
      <c r="H1708" s="28"/>
      <c r="I1708" s="28"/>
    </row>
    <row r="1709" spans="1:9" x14ac:dyDescent="0.35">
      <c r="A1709" s="8"/>
      <c r="B1709" s="8"/>
      <c r="C1709" s="8"/>
      <c r="D1709" s="28"/>
      <c r="E1709" s="8"/>
      <c r="F1709" s="8"/>
      <c r="G1709" s="8"/>
      <c r="H1709" s="28"/>
      <c r="I1709" s="28"/>
    </row>
    <row r="1710" spans="1:9" x14ac:dyDescent="0.35">
      <c r="A1710" s="8"/>
      <c r="B1710" s="8"/>
      <c r="C1710" s="8"/>
      <c r="D1710" s="28"/>
      <c r="E1710" s="8"/>
      <c r="F1710" s="8"/>
      <c r="G1710" s="8"/>
      <c r="H1710" s="28"/>
      <c r="I1710" s="28"/>
    </row>
    <row r="1711" spans="1:9" x14ac:dyDescent="0.35">
      <c r="A1711" s="8"/>
      <c r="B1711" s="8"/>
      <c r="C1711" s="8"/>
      <c r="D1711" s="28"/>
      <c r="E1711" s="8"/>
      <c r="F1711" s="8"/>
      <c r="G1711" s="8"/>
      <c r="H1711" s="28"/>
      <c r="I1711" s="28"/>
    </row>
    <row r="1712" spans="1:9" x14ac:dyDescent="0.35">
      <c r="A1712" s="8"/>
      <c r="B1712" s="8"/>
      <c r="C1712" s="8"/>
      <c r="D1712" s="28"/>
      <c r="E1712" s="8"/>
      <c r="F1712" s="8"/>
      <c r="G1712" s="8"/>
      <c r="H1712" s="28"/>
      <c r="I1712" s="28"/>
    </row>
    <row r="1713" spans="1:9" x14ac:dyDescent="0.35">
      <c r="A1713" s="8"/>
      <c r="B1713" s="8"/>
      <c r="C1713" s="8"/>
      <c r="D1713" s="28"/>
      <c r="E1713" s="8"/>
      <c r="F1713" s="8"/>
      <c r="G1713" s="8"/>
      <c r="H1713" s="28"/>
      <c r="I1713" s="28"/>
    </row>
    <row r="1714" spans="1:9" x14ac:dyDescent="0.35">
      <c r="A1714" s="8"/>
      <c r="B1714" s="8"/>
      <c r="C1714" s="8"/>
      <c r="D1714" s="28"/>
      <c r="E1714" s="8"/>
      <c r="F1714" s="8"/>
      <c r="G1714" s="8"/>
      <c r="H1714" s="28"/>
      <c r="I1714" s="28"/>
    </row>
    <row r="1715" spans="1:9" x14ac:dyDescent="0.35">
      <c r="A1715" s="8"/>
      <c r="B1715" s="8"/>
      <c r="C1715" s="8"/>
      <c r="D1715" s="28"/>
      <c r="E1715" s="8"/>
      <c r="F1715" s="8"/>
      <c r="G1715" s="8"/>
      <c r="H1715" s="28"/>
      <c r="I1715" s="28"/>
    </row>
    <row r="1716" spans="1:9" x14ac:dyDescent="0.35">
      <c r="A1716" s="8"/>
      <c r="B1716" s="8"/>
      <c r="C1716" s="8"/>
      <c r="D1716" s="28"/>
      <c r="E1716" s="8"/>
      <c r="F1716" s="8"/>
      <c r="G1716" s="8"/>
      <c r="H1716" s="28"/>
      <c r="I1716" s="28"/>
    </row>
    <row r="1717" spans="1:9" x14ac:dyDescent="0.35">
      <c r="A1717" s="8"/>
      <c r="B1717" s="8"/>
      <c r="C1717" s="8"/>
      <c r="D1717" s="28"/>
      <c r="E1717" s="8"/>
      <c r="F1717" s="8"/>
      <c r="G1717" s="8"/>
      <c r="H1717" s="28"/>
      <c r="I1717" s="28"/>
    </row>
    <row r="1718" spans="1:9" x14ac:dyDescent="0.35">
      <c r="A1718" s="8"/>
      <c r="B1718" s="8"/>
      <c r="C1718" s="8"/>
      <c r="D1718" s="28"/>
      <c r="E1718" s="8"/>
      <c r="F1718" s="8"/>
      <c r="G1718" s="8"/>
      <c r="H1718" s="28"/>
      <c r="I1718" s="28"/>
    </row>
    <row r="1719" spans="1:9" x14ac:dyDescent="0.35">
      <c r="A1719" s="8"/>
      <c r="B1719" s="8"/>
      <c r="C1719" s="8"/>
      <c r="D1719" s="28"/>
      <c r="E1719" s="8"/>
      <c r="F1719" s="8"/>
      <c r="G1719" s="8"/>
      <c r="H1719" s="28"/>
      <c r="I1719" s="28"/>
    </row>
    <row r="1720" spans="1:9" x14ac:dyDescent="0.35">
      <c r="A1720" s="8"/>
      <c r="B1720" s="8"/>
      <c r="C1720" s="8"/>
      <c r="D1720" s="28"/>
      <c r="E1720" s="8"/>
      <c r="F1720" s="8"/>
      <c r="G1720" s="8"/>
      <c r="H1720" s="28"/>
      <c r="I1720" s="28"/>
    </row>
    <row r="1721" spans="1:9" x14ac:dyDescent="0.35">
      <c r="A1721" s="8"/>
      <c r="B1721" s="8"/>
      <c r="C1721" s="8"/>
      <c r="D1721" s="28"/>
      <c r="E1721" s="8"/>
      <c r="F1721" s="8"/>
      <c r="G1721" s="8"/>
      <c r="H1721" s="28"/>
      <c r="I1721" s="28"/>
    </row>
    <row r="1722" spans="1:9" x14ac:dyDescent="0.35">
      <c r="A1722" s="8"/>
      <c r="B1722" s="8"/>
      <c r="C1722" s="8"/>
      <c r="D1722" s="28"/>
      <c r="E1722" s="8"/>
      <c r="F1722" s="8"/>
      <c r="G1722" s="8"/>
      <c r="H1722" s="28"/>
      <c r="I1722" s="28"/>
    </row>
    <row r="1723" spans="1:9" x14ac:dyDescent="0.35">
      <c r="A1723" s="8"/>
      <c r="B1723" s="8"/>
      <c r="C1723" s="8"/>
      <c r="D1723" s="28"/>
      <c r="E1723" s="8"/>
      <c r="F1723" s="8"/>
      <c r="G1723" s="8"/>
      <c r="H1723" s="28"/>
      <c r="I1723" s="28"/>
    </row>
    <row r="1724" spans="1:9" x14ac:dyDescent="0.35">
      <c r="A1724" s="8"/>
      <c r="B1724" s="8"/>
      <c r="C1724" s="8"/>
      <c r="D1724" s="28"/>
      <c r="E1724" s="8"/>
      <c r="F1724" s="8"/>
      <c r="G1724" s="8"/>
      <c r="H1724" s="28"/>
      <c r="I1724" s="28"/>
    </row>
    <row r="1725" spans="1:9" x14ac:dyDescent="0.35">
      <c r="A1725" s="8"/>
      <c r="B1725" s="8"/>
      <c r="C1725" s="8"/>
      <c r="D1725" s="28"/>
      <c r="E1725" s="8"/>
      <c r="F1725" s="8"/>
      <c r="G1725" s="8"/>
      <c r="H1725" s="28"/>
      <c r="I1725" s="28"/>
    </row>
    <row r="1726" spans="1:9" x14ac:dyDescent="0.35">
      <c r="A1726" s="8"/>
      <c r="B1726" s="8"/>
      <c r="C1726" s="8"/>
      <c r="D1726" s="28"/>
      <c r="E1726" s="8"/>
      <c r="F1726" s="8"/>
      <c r="G1726" s="8"/>
      <c r="H1726" s="28"/>
      <c r="I1726" s="28"/>
    </row>
    <row r="1727" spans="1:9" x14ac:dyDescent="0.35">
      <c r="A1727" s="8"/>
      <c r="B1727" s="8"/>
      <c r="C1727" s="8"/>
      <c r="D1727" s="28"/>
      <c r="E1727" s="8"/>
      <c r="F1727" s="8"/>
      <c r="G1727" s="8"/>
      <c r="H1727" s="28"/>
      <c r="I1727" s="28"/>
    </row>
    <row r="1728" spans="1:9" x14ac:dyDescent="0.35">
      <c r="A1728" s="8"/>
      <c r="B1728" s="8"/>
      <c r="C1728" s="8"/>
      <c r="D1728" s="28"/>
      <c r="E1728" s="8"/>
      <c r="F1728" s="8"/>
      <c r="G1728" s="8"/>
      <c r="H1728" s="28"/>
      <c r="I1728" s="28"/>
    </row>
    <row r="1729" spans="1:9" x14ac:dyDescent="0.35">
      <c r="A1729" s="8"/>
      <c r="B1729" s="8"/>
      <c r="C1729" s="8"/>
      <c r="D1729" s="28"/>
      <c r="E1729" s="8"/>
      <c r="F1729" s="8"/>
      <c r="G1729" s="8"/>
      <c r="H1729" s="28"/>
      <c r="I1729" s="28"/>
    </row>
    <row r="1730" spans="1:9" x14ac:dyDescent="0.35">
      <c r="A1730" s="8"/>
      <c r="B1730" s="8"/>
      <c r="C1730" s="8"/>
      <c r="D1730" s="28"/>
      <c r="E1730" s="8"/>
      <c r="F1730" s="8"/>
      <c r="G1730" s="8"/>
      <c r="H1730" s="28"/>
      <c r="I1730" s="28"/>
    </row>
    <row r="1731" spans="1:9" x14ac:dyDescent="0.35">
      <c r="A1731" s="8"/>
      <c r="B1731" s="8"/>
      <c r="C1731" s="8"/>
      <c r="D1731" s="28"/>
      <c r="E1731" s="8"/>
      <c r="F1731" s="8"/>
      <c r="G1731" s="8"/>
      <c r="H1731" s="28"/>
      <c r="I1731" s="28"/>
    </row>
    <row r="1732" spans="1:9" x14ac:dyDescent="0.35">
      <c r="A1732" s="8"/>
      <c r="B1732" s="8"/>
      <c r="C1732" s="8"/>
      <c r="D1732" s="28"/>
      <c r="E1732" s="8"/>
      <c r="F1732" s="8"/>
      <c r="G1732" s="8"/>
      <c r="H1732" s="28"/>
      <c r="I1732" s="28"/>
    </row>
    <row r="1733" spans="1:9" x14ac:dyDescent="0.35">
      <c r="A1733" s="8"/>
      <c r="B1733" s="8"/>
      <c r="C1733" s="8"/>
      <c r="D1733" s="28"/>
      <c r="E1733" s="8"/>
      <c r="F1733" s="8"/>
      <c r="G1733" s="8"/>
      <c r="H1733" s="28"/>
      <c r="I1733" s="28"/>
    </row>
    <row r="1734" spans="1:9" x14ac:dyDescent="0.35">
      <c r="A1734" s="8"/>
      <c r="B1734" s="8"/>
      <c r="C1734" s="8"/>
      <c r="D1734" s="28"/>
      <c r="E1734" s="8"/>
      <c r="F1734" s="8"/>
      <c r="G1734" s="8"/>
      <c r="H1734" s="28"/>
      <c r="I1734" s="28"/>
    </row>
    <row r="1735" spans="1:9" x14ac:dyDescent="0.35">
      <c r="A1735" s="8"/>
      <c r="B1735" s="8"/>
      <c r="C1735" s="8"/>
      <c r="D1735" s="28"/>
      <c r="E1735" s="8"/>
      <c r="F1735" s="8"/>
      <c r="G1735" s="8"/>
      <c r="H1735" s="28"/>
      <c r="I1735" s="28"/>
    </row>
    <row r="1736" spans="1:9" x14ac:dyDescent="0.35">
      <c r="A1736" s="8"/>
      <c r="B1736" s="8"/>
      <c r="C1736" s="8"/>
      <c r="D1736" s="28"/>
      <c r="E1736" s="8"/>
      <c r="F1736" s="8"/>
      <c r="G1736" s="8"/>
      <c r="H1736" s="28"/>
      <c r="I1736" s="28"/>
    </row>
    <row r="1737" spans="1:9" x14ac:dyDescent="0.35">
      <c r="A1737" s="8"/>
      <c r="B1737" s="8"/>
      <c r="C1737" s="8"/>
      <c r="D1737" s="28"/>
      <c r="E1737" s="8"/>
      <c r="F1737" s="8"/>
      <c r="G1737" s="8"/>
      <c r="H1737" s="28"/>
      <c r="I1737" s="28"/>
    </row>
    <row r="1738" spans="1:9" x14ac:dyDescent="0.35">
      <c r="A1738" s="8"/>
      <c r="B1738" s="8"/>
      <c r="C1738" s="8"/>
      <c r="D1738" s="28"/>
      <c r="E1738" s="8"/>
      <c r="F1738" s="8"/>
      <c r="G1738" s="8"/>
      <c r="H1738" s="28"/>
      <c r="I1738" s="28"/>
    </row>
    <row r="1739" spans="1:9" x14ac:dyDescent="0.35">
      <c r="A1739" s="8"/>
      <c r="B1739" s="8"/>
      <c r="C1739" s="8"/>
      <c r="D1739" s="28"/>
      <c r="E1739" s="8"/>
      <c r="F1739" s="8"/>
      <c r="G1739" s="8"/>
      <c r="H1739" s="28"/>
      <c r="I1739" s="28"/>
    </row>
    <row r="1740" spans="1:9" x14ac:dyDescent="0.35">
      <c r="A1740" s="8"/>
      <c r="B1740" s="8"/>
      <c r="C1740" s="8"/>
      <c r="D1740" s="28"/>
      <c r="E1740" s="8"/>
      <c r="F1740" s="8"/>
      <c r="G1740" s="8"/>
      <c r="H1740" s="28"/>
      <c r="I1740" s="28"/>
    </row>
    <row r="1741" spans="1:9" x14ac:dyDescent="0.35">
      <c r="A1741" s="8"/>
      <c r="B1741" s="8"/>
      <c r="C1741" s="8"/>
      <c r="D1741" s="28"/>
      <c r="E1741" s="8"/>
      <c r="F1741" s="8"/>
      <c r="G1741" s="8"/>
      <c r="H1741" s="28"/>
      <c r="I1741" s="28"/>
    </row>
    <row r="1742" spans="1:9" x14ac:dyDescent="0.35">
      <c r="A1742" s="8"/>
      <c r="B1742" s="8"/>
      <c r="C1742" s="8"/>
      <c r="D1742" s="28"/>
      <c r="E1742" s="8"/>
      <c r="F1742" s="8"/>
      <c r="G1742" s="8"/>
      <c r="H1742" s="28"/>
      <c r="I1742" s="28"/>
    </row>
    <row r="1743" spans="1:9" x14ac:dyDescent="0.35">
      <c r="A1743" s="8"/>
      <c r="B1743" s="8"/>
      <c r="C1743" s="8"/>
      <c r="D1743" s="28"/>
      <c r="E1743" s="8"/>
      <c r="F1743" s="8"/>
      <c r="G1743" s="8"/>
      <c r="H1743" s="28"/>
      <c r="I1743" s="28"/>
    </row>
    <row r="1744" spans="1:9" x14ac:dyDescent="0.35">
      <c r="A1744" s="8"/>
      <c r="B1744" s="8"/>
      <c r="C1744" s="8"/>
      <c r="D1744" s="28"/>
      <c r="E1744" s="8"/>
      <c r="F1744" s="8"/>
      <c r="G1744" s="8"/>
      <c r="H1744" s="28"/>
      <c r="I1744" s="28"/>
    </row>
    <row r="1745" spans="1:9" x14ac:dyDescent="0.35">
      <c r="A1745" s="8"/>
      <c r="B1745" s="8"/>
      <c r="C1745" s="8"/>
      <c r="D1745" s="28"/>
      <c r="E1745" s="8"/>
      <c r="F1745" s="8"/>
      <c r="G1745" s="8"/>
      <c r="H1745" s="28"/>
      <c r="I1745" s="28"/>
    </row>
    <row r="1746" spans="1:9" x14ac:dyDescent="0.35">
      <c r="A1746" s="8"/>
      <c r="B1746" s="8"/>
      <c r="C1746" s="8"/>
      <c r="D1746" s="28"/>
      <c r="E1746" s="8"/>
      <c r="F1746" s="8"/>
      <c r="G1746" s="8"/>
      <c r="H1746" s="28"/>
      <c r="I1746" s="28"/>
    </row>
    <row r="1747" spans="1:9" x14ac:dyDescent="0.35">
      <c r="A1747" s="8"/>
      <c r="B1747" s="8"/>
      <c r="C1747" s="8"/>
      <c r="D1747" s="28"/>
      <c r="E1747" s="8"/>
      <c r="F1747" s="8"/>
      <c r="G1747" s="8"/>
      <c r="H1747" s="28"/>
      <c r="I1747" s="28"/>
    </row>
    <row r="1748" spans="1:9" x14ac:dyDescent="0.35">
      <c r="A1748" s="8"/>
      <c r="B1748" s="8"/>
      <c r="C1748" s="8"/>
      <c r="D1748" s="28"/>
      <c r="E1748" s="8"/>
      <c r="F1748" s="8"/>
      <c r="G1748" s="8"/>
      <c r="H1748" s="28"/>
      <c r="I1748" s="28"/>
    </row>
    <row r="1749" spans="1:9" x14ac:dyDescent="0.35">
      <c r="A1749" s="8"/>
      <c r="B1749" s="8"/>
      <c r="C1749" s="8"/>
      <c r="D1749" s="28"/>
      <c r="E1749" s="8"/>
      <c r="F1749" s="8"/>
      <c r="G1749" s="8"/>
      <c r="H1749" s="28"/>
      <c r="I1749" s="28"/>
    </row>
    <row r="1750" spans="1:9" x14ac:dyDescent="0.35">
      <c r="A1750" s="8"/>
      <c r="B1750" s="8"/>
      <c r="C1750" s="8"/>
      <c r="D1750" s="28"/>
      <c r="E1750" s="8"/>
      <c r="F1750" s="8"/>
      <c r="G1750" s="8"/>
      <c r="H1750" s="28"/>
      <c r="I1750" s="28"/>
    </row>
    <row r="1751" spans="1:9" x14ac:dyDescent="0.35">
      <c r="A1751" s="8"/>
      <c r="B1751" s="8"/>
      <c r="C1751" s="8"/>
      <c r="D1751" s="28"/>
      <c r="E1751" s="8"/>
      <c r="F1751" s="8"/>
      <c r="G1751" s="8"/>
      <c r="H1751" s="28"/>
      <c r="I1751" s="28"/>
    </row>
    <row r="1752" spans="1:9" x14ac:dyDescent="0.35">
      <c r="A1752" s="8"/>
      <c r="B1752" s="8"/>
      <c r="C1752" s="8"/>
      <c r="D1752" s="28"/>
      <c r="E1752" s="8"/>
      <c r="F1752" s="8"/>
      <c r="G1752" s="8"/>
      <c r="H1752" s="28"/>
      <c r="I1752" s="28"/>
    </row>
    <row r="1753" spans="1:9" x14ac:dyDescent="0.35">
      <c r="A1753" s="8"/>
      <c r="B1753" s="8"/>
      <c r="C1753" s="8"/>
      <c r="D1753" s="28"/>
      <c r="E1753" s="8"/>
      <c r="F1753" s="8"/>
      <c r="G1753" s="8"/>
      <c r="H1753" s="28"/>
      <c r="I1753" s="28"/>
    </row>
    <row r="1754" spans="1:9" x14ac:dyDescent="0.35">
      <c r="A1754" s="8"/>
      <c r="B1754" s="8"/>
      <c r="C1754" s="8"/>
      <c r="D1754" s="28"/>
      <c r="E1754" s="8"/>
      <c r="F1754" s="8"/>
      <c r="G1754" s="8"/>
      <c r="H1754" s="28"/>
      <c r="I1754" s="28"/>
    </row>
    <row r="1755" spans="1:9" x14ac:dyDescent="0.35">
      <c r="A1755" s="8"/>
      <c r="B1755" s="8"/>
      <c r="C1755" s="8"/>
      <c r="D1755" s="28"/>
      <c r="E1755" s="8"/>
      <c r="F1755" s="8"/>
      <c r="G1755" s="8"/>
      <c r="H1755" s="28"/>
      <c r="I1755" s="28"/>
    </row>
    <row r="1756" spans="1:9" x14ac:dyDescent="0.35">
      <c r="A1756" s="8"/>
      <c r="B1756" s="8"/>
      <c r="C1756" s="8"/>
      <c r="D1756" s="28"/>
      <c r="E1756" s="8"/>
      <c r="F1756" s="8"/>
      <c r="G1756" s="8"/>
      <c r="H1756" s="28"/>
      <c r="I1756" s="28"/>
    </row>
    <row r="1757" spans="1:9" x14ac:dyDescent="0.35">
      <c r="A1757" s="8"/>
      <c r="B1757" s="8"/>
      <c r="C1757" s="8"/>
      <c r="D1757" s="28"/>
      <c r="E1757" s="8"/>
      <c r="F1757" s="8"/>
      <c r="G1757" s="8"/>
      <c r="H1757" s="28"/>
      <c r="I1757" s="28"/>
    </row>
    <row r="1758" spans="1:9" x14ac:dyDescent="0.35">
      <c r="A1758" s="8"/>
      <c r="B1758" s="8"/>
      <c r="C1758" s="8"/>
      <c r="D1758" s="28"/>
      <c r="E1758" s="8"/>
      <c r="F1758" s="8"/>
      <c r="G1758" s="8"/>
      <c r="H1758" s="28"/>
      <c r="I1758" s="28"/>
    </row>
    <row r="1759" spans="1:9" x14ac:dyDescent="0.35">
      <c r="A1759" s="8"/>
      <c r="B1759" s="8"/>
      <c r="C1759" s="8"/>
      <c r="D1759" s="28"/>
      <c r="E1759" s="8"/>
      <c r="F1759" s="8"/>
      <c r="G1759" s="8"/>
      <c r="H1759" s="28"/>
      <c r="I1759" s="28"/>
    </row>
    <row r="1760" spans="1:9" x14ac:dyDescent="0.35">
      <c r="A1760" s="8"/>
      <c r="B1760" s="8"/>
      <c r="C1760" s="8"/>
      <c r="D1760" s="28"/>
      <c r="E1760" s="8"/>
      <c r="F1760" s="8"/>
      <c r="G1760" s="8"/>
      <c r="H1760" s="28"/>
      <c r="I1760" s="28"/>
    </row>
    <row r="1761" spans="1:9" x14ac:dyDescent="0.35">
      <c r="A1761" s="8"/>
      <c r="B1761" s="8"/>
      <c r="C1761" s="8"/>
      <c r="D1761" s="28"/>
      <c r="E1761" s="8"/>
      <c r="F1761" s="8"/>
      <c r="G1761" s="8"/>
      <c r="H1761" s="28"/>
      <c r="I1761" s="28"/>
    </row>
    <row r="1762" spans="1:9" x14ac:dyDescent="0.35">
      <c r="A1762" s="8"/>
      <c r="B1762" s="8"/>
      <c r="C1762" s="8"/>
      <c r="D1762" s="28"/>
      <c r="E1762" s="8"/>
      <c r="F1762" s="8"/>
      <c r="G1762" s="8"/>
      <c r="H1762" s="28"/>
      <c r="I1762" s="28"/>
    </row>
    <row r="1763" spans="1:9" x14ac:dyDescent="0.35">
      <c r="A1763" s="8"/>
      <c r="B1763" s="8"/>
      <c r="C1763" s="8"/>
      <c r="D1763" s="28"/>
      <c r="E1763" s="8"/>
      <c r="F1763" s="8"/>
      <c r="G1763" s="8"/>
      <c r="H1763" s="28"/>
      <c r="I1763" s="28"/>
    </row>
    <row r="1764" spans="1:9" x14ac:dyDescent="0.35">
      <c r="A1764" s="8"/>
      <c r="B1764" s="8"/>
      <c r="C1764" s="8"/>
      <c r="D1764" s="28"/>
      <c r="E1764" s="8"/>
      <c r="F1764" s="8"/>
      <c r="G1764" s="8"/>
      <c r="H1764" s="28"/>
      <c r="I1764" s="28"/>
    </row>
    <row r="1765" spans="1:9" x14ac:dyDescent="0.35">
      <c r="A1765" s="8"/>
      <c r="B1765" s="8"/>
      <c r="C1765" s="8"/>
      <c r="D1765" s="28"/>
      <c r="E1765" s="8"/>
      <c r="F1765" s="8"/>
      <c r="G1765" s="8"/>
      <c r="H1765" s="28"/>
      <c r="I1765" s="28"/>
    </row>
    <row r="1766" spans="1:9" x14ac:dyDescent="0.35">
      <c r="A1766" s="8"/>
      <c r="B1766" s="8"/>
      <c r="C1766" s="8"/>
      <c r="D1766" s="28"/>
      <c r="E1766" s="8"/>
      <c r="F1766" s="8"/>
      <c r="G1766" s="8"/>
      <c r="H1766" s="28"/>
      <c r="I1766" s="28"/>
    </row>
    <row r="1767" spans="1:9" x14ac:dyDescent="0.35">
      <c r="A1767" s="8"/>
      <c r="B1767" s="8"/>
      <c r="C1767" s="8"/>
      <c r="D1767" s="28"/>
      <c r="E1767" s="8"/>
      <c r="F1767" s="8"/>
      <c r="G1767" s="8"/>
      <c r="H1767" s="28"/>
      <c r="I1767" s="28"/>
    </row>
    <row r="1768" spans="1:9" x14ac:dyDescent="0.35">
      <c r="A1768" s="8"/>
      <c r="B1768" s="8"/>
      <c r="C1768" s="8"/>
      <c r="D1768" s="28"/>
      <c r="E1768" s="8"/>
      <c r="F1768" s="8"/>
      <c r="G1768" s="8"/>
      <c r="H1768" s="28"/>
      <c r="I1768" s="28"/>
    </row>
    <row r="1769" spans="1:9" x14ac:dyDescent="0.35">
      <c r="A1769" s="8"/>
      <c r="B1769" s="8"/>
      <c r="C1769" s="8"/>
      <c r="D1769" s="28"/>
      <c r="E1769" s="8"/>
      <c r="F1769" s="8"/>
      <c r="G1769" s="8"/>
      <c r="H1769" s="28"/>
      <c r="I1769" s="28"/>
    </row>
    <row r="1770" spans="1:9" x14ac:dyDescent="0.35">
      <c r="A1770" s="8"/>
      <c r="B1770" s="8"/>
      <c r="C1770" s="8"/>
      <c r="D1770" s="28"/>
      <c r="E1770" s="8"/>
      <c r="F1770" s="8"/>
      <c r="G1770" s="8"/>
      <c r="H1770" s="28"/>
      <c r="I1770" s="28"/>
    </row>
    <row r="1771" spans="1:9" x14ac:dyDescent="0.35">
      <c r="A1771" s="8"/>
      <c r="B1771" s="8"/>
      <c r="C1771" s="8"/>
      <c r="D1771" s="28"/>
      <c r="E1771" s="8"/>
      <c r="F1771" s="8"/>
      <c r="G1771" s="8"/>
      <c r="H1771" s="28"/>
      <c r="I1771" s="28"/>
    </row>
    <row r="1772" spans="1:9" x14ac:dyDescent="0.35">
      <c r="A1772" s="8"/>
      <c r="B1772" s="8"/>
      <c r="C1772" s="8"/>
      <c r="D1772" s="28"/>
      <c r="E1772" s="8"/>
      <c r="F1772" s="8"/>
      <c r="G1772" s="8"/>
      <c r="H1772" s="28"/>
      <c r="I1772" s="28"/>
    </row>
    <row r="1773" spans="1:9" x14ac:dyDescent="0.35">
      <c r="A1773" s="8"/>
      <c r="B1773" s="8"/>
      <c r="C1773" s="8"/>
      <c r="D1773" s="28"/>
      <c r="E1773" s="8"/>
      <c r="F1773" s="8"/>
      <c r="G1773" s="8"/>
      <c r="H1773" s="28"/>
      <c r="I1773" s="28"/>
    </row>
    <row r="1774" spans="1:9" x14ac:dyDescent="0.35">
      <c r="A1774" s="8"/>
      <c r="B1774" s="8"/>
      <c r="C1774" s="8"/>
      <c r="D1774" s="28"/>
      <c r="E1774" s="8"/>
      <c r="F1774" s="8"/>
      <c r="G1774" s="8"/>
      <c r="H1774" s="28"/>
      <c r="I1774" s="28"/>
    </row>
    <row r="1775" spans="1:9" x14ac:dyDescent="0.35">
      <c r="A1775" s="8"/>
      <c r="B1775" s="8"/>
      <c r="C1775" s="8"/>
      <c r="D1775" s="28"/>
      <c r="E1775" s="8"/>
      <c r="F1775" s="8"/>
      <c r="G1775" s="8"/>
      <c r="H1775" s="28"/>
      <c r="I1775" s="28"/>
    </row>
    <row r="1776" spans="1:9" x14ac:dyDescent="0.35">
      <c r="A1776" s="8"/>
      <c r="B1776" s="8"/>
      <c r="C1776" s="8"/>
      <c r="D1776" s="28"/>
      <c r="E1776" s="8"/>
      <c r="F1776" s="8"/>
      <c r="G1776" s="8"/>
      <c r="H1776" s="28"/>
      <c r="I1776" s="28"/>
    </row>
    <row r="1777" spans="1:9" x14ac:dyDescent="0.35">
      <c r="A1777" s="8"/>
      <c r="B1777" s="8"/>
      <c r="C1777" s="8"/>
      <c r="D1777" s="28"/>
      <c r="E1777" s="8"/>
      <c r="F1777" s="8"/>
      <c r="G1777" s="8"/>
      <c r="H1777" s="28"/>
      <c r="I1777" s="28"/>
    </row>
    <row r="1778" spans="1:9" x14ac:dyDescent="0.35">
      <c r="A1778" s="8"/>
      <c r="B1778" s="8"/>
      <c r="C1778" s="8"/>
      <c r="D1778" s="28"/>
      <c r="E1778" s="8"/>
      <c r="F1778" s="8"/>
      <c r="G1778" s="8"/>
      <c r="H1778" s="28"/>
      <c r="I1778" s="28"/>
    </row>
    <row r="1779" spans="1:9" x14ac:dyDescent="0.35">
      <c r="A1779" s="8"/>
      <c r="B1779" s="8"/>
      <c r="C1779" s="8"/>
      <c r="D1779" s="28"/>
      <c r="E1779" s="8"/>
      <c r="F1779" s="8"/>
      <c r="G1779" s="8"/>
      <c r="H1779" s="28"/>
      <c r="I1779" s="28"/>
    </row>
    <row r="1780" spans="1:9" x14ac:dyDescent="0.35">
      <c r="A1780" s="8"/>
      <c r="B1780" s="8"/>
      <c r="C1780" s="8"/>
      <c r="D1780" s="28"/>
      <c r="E1780" s="8"/>
      <c r="F1780" s="8"/>
      <c r="G1780" s="8"/>
      <c r="H1780" s="28"/>
      <c r="I1780" s="28"/>
    </row>
    <row r="1781" spans="1:9" x14ac:dyDescent="0.35">
      <c r="A1781" s="8"/>
      <c r="B1781" s="8"/>
      <c r="C1781" s="8"/>
      <c r="D1781" s="28"/>
      <c r="E1781" s="8"/>
      <c r="F1781" s="8"/>
      <c r="G1781" s="8"/>
      <c r="H1781" s="28"/>
      <c r="I1781" s="28"/>
    </row>
    <row r="1782" spans="1:9" x14ac:dyDescent="0.35">
      <c r="A1782" s="8"/>
      <c r="B1782" s="8"/>
      <c r="C1782" s="8"/>
      <c r="D1782" s="28"/>
      <c r="E1782" s="8"/>
      <c r="F1782" s="8"/>
      <c r="G1782" s="8"/>
      <c r="H1782" s="28"/>
      <c r="I1782" s="28"/>
    </row>
    <row r="1783" spans="1:9" x14ac:dyDescent="0.35">
      <c r="A1783" s="8"/>
      <c r="B1783" s="8"/>
      <c r="C1783" s="8"/>
      <c r="D1783" s="28"/>
      <c r="E1783" s="8"/>
      <c r="F1783" s="8"/>
      <c r="G1783" s="8"/>
      <c r="H1783" s="28"/>
      <c r="I1783" s="28"/>
    </row>
    <row r="1784" spans="1:9" x14ac:dyDescent="0.35">
      <c r="A1784" s="8"/>
      <c r="B1784" s="8"/>
      <c r="C1784" s="8"/>
      <c r="D1784" s="28"/>
      <c r="E1784" s="8"/>
      <c r="F1784" s="8"/>
      <c r="G1784" s="8"/>
      <c r="H1784" s="28"/>
      <c r="I1784" s="28"/>
    </row>
    <row r="1785" spans="1:9" x14ac:dyDescent="0.35">
      <c r="A1785" s="8"/>
      <c r="B1785" s="8"/>
      <c r="C1785" s="8"/>
      <c r="D1785" s="28"/>
      <c r="E1785" s="8"/>
      <c r="F1785" s="8"/>
      <c r="G1785" s="8"/>
      <c r="H1785" s="28"/>
      <c r="I1785" s="28"/>
    </row>
    <row r="1786" spans="1:9" x14ac:dyDescent="0.35">
      <c r="A1786" s="8"/>
      <c r="B1786" s="8"/>
      <c r="C1786" s="8"/>
      <c r="D1786" s="28"/>
      <c r="E1786" s="8"/>
      <c r="F1786" s="8"/>
      <c r="G1786" s="8"/>
      <c r="H1786" s="28"/>
      <c r="I1786" s="28"/>
    </row>
    <row r="1787" spans="1:9" x14ac:dyDescent="0.35">
      <c r="A1787" s="8"/>
      <c r="B1787" s="8"/>
      <c r="C1787" s="8"/>
      <c r="D1787" s="28"/>
      <c r="E1787" s="8"/>
      <c r="F1787" s="8"/>
      <c r="G1787" s="8"/>
      <c r="H1787" s="28"/>
      <c r="I1787" s="28"/>
    </row>
    <row r="1788" spans="1:9" x14ac:dyDescent="0.35">
      <c r="A1788" s="8"/>
      <c r="B1788" s="8"/>
      <c r="C1788" s="8"/>
      <c r="D1788" s="28"/>
      <c r="E1788" s="8"/>
      <c r="F1788" s="8"/>
      <c r="G1788" s="8"/>
      <c r="H1788" s="28"/>
      <c r="I1788" s="28"/>
    </row>
    <row r="1789" spans="1:9" x14ac:dyDescent="0.35">
      <c r="A1789" s="8"/>
      <c r="B1789" s="8"/>
      <c r="C1789" s="8"/>
      <c r="D1789" s="28"/>
      <c r="E1789" s="8"/>
      <c r="F1789" s="8"/>
      <c r="G1789" s="8"/>
      <c r="H1789" s="28"/>
      <c r="I1789" s="28"/>
    </row>
    <row r="1790" spans="1:9" x14ac:dyDescent="0.35">
      <c r="A1790" s="8"/>
      <c r="B1790" s="8"/>
      <c r="C1790" s="8"/>
      <c r="D1790" s="28"/>
      <c r="E1790" s="8"/>
      <c r="F1790" s="8"/>
      <c r="G1790" s="8"/>
      <c r="H1790" s="28"/>
      <c r="I1790" s="28"/>
    </row>
    <row r="1791" spans="1:9" x14ac:dyDescent="0.35">
      <c r="A1791" s="8"/>
      <c r="B1791" s="8"/>
      <c r="C1791" s="8"/>
      <c r="D1791" s="28"/>
      <c r="E1791" s="8"/>
      <c r="F1791" s="8"/>
      <c r="G1791" s="8"/>
      <c r="H1791" s="28"/>
      <c r="I1791" s="28"/>
    </row>
    <row r="1792" spans="1:9" x14ac:dyDescent="0.35">
      <c r="A1792" s="8"/>
      <c r="B1792" s="8"/>
      <c r="C1792" s="8"/>
      <c r="D1792" s="28"/>
      <c r="E1792" s="8"/>
      <c r="F1792" s="8"/>
      <c r="G1792" s="8"/>
      <c r="H1792" s="28"/>
      <c r="I1792" s="28"/>
    </row>
    <row r="1793" spans="1:9" x14ac:dyDescent="0.35">
      <c r="A1793" s="8"/>
      <c r="B1793" s="8"/>
      <c r="C1793" s="8"/>
      <c r="D1793" s="28"/>
      <c r="E1793" s="8"/>
      <c r="F1793" s="8"/>
      <c r="G1793" s="8"/>
      <c r="H1793" s="28"/>
      <c r="I1793" s="28"/>
    </row>
    <row r="1794" spans="1:9" x14ac:dyDescent="0.35">
      <c r="A1794" s="8"/>
      <c r="B1794" s="8"/>
      <c r="C1794" s="8"/>
      <c r="D1794" s="28"/>
      <c r="E1794" s="8"/>
      <c r="F1794" s="8"/>
      <c r="G1794" s="8"/>
      <c r="H1794" s="28"/>
      <c r="I1794" s="28"/>
    </row>
    <row r="1795" spans="1:9" x14ac:dyDescent="0.35">
      <c r="A1795" s="8"/>
      <c r="B1795" s="8"/>
      <c r="C1795" s="8"/>
      <c r="D1795" s="28"/>
      <c r="E1795" s="8"/>
      <c r="F1795" s="8"/>
      <c r="G1795" s="8"/>
      <c r="H1795" s="28"/>
      <c r="I1795" s="28"/>
    </row>
    <row r="1796" spans="1:9" x14ac:dyDescent="0.35">
      <c r="A1796" s="8"/>
      <c r="B1796" s="8"/>
      <c r="C1796" s="8"/>
      <c r="D1796" s="28"/>
      <c r="E1796" s="8"/>
      <c r="F1796" s="8"/>
      <c r="G1796" s="8"/>
      <c r="H1796" s="28"/>
      <c r="I1796" s="28"/>
    </row>
    <row r="1797" spans="1:9" x14ac:dyDescent="0.35">
      <c r="A1797" s="8"/>
      <c r="B1797" s="8"/>
      <c r="C1797" s="8"/>
      <c r="D1797" s="28"/>
      <c r="E1797" s="8"/>
      <c r="F1797" s="8"/>
      <c r="G1797" s="8"/>
      <c r="H1797" s="28"/>
      <c r="I1797" s="28"/>
    </row>
    <row r="1798" spans="1:9" x14ac:dyDescent="0.35">
      <c r="A1798" s="8"/>
      <c r="B1798" s="8"/>
      <c r="C1798" s="8"/>
      <c r="D1798" s="28"/>
      <c r="E1798" s="8"/>
      <c r="F1798" s="8"/>
      <c r="G1798" s="8"/>
      <c r="H1798" s="28"/>
      <c r="I1798" s="28"/>
    </row>
    <row r="1799" spans="1:9" x14ac:dyDescent="0.35">
      <c r="A1799" s="8"/>
      <c r="B1799" s="8"/>
      <c r="C1799" s="8"/>
      <c r="D1799" s="28"/>
      <c r="E1799" s="8"/>
      <c r="F1799" s="8"/>
      <c r="G1799" s="8"/>
      <c r="H1799" s="28"/>
      <c r="I1799" s="28"/>
    </row>
    <row r="1800" spans="1:9" x14ac:dyDescent="0.35">
      <c r="A1800" s="8"/>
      <c r="B1800" s="8"/>
      <c r="C1800" s="8"/>
      <c r="D1800" s="28"/>
      <c r="E1800" s="8"/>
      <c r="F1800" s="8"/>
      <c r="G1800" s="8"/>
      <c r="H1800" s="28"/>
      <c r="I1800" s="28"/>
    </row>
    <row r="1801" spans="1:9" x14ac:dyDescent="0.35">
      <c r="A1801" s="8"/>
      <c r="B1801" s="8"/>
      <c r="C1801" s="8"/>
      <c r="D1801" s="28"/>
      <c r="E1801" s="8"/>
      <c r="F1801" s="8"/>
      <c r="G1801" s="8"/>
      <c r="H1801" s="28"/>
      <c r="I1801" s="28"/>
    </row>
    <row r="1802" spans="1:9" x14ac:dyDescent="0.35">
      <c r="A1802" s="8"/>
      <c r="B1802" s="8"/>
      <c r="C1802" s="8"/>
      <c r="D1802" s="28"/>
      <c r="E1802" s="8"/>
      <c r="F1802" s="8"/>
      <c r="G1802" s="8"/>
      <c r="H1802" s="28"/>
      <c r="I1802" s="28"/>
    </row>
    <row r="1803" spans="1:9" x14ac:dyDescent="0.35">
      <c r="A1803" s="8"/>
      <c r="B1803" s="8"/>
      <c r="C1803" s="8"/>
      <c r="D1803" s="28"/>
      <c r="E1803" s="8"/>
      <c r="F1803" s="8"/>
      <c r="G1803" s="8"/>
      <c r="H1803" s="28"/>
      <c r="I1803" s="28"/>
    </row>
    <row r="1804" spans="1:9" x14ac:dyDescent="0.35">
      <c r="A1804" s="8"/>
      <c r="B1804" s="8"/>
      <c r="C1804" s="8"/>
      <c r="D1804" s="28"/>
      <c r="E1804" s="8"/>
      <c r="F1804" s="8"/>
      <c r="G1804" s="8"/>
      <c r="H1804" s="28"/>
      <c r="I1804" s="28"/>
    </row>
    <row r="1805" spans="1:9" x14ac:dyDescent="0.35">
      <c r="A1805" s="8"/>
      <c r="B1805" s="8"/>
      <c r="C1805" s="8"/>
      <c r="D1805" s="28"/>
      <c r="E1805" s="8"/>
      <c r="F1805" s="8"/>
      <c r="G1805" s="8"/>
      <c r="H1805" s="28"/>
      <c r="I1805" s="28"/>
    </row>
    <row r="1806" spans="1:9" x14ac:dyDescent="0.35">
      <c r="A1806" s="8"/>
      <c r="B1806" s="8"/>
      <c r="C1806" s="8"/>
      <c r="D1806" s="28"/>
      <c r="E1806" s="8"/>
      <c r="F1806" s="8"/>
      <c r="G1806" s="8"/>
      <c r="H1806" s="28"/>
      <c r="I1806" s="28"/>
    </row>
    <row r="1807" spans="1:9" x14ac:dyDescent="0.35">
      <c r="A1807" s="8"/>
      <c r="B1807" s="8"/>
      <c r="C1807" s="8"/>
      <c r="D1807" s="28"/>
      <c r="E1807" s="8"/>
      <c r="F1807" s="8"/>
      <c r="G1807" s="8"/>
      <c r="H1807" s="28"/>
      <c r="I1807" s="28"/>
    </row>
    <row r="1808" spans="1:9" x14ac:dyDescent="0.35">
      <c r="A1808" s="8"/>
      <c r="B1808" s="8"/>
      <c r="C1808" s="8"/>
      <c r="D1808" s="28"/>
      <c r="E1808" s="8"/>
      <c r="F1808" s="8"/>
      <c r="G1808" s="8"/>
      <c r="H1808" s="28"/>
      <c r="I1808" s="28"/>
    </row>
    <row r="1809" spans="1:9" x14ac:dyDescent="0.35">
      <c r="A1809" s="8"/>
      <c r="B1809" s="8"/>
      <c r="C1809" s="8"/>
      <c r="D1809" s="28"/>
      <c r="E1809" s="8"/>
      <c r="F1809" s="8"/>
      <c r="G1809" s="8"/>
      <c r="H1809" s="28"/>
      <c r="I1809" s="28"/>
    </row>
    <row r="1810" spans="1:9" x14ac:dyDescent="0.35">
      <c r="A1810" s="8"/>
      <c r="B1810" s="8"/>
      <c r="C1810" s="8"/>
      <c r="D1810" s="28"/>
      <c r="E1810" s="8"/>
      <c r="F1810" s="8"/>
      <c r="G1810" s="8"/>
      <c r="H1810" s="28"/>
      <c r="I1810" s="28"/>
    </row>
    <row r="1811" spans="1:9" x14ac:dyDescent="0.35">
      <c r="A1811" s="8"/>
      <c r="B1811" s="8"/>
      <c r="C1811" s="8"/>
      <c r="D1811" s="28"/>
      <c r="E1811" s="8"/>
      <c r="F1811" s="8"/>
      <c r="G1811" s="8"/>
      <c r="H1811" s="28"/>
      <c r="I1811" s="28"/>
    </row>
    <row r="1812" spans="1:9" x14ac:dyDescent="0.35">
      <c r="A1812" s="8"/>
      <c r="B1812" s="8"/>
      <c r="C1812" s="8"/>
      <c r="D1812" s="28"/>
      <c r="E1812" s="8"/>
      <c r="F1812" s="8"/>
      <c r="G1812" s="8"/>
      <c r="H1812" s="28"/>
      <c r="I1812" s="28"/>
    </row>
    <row r="1813" spans="1:9" x14ac:dyDescent="0.35">
      <c r="A1813" s="8"/>
      <c r="B1813" s="8"/>
      <c r="C1813" s="8"/>
      <c r="D1813" s="28"/>
      <c r="E1813" s="8"/>
      <c r="F1813" s="8"/>
      <c r="G1813" s="8"/>
      <c r="H1813" s="28"/>
      <c r="I1813" s="28"/>
    </row>
    <row r="1814" spans="1:9" x14ac:dyDescent="0.35">
      <c r="A1814" s="8"/>
      <c r="B1814" s="8"/>
      <c r="C1814" s="8"/>
      <c r="D1814" s="28"/>
      <c r="E1814" s="8"/>
      <c r="F1814" s="8"/>
      <c r="G1814" s="8"/>
      <c r="H1814" s="28"/>
      <c r="I1814" s="28"/>
    </row>
    <row r="1815" spans="1:9" x14ac:dyDescent="0.35">
      <c r="A1815" s="8"/>
      <c r="B1815" s="8"/>
      <c r="C1815" s="8"/>
      <c r="D1815" s="28"/>
      <c r="E1815" s="8"/>
      <c r="F1815" s="8"/>
      <c r="G1815" s="8"/>
      <c r="H1815" s="28"/>
      <c r="I1815" s="28"/>
    </row>
    <row r="1816" spans="1:9" x14ac:dyDescent="0.35">
      <c r="A1816" s="8"/>
      <c r="B1816" s="8"/>
      <c r="C1816" s="8"/>
      <c r="D1816" s="28"/>
      <c r="E1816" s="8"/>
      <c r="F1816" s="8"/>
      <c r="G1816" s="8"/>
      <c r="H1816" s="28"/>
      <c r="I1816" s="28"/>
    </row>
    <row r="1817" spans="1:9" x14ac:dyDescent="0.35">
      <c r="A1817" s="8"/>
      <c r="B1817" s="8"/>
      <c r="C1817" s="8"/>
      <c r="D1817" s="28"/>
      <c r="E1817" s="8"/>
      <c r="F1817" s="8"/>
      <c r="G1817" s="8"/>
      <c r="H1817" s="28"/>
      <c r="I1817" s="28"/>
    </row>
    <row r="1818" spans="1:9" x14ac:dyDescent="0.35">
      <c r="A1818" s="8"/>
      <c r="B1818" s="8"/>
      <c r="C1818" s="8"/>
      <c r="D1818" s="28"/>
      <c r="E1818" s="8"/>
      <c r="F1818" s="8"/>
      <c r="G1818" s="8"/>
      <c r="H1818" s="28"/>
      <c r="I1818" s="28"/>
    </row>
    <row r="1819" spans="1:9" x14ac:dyDescent="0.35">
      <c r="A1819" s="8"/>
      <c r="B1819" s="8"/>
      <c r="C1819" s="8"/>
      <c r="D1819" s="28"/>
      <c r="E1819" s="8"/>
      <c r="F1819" s="8"/>
      <c r="G1819" s="8"/>
      <c r="H1819" s="28"/>
      <c r="I1819" s="28"/>
    </row>
    <row r="1820" spans="1:9" x14ac:dyDescent="0.35">
      <c r="A1820" s="8"/>
      <c r="B1820" s="8"/>
      <c r="C1820" s="8"/>
      <c r="D1820" s="28"/>
      <c r="E1820" s="8"/>
      <c r="F1820" s="8"/>
      <c r="G1820" s="8"/>
      <c r="H1820" s="28"/>
      <c r="I1820" s="28"/>
    </row>
    <row r="1821" spans="1:9" x14ac:dyDescent="0.35">
      <c r="A1821" s="8"/>
      <c r="B1821" s="8"/>
      <c r="C1821" s="8"/>
      <c r="D1821" s="28"/>
      <c r="E1821" s="8"/>
      <c r="F1821" s="8"/>
      <c r="G1821" s="8"/>
      <c r="H1821" s="28"/>
      <c r="I1821" s="28"/>
    </row>
    <row r="1822" spans="1:9" x14ac:dyDescent="0.35">
      <c r="A1822" s="8"/>
      <c r="B1822" s="8"/>
      <c r="C1822" s="8"/>
      <c r="D1822" s="28"/>
      <c r="E1822" s="8"/>
      <c r="F1822" s="8"/>
      <c r="G1822" s="8"/>
      <c r="H1822" s="28"/>
      <c r="I1822" s="28"/>
    </row>
    <row r="1823" spans="1:9" x14ac:dyDescent="0.35">
      <c r="A1823" s="8"/>
      <c r="B1823" s="8"/>
      <c r="C1823" s="8"/>
      <c r="D1823" s="28"/>
      <c r="E1823" s="8"/>
      <c r="F1823" s="8"/>
      <c r="G1823" s="8"/>
      <c r="H1823" s="28"/>
      <c r="I1823" s="28"/>
    </row>
    <row r="1824" spans="1:9" x14ac:dyDescent="0.35">
      <c r="A1824" s="8"/>
      <c r="B1824" s="8"/>
      <c r="C1824" s="8"/>
      <c r="D1824" s="28"/>
      <c r="E1824" s="8"/>
      <c r="F1824" s="8"/>
      <c r="G1824" s="8"/>
      <c r="H1824" s="28"/>
      <c r="I1824" s="28"/>
    </row>
    <row r="1825" spans="1:9" x14ac:dyDescent="0.35">
      <c r="A1825" s="8"/>
      <c r="B1825" s="8"/>
      <c r="C1825" s="8"/>
      <c r="D1825" s="28"/>
      <c r="E1825" s="8"/>
      <c r="F1825" s="8"/>
      <c r="G1825" s="8"/>
      <c r="H1825" s="28"/>
      <c r="I1825" s="28"/>
    </row>
    <row r="1826" spans="1:9" x14ac:dyDescent="0.35">
      <c r="A1826" s="8"/>
      <c r="B1826" s="8"/>
      <c r="C1826" s="8"/>
      <c r="D1826" s="28"/>
      <c r="E1826" s="8"/>
      <c r="F1826" s="8"/>
      <c r="G1826" s="8"/>
      <c r="H1826" s="28"/>
      <c r="I1826" s="28"/>
    </row>
    <row r="1827" spans="1:9" x14ac:dyDescent="0.35">
      <c r="A1827" s="8"/>
      <c r="B1827" s="8"/>
      <c r="C1827" s="8"/>
      <c r="D1827" s="28"/>
      <c r="E1827" s="8"/>
      <c r="F1827" s="8"/>
      <c r="G1827" s="8"/>
      <c r="H1827" s="28"/>
      <c r="I1827" s="28"/>
    </row>
    <row r="1828" spans="1:9" x14ac:dyDescent="0.35">
      <c r="A1828" s="8"/>
      <c r="B1828" s="8"/>
      <c r="C1828" s="8"/>
      <c r="D1828" s="28"/>
      <c r="E1828" s="8"/>
      <c r="F1828" s="8"/>
      <c r="G1828" s="8"/>
      <c r="H1828" s="28"/>
      <c r="I1828" s="28"/>
    </row>
    <row r="1829" spans="1:9" x14ac:dyDescent="0.35">
      <c r="A1829" s="8"/>
      <c r="B1829" s="8"/>
      <c r="C1829" s="8"/>
      <c r="D1829" s="28"/>
      <c r="E1829" s="8"/>
      <c r="F1829" s="8"/>
      <c r="G1829" s="8"/>
      <c r="H1829" s="28"/>
      <c r="I1829" s="28"/>
    </row>
    <row r="1830" spans="1:9" x14ac:dyDescent="0.35">
      <c r="A1830" s="8"/>
      <c r="B1830" s="8"/>
      <c r="C1830" s="8"/>
      <c r="D1830" s="28"/>
      <c r="E1830" s="8"/>
      <c r="F1830" s="8"/>
      <c r="G1830" s="8"/>
      <c r="H1830" s="28"/>
      <c r="I1830" s="28"/>
    </row>
    <row r="1831" spans="1:9" x14ac:dyDescent="0.35">
      <c r="A1831" s="8"/>
      <c r="B1831" s="8"/>
      <c r="C1831" s="8"/>
      <c r="D1831" s="28"/>
      <c r="E1831" s="8"/>
      <c r="F1831" s="8"/>
      <c r="G1831" s="8"/>
      <c r="H1831" s="28"/>
      <c r="I1831" s="28"/>
    </row>
    <row r="1832" spans="1:9" x14ac:dyDescent="0.35">
      <c r="A1832" s="8"/>
      <c r="B1832" s="8"/>
      <c r="C1832" s="8"/>
      <c r="D1832" s="28"/>
      <c r="E1832" s="8"/>
      <c r="F1832" s="8"/>
      <c r="G1832" s="8"/>
      <c r="H1832" s="28"/>
      <c r="I1832" s="28"/>
    </row>
    <row r="1833" spans="1:9" x14ac:dyDescent="0.35">
      <c r="A1833" s="8"/>
      <c r="B1833" s="8"/>
      <c r="C1833" s="8"/>
      <c r="D1833" s="28"/>
      <c r="E1833" s="8"/>
      <c r="F1833" s="8"/>
      <c r="G1833" s="8"/>
      <c r="H1833" s="28"/>
      <c r="I1833" s="28"/>
    </row>
    <row r="1834" spans="1:9" x14ac:dyDescent="0.35">
      <c r="A1834" s="8"/>
      <c r="B1834" s="8"/>
      <c r="C1834" s="8"/>
      <c r="D1834" s="28"/>
      <c r="E1834" s="8"/>
      <c r="F1834" s="8"/>
      <c r="G1834" s="8"/>
      <c r="H1834" s="28"/>
      <c r="I1834" s="28"/>
    </row>
    <row r="1835" spans="1:9" x14ac:dyDescent="0.35">
      <c r="A1835" s="8"/>
      <c r="B1835" s="8"/>
      <c r="C1835" s="8"/>
      <c r="D1835" s="28"/>
      <c r="E1835" s="8"/>
      <c r="F1835" s="8"/>
      <c r="G1835" s="8"/>
      <c r="H1835" s="28"/>
      <c r="I1835" s="28"/>
    </row>
    <row r="1836" spans="1:9" x14ac:dyDescent="0.35">
      <c r="A1836" s="8"/>
      <c r="B1836" s="8"/>
      <c r="C1836" s="8"/>
      <c r="D1836" s="28"/>
      <c r="E1836" s="8"/>
      <c r="F1836" s="8"/>
      <c r="G1836" s="8"/>
      <c r="H1836" s="28"/>
      <c r="I1836" s="28"/>
    </row>
    <row r="1837" spans="1:9" x14ac:dyDescent="0.35">
      <c r="A1837" s="8"/>
      <c r="B1837" s="8"/>
      <c r="C1837" s="8"/>
      <c r="D1837" s="28"/>
      <c r="E1837" s="8"/>
      <c r="F1837" s="8"/>
      <c r="G1837" s="8"/>
      <c r="H1837" s="28"/>
      <c r="I1837" s="28"/>
    </row>
    <row r="1838" spans="1:9" x14ac:dyDescent="0.35">
      <c r="A1838" s="8"/>
      <c r="B1838" s="8"/>
      <c r="C1838" s="8"/>
      <c r="D1838" s="28"/>
      <c r="E1838" s="8"/>
      <c r="F1838" s="8"/>
      <c r="G1838" s="8"/>
      <c r="H1838" s="28"/>
      <c r="I1838" s="28"/>
    </row>
    <row r="1839" spans="1:9" x14ac:dyDescent="0.35">
      <c r="A1839" s="8"/>
      <c r="B1839" s="8"/>
      <c r="C1839" s="8"/>
      <c r="D1839" s="28"/>
      <c r="E1839" s="8"/>
      <c r="F1839" s="8"/>
      <c r="G1839" s="8"/>
      <c r="H1839" s="28"/>
      <c r="I1839" s="28"/>
    </row>
    <row r="1840" spans="1:9" x14ac:dyDescent="0.35">
      <c r="A1840" s="8"/>
      <c r="B1840" s="8"/>
      <c r="C1840" s="8"/>
      <c r="D1840" s="28"/>
      <c r="E1840" s="8"/>
      <c r="F1840" s="8"/>
      <c r="G1840" s="8"/>
      <c r="H1840" s="28"/>
      <c r="I1840" s="28"/>
    </row>
    <row r="1841" spans="1:9" x14ac:dyDescent="0.35">
      <c r="A1841" s="8"/>
      <c r="B1841" s="8"/>
      <c r="C1841" s="8"/>
      <c r="D1841" s="28"/>
      <c r="E1841" s="8"/>
      <c r="F1841" s="8"/>
      <c r="G1841" s="8"/>
      <c r="H1841" s="28"/>
      <c r="I1841" s="28"/>
    </row>
    <row r="1842" spans="1:9" x14ac:dyDescent="0.35">
      <c r="A1842" s="8"/>
      <c r="B1842" s="8"/>
      <c r="C1842" s="8"/>
      <c r="D1842" s="28"/>
      <c r="E1842" s="8"/>
      <c r="F1842" s="8"/>
      <c r="G1842" s="8"/>
      <c r="H1842" s="28"/>
      <c r="I1842" s="28"/>
    </row>
    <row r="1843" spans="1:9" x14ac:dyDescent="0.35">
      <c r="A1843" s="8"/>
      <c r="B1843" s="8"/>
      <c r="C1843" s="8"/>
      <c r="D1843" s="28"/>
      <c r="E1843" s="8"/>
      <c r="F1843" s="8"/>
      <c r="G1843" s="8"/>
      <c r="H1843" s="28"/>
      <c r="I1843" s="28"/>
    </row>
    <row r="1844" spans="1:9" x14ac:dyDescent="0.35">
      <c r="A1844" s="8"/>
      <c r="B1844" s="8"/>
      <c r="C1844" s="8"/>
      <c r="D1844" s="28"/>
      <c r="E1844" s="8"/>
      <c r="F1844" s="8"/>
      <c r="G1844" s="8"/>
      <c r="H1844" s="28"/>
      <c r="I1844" s="28"/>
    </row>
    <row r="1845" spans="1:9" x14ac:dyDescent="0.35">
      <c r="A1845" s="8"/>
      <c r="B1845" s="8"/>
      <c r="C1845" s="8"/>
      <c r="D1845" s="28"/>
      <c r="E1845" s="8"/>
      <c r="F1845" s="8"/>
      <c r="G1845" s="8"/>
      <c r="H1845" s="28"/>
      <c r="I1845" s="28"/>
    </row>
    <row r="1846" spans="1:9" x14ac:dyDescent="0.35">
      <c r="A1846" s="8"/>
      <c r="B1846" s="8"/>
      <c r="C1846" s="8"/>
      <c r="D1846" s="28"/>
      <c r="E1846" s="8"/>
      <c r="F1846" s="8"/>
      <c r="G1846" s="8"/>
      <c r="H1846" s="28"/>
      <c r="I1846" s="28"/>
    </row>
    <row r="1847" spans="1:9" x14ac:dyDescent="0.35">
      <c r="A1847" s="8"/>
      <c r="B1847" s="8"/>
      <c r="C1847" s="8"/>
      <c r="D1847" s="28"/>
      <c r="E1847" s="8"/>
      <c r="F1847" s="8"/>
      <c r="G1847" s="8"/>
      <c r="H1847" s="28"/>
      <c r="I1847" s="28"/>
    </row>
    <row r="1848" spans="1:9" x14ac:dyDescent="0.35">
      <c r="A1848" s="8"/>
      <c r="B1848" s="8"/>
      <c r="C1848" s="8"/>
      <c r="D1848" s="28"/>
      <c r="E1848" s="8"/>
      <c r="F1848" s="8"/>
      <c r="G1848" s="8"/>
      <c r="H1848" s="28"/>
      <c r="I1848" s="28"/>
    </row>
    <row r="1849" spans="1:9" x14ac:dyDescent="0.35">
      <c r="A1849" s="8"/>
      <c r="B1849" s="8"/>
      <c r="C1849" s="8"/>
      <c r="D1849" s="28"/>
      <c r="E1849" s="8"/>
      <c r="F1849" s="8"/>
      <c r="G1849" s="8"/>
      <c r="H1849" s="28"/>
      <c r="I1849" s="28"/>
    </row>
    <row r="1850" spans="1:9" x14ac:dyDescent="0.35">
      <c r="A1850" s="8"/>
      <c r="B1850" s="8"/>
      <c r="C1850" s="8"/>
      <c r="D1850" s="28"/>
      <c r="E1850" s="8"/>
      <c r="F1850" s="8"/>
      <c r="G1850" s="8"/>
      <c r="H1850" s="28"/>
      <c r="I1850" s="28"/>
    </row>
    <row r="1851" spans="1:9" x14ac:dyDescent="0.35">
      <c r="A1851" s="8"/>
      <c r="B1851" s="8"/>
      <c r="C1851" s="8"/>
      <c r="D1851" s="28"/>
      <c r="E1851" s="8"/>
      <c r="F1851" s="8"/>
      <c r="G1851" s="8"/>
      <c r="H1851" s="28"/>
      <c r="I1851" s="28"/>
    </row>
    <row r="1852" spans="1:9" x14ac:dyDescent="0.35">
      <c r="A1852" s="8"/>
      <c r="B1852" s="8"/>
      <c r="C1852" s="8"/>
      <c r="D1852" s="28"/>
      <c r="E1852" s="8"/>
      <c r="F1852" s="8"/>
      <c r="G1852" s="8"/>
      <c r="H1852" s="28"/>
      <c r="I1852" s="28"/>
    </row>
    <row r="1853" spans="1:9" x14ac:dyDescent="0.35">
      <c r="A1853" s="8"/>
      <c r="B1853" s="8"/>
      <c r="C1853" s="8"/>
      <c r="D1853" s="28"/>
      <c r="E1853" s="8"/>
      <c r="F1853" s="8"/>
      <c r="G1853" s="8"/>
      <c r="H1853" s="28"/>
      <c r="I1853" s="28"/>
    </row>
    <row r="1854" spans="1:9" x14ac:dyDescent="0.35">
      <c r="A1854" s="8"/>
      <c r="B1854" s="8"/>
      <c r="C1854" s="8"/>
      <c r="D1854" s="28"/>
      <c r="E1854" s="8"/>
      <c r="F1854" s="8"/>
      <c r="G1854" s="8"/>
      <c r="H1854" s="28"/>
      <c r="I1854" s="28"/>
    </row>
    <row r="1855" spans="1:9" x14ac:dyDescent="0.35">
      <c r="A1855" s="8"/>
      <c r="B1855" s="8"/>
      <c r="C1855" s="8"/>
      <c r="D1855" s="28"/>
      <c r="E1855" s="8"/>
      <c r="F1855" s="8"/>
      <c r="G1855" s="8"/>
      <c r="H1855" s="28"/>
      <c r="I1855" s="28"/>
    </row>
    <row r="1856" spans="1:9" x14ac:dyDescent="0.35">
      <c r="A1856" s="8"/>
      <c r="B1856" s="8"/>
      <c r="C1856" s="8"/>
      <c r="D1856" s="28"/>
      <c r="E1856" s="8"/>
      <c r="F1856" s="8"/>
      <c r="G1856" s="8"/>
      <c r="H1856" s="28"/>
      <c r="I1856" s="28"/>
    </row>
    <row r="1857" spans="1:9" x14ac:dyDescent="0.35">
      <c r="A1857" s="8"/>
      <c r="B1857" s="8"/>
      <c r="C1857" s="8"/>
      <c r="D1857" s="28"/>
      <c r="E1857" s="8"/>
      <c r="F1857" s="8"/>
      <c r="G1857" s="8"/>
      <c r="H1857" s="28"/>
      <c r="I1857" s="28"/>
    </row>
    <row r="1858" spans="1:9" x14ac:dyDescent="0.35">
      <c r="A1858" s="8"/>
      <c r="B1858" s="8"/>
      <c r="C1858" s="8"/>
      <c r="D1858" s="28"/>
      <c r="E1858" s="8"/>
      <c r="F1858" s="8"/>
      <c r="G1858" s="8"/>
      <c r="H1858" s="28"/>
      <c r="I1858" s="28"/>
    </row>
    <row r="1859" spans="1:9" x14ac:dyDescent="0.35">
      <c r="A1859" s="8"/>
      <c r="B1859" s="8"/>
      <c r="C1859" s="8"/>
      <c r="D1859" s="28"/>
      <c r="E1859" s="8"/>
      <c r="F1859" s="8"/>
      <c r="G1859" s="8"/>
      <c r="H1859" s="28"/>
      <c r="I1859" s="28"/>
    </row>
    <row r="1860" spans="1:9" x14ac:dyDescent="0.35">
      <c r="A1860" s="8"/>
      <c r="B1860" s="8"/>
      <c r="C1860" s="8"/>
      <c r="D1860" s="28"/>
      <c r="E1860" s="8"/>
      <c r="F1860" s="8"/>
      <c r="G1860" s="8"/>
      <c r="H1860" s="28"/>
      <c r="I1860" s="28"/>
    </row>
    <row r="1861" spans="1:9" x14ac:dyDescent="0.35">
      <c r="A1861" s="8"/>
      <c r="B1861" s="8"/>
      <c r="C1861" s="8"/>
      <c r="D1861" s="28"/>
      <c r="E1861" s="8"/>
      <c r="F1861" s="8"/>
      <c r="G1861" s="8"/>
      <c r="H1861" s="28"/>
      <c r="I1861" s="28"/>
    </row>
    <row r="1862" spans="1:9" x14ac:dyDescent="0.35">
      <c r="A1862" s="8"/>
      <c r="B1862" s="8"/>
      <c r="C1862" s="8"/>
      <c r="D1862" s="28"/>
      <c r="E1862" s="8"/>
      <c r="F1862" s="8"/>
      <c r="G1862" s="8"/>
      <c r="H1862" s="28"/>
      <c r="I1862" s="28"/>
    </row>
    <row r="1863" spans="1:9" x14ac:dyDescent="0.35">
      <c r="A1863" s="8"/>
      <c r="B1863" s="8"/>
      <c r="C1863" s="8"/>
      <c r="D1863" s="28"/>
      <c r="E1863" s="8"/>
      <c r="F1863" s="8"/>
      <c r="G1863" s="8"/>
      <c r="H1863" s="28"/>
      <c r="I1863" s="28"/>
    </row>
    <row r="1864" spans="1:9" x14ac:dyDescent="0.35">
      <c r="A1864" s="8"/>
      <c r="B1864" s="8"/>
      <c r="C1864" s="8"/>
      <c r="D1864" s="28"/>
      <c r="E1864" s="8"/>
      <c r="F1864" s="8"/>
      <c r="G1864" s="8"/>
      <c r="H1864" s="28"/>
      <c r="I1864" s="28"/>
    </row>
    <row r="1865" spans="1:9" x14ac:dyDescent="0.35">
      <c r="A1865" s="8"/>
      <c r="B1865" s="8"/>
      <c r="C1865" s="8"/>
      <c r="D1865" s="28"/>
      <c r="E1865" s="8"/>
      <c r="F1865" s="8"/>
      <c r="G1865" s="8"/>
      <c r="H1865" s="28"/>
      <c r="I1865" s="28"/>
    </row>
    <row r="1866" spans="1:9" x14ac:dyDescent="0.35">
      <c r="A1866" s="8"/>
      <c r="B1866" s="8"/>
      <c r="C1866" s="8"/>
      <c r="D1866" s="28"/>
      <c r="E1866" s="8"/>
      <c r="F1866" s="8"/>
      <c r="G1866" s="8"/>
      <c r="H1866" s="28"/>
      <c r="I1866" s="28"/>
    </row>
    <row r="1867" spans="1:9" x14ac:dyDescent="0.35">
      <c r="A1867" s="8"/>
      <c r="B1867" s="8"/>
      <c r="C1867" s="8"/>
      <c r="D1867" s="28"/>
      <c r="E1867" s="8"/>
      <c r="F1867" s="8"/>
      <c r="G1867" s="8"/>
      <c r="H1867" s="28"/>
      <c r="I1867" s="28"/>
    </row>
    <row r="1868" spans="1:9" x14ac:dyDescent="0.35">
      <c r="A1868" s="8"/>
      <c r="B1868" s="8"/>
      <c r="C1868" s="8"/>
      <c r="D1868" s="28"/>
      <c r="E1868" s="8"/>
      <c r="F1868" s="8"/>
      <c r="G1868" s="8"/>
      <c r="H1868" s="28"/>
      <c r="I1868" s="28"/>
    </row>
    <row r="1869" spans="1:9" x14ac:dyDescent="0.35">
      <c r="A1869" s="8"/>
      <c r="B1869" s="8"/>
      <c r="C1869" s="8"/>
      <c r="D1869" s="28"/>
      <c r="E1869" s="8"/>
      <c r="F1869" s="8"/>
      <c r="G1869" s="8"/>
      <c r="H1869" s="28"/>
      <c r="I1869" s="28"/>
    </row>
    <row r="1870" spans="1:9" x14ac:dyDescent="0.35">
      <c r="A1870" s="8"/>
      <c r="B1870" s="8"/>
      <c r="C1870" s="8"/>
      <c r="D1870" s="28"/>
      <c r="E1870" s="8"/>
      <c r="F1870" s="8"/>
      <c r="G1870" s="8"/>
      <c r="H1870" s="28"/>
      <c r="I1870" s="28"/>
    </row>
    <row r="1871" spans="1:9" x14ac:dyDescent="0.35">
      <c r="A1871" s="8"/>
      <c r="B1871" s="8"/>
      <c r="C1871" s="8"/>
      <c r="D1871" s="28"/>
      <c r="E1871" s="8"/>
      <c r="F1871" s="8"/>
      <c r="G1871" s="8"/>
      <c r="H1871" s="28"/>
      <c r="I1871" s="28"/>
    </row>
    <row r="1872" spans="1:9" x14ac:dyDescent="0.35">
      <c r="A1872" s="8"/>
      <c r="B1872" s="8"/>
      <c r="C1872" s="8"/>
      <c r="D1872" s="28"/>
      <c r="E1872" s="8"/>
      <c r="F1872" s="8"/>
      <c r="G1872" s="8"/>
      <c r="H1872" s="28"/>
      <c r="I1872" s="28"/>
    </row>
    <row r="1873" spans="1:9" x14ac:dyDescent="0.35">
      <c r="A1873" s="8"/>
      <c r="B1873" s="8"/>
      <c r="C1873" s="8"/>
      <c r="D1873" s="28"/>
      <c r="E1873" s="8"/>
      <c r="F1873" s="8"/>
      <c r="G1873" s="8"/>
      <c r="H1873" s="28"/>
      <c r="I1873" s="28"/>
    </row>
    <row r="1874" spans="1:9" x14ac:dyDescent="0.35">
      <c r="A1874" s="8"/>
      <c r="B1874" s="8"/>
      <c r="C1874" s="8"/>
      <c r="D1874" s="28"/>
      <c r="E1874" s="8"/>
      <c r="F1874" s="8"/>
      <c r="G1874" s="8"/>
      <c r="H1874" s="28"/>
      <c r="I1874" s="28"/>
    </row>
    <row r="1875" spans="1:9" x14ac:dyDescent="0.35">
      <c r="A1875" s="8"/>
      <c r="B1875" s="8"/>
      <c r="C1875" s="8"/>
      <c r="D1875" s="28"/>
      <c r="E1875" s="8"/>
      <c r="F1875" s="8"/>
      <c r="G1875" s="8"/>
      <c r="H1875" s="28"/>
      <c r="I1875" s="28"/>
    </row>
    <row r="1876" spans="1:9" x14ac:dyDescent="0.35">
      <c r="A1876" s="8"/>
      <c r="B1876" s="8"/>
      <c r="C1876" s="8"/>
      <c r="D1876" s="28"/>
      <c r="E1876" s="8"/>
      <c r="F1876" s="8"/>
      <c r="G1876" s="8"/>
      <c r="H1876" s="28"/>
      <c r="I1876" s="28"/>
    </row>
    <row r="1877" spans="1:9" x14ac:dyDescent="0.35">
      <c r="A1877" s="8"/>
      <c r="B1877" s="8"/>
      <c r="C1877" s="8"/>
      <c r="D1877" s="28"/>
      <c r="E1877" s="8"/>
      <c r="F1877" s="8"/>
      <c r="G1877" s="8"/>
      <c r="H1877" s="28"/>
      <c r="I1877" s="28"/>
    </row>
    <row r="1878" spans="1:9" x14ac:dyDescent="0.35">
      <c r="A1878" s="8"/>
      <c r="B1878" s="8"/>
      <c r="C1878" s="8"/>
      <c r="D1878" s="28"/>
      <c r="E1878" s="8"/>
      <c r="F1878" s="8"/>
      <c r="G1878" s="8"/>
      <c r="H1878" s="28"/>
      <c r="I1878" s="28"/>
    </row>
    <row r="1879" spans="1:9" x14ac:dyDescent="0.35">
      <c r="A1879" s="8"/>
      <c r="B1879" s="8"/>
      <c r="C1879" s="8"/>
      <c r="D1879" s="28"/>
      <c r="E1879" s="8"/>
      <c r="F1879" s="8"/>
      <c r="G1879" s="8"/>
      <c r="H1879" s="28"/>
      <c r="I1879" s="28"/>
    </row>
    <row r="1880" spans="1:9" x14ac:dyDescent="0.35">
      <c r="A1880" s="8"/>
      <c r="B1880" s="8"/>
      <c r="C1880" s="8"/>
      <c r="D1880" s="28"/>
      <c r="E1880" s="8"/>
      <c r="F1880" s="8"/>
      <c r="G1880" s="8"/>
      <c r="H1880" s="28"/>
      <c r="I1880" s="28"/>
    </row>
    <row r="1881" spans="1:9" x14ac:dyDescent="0.35">
      <c r="A1881" s="8"/>
      <c r="B1881" s="8"/>
      <c r="C1881" s="8"/>
      <c r="D1881" s="28"/>
      <c r="E1881" s="8"/>
      <c r="F1881" s="8"/>
      <c r="G1881" s="8"/>
      <c r="H1881" s="28"/>
      <c r="I1881" s="28"/>
    </row>
    <row r="1882" spans="1:9" x14ac:dyDescent="0.35">
      <c r="A1882" s="8"/>
      <c r="B1882" s="8"/>
      <c r="C1882" s="8"/>
      <c r="D1882" s="28"/>
      <c r="E1882" s="8"/>
      <c r="F1882" s="8"/>
      <c r="G1882" s="8"/>
      <c r="H1882" s="28"/>
      <c r="I1882" s="28"/>
    </row>
    <row r="1883" spans="1:9" x14ac:dyDescent="0.35">
      <c r="A1883" s="8"/>
      <c r="B1883" s="8"/>
      <c r="C1883" s="8"/>
      <c r="D1883" s="28"/>
      <c r="E1883" s="8"/>
      <c r="F1883" s="8"/>
      <c r="G1883" s="8"/>
      <c r="H1883" s="28"/>
      <c r="I1883" s="28"/>
    </row>
    <row r="1884" spans="1:9" x14ac:dyDescent="0.35">
      <c r="A1884" s="8"/>
      <c r="B1884" s="8"/>
      <c r="C1884" s="8"/>
      <c r="D1884" s="28"/>
      <c r="E1884" s="8"/>
      <c r="F1884" s="8"/>
      <c r="G1884" s="8"/>
      <c r="H1884" s="28"/>
      <c r="I1884" s="28"/>
    </row>
    <row r="1885" spans="1:9" x14ac:dyDescent="0.35">
      <c r="A1885" s="8"/>
      <c r="B1885" s="8"/>
      <c r="C1885" s="8"/>
      <c r="D1885" s="28"/>
      <c r="E1885" s="8"/>
      <c r="F1885" s="8"/>
      <c r="G1885" s="8"/>
      <c r="H1885" s="28"/>
      <c r="I1885" s="28"/>
    </row>
    <row r="1886" spans="1:9" x14ac:dyDescent="0.35">
      <c r="A1886" s="8"/>
      <c r="B1886" s="8"/>
      <c r="C1886" s="8"/>
      <c r="D1886" s="28"/>
      <c r="E1886" s="8"/>
      <c r="F1886" s="8"/>
      <c r="G1886" s="8"/>
      <c r="H1886" s="28"/>
      <c r="I1886" s="28"/>
    </row>
    <row r="1887" spans="1:9" x14ac:dyDescent="0.35">
      <c r="A1887" s="8"/>
      <c r="B1887" s="8"/>
      <c r="C1887" s="8"/>
      <c r="D1887" s="28"/>
      <c r="E1887" s="8"/>
      <c r="F1887" s="8"/>
      <c r="G1887" s="8"/>
      <c r="H1887" s="28"/>
      <c r="I1887" s="28"/>
    </row>
    <row r="1888" spans="1:9" x14ac:dyDescent="0.35">
      <c r="A1888" s="8"/>
      <c r="B1888" s="8"/>
      <c r="C1888" s="8"/>
      <c r="D1888" s="28"/>
      <c r="E1888" s="8"/>
      <c r="F1888" s="8"/>
      <c r="G1888" s="8"/>
      <c r="H1888" s="28"/>
      <c r="I1888" s="28"/>
    </row>
    <row r="1889" spans="1:9" x14ac:dyDescent="0.35">
      <c r="A1889" s="8"/>
      <c r="B1889" s="8"/>
      <c r="C1889" s="8"/>
      <c r="D1889" s="28"/>
      <c r="E1889" s="8"/>
      <c r="F1889" s="8"/>
      <c r="G1889" s="8"/>
      <c r="H1889" s="28"/>
      <c r="I1889" s="28"/>
    </row>
    <row r="1890" spans="1:9" x14ac:dyDescent="0.35">
      <c r="A1890" s="8"/>
      <c r="B1890" s="8"/>
      <c r="C1890" s="8"/>
      <c r="D1890" s="28"/>
      <c r="E1890" s="8"/>
      <c r="F1890" s="8"/>
      <c r="G1890" s="8"/>
      <c r="H1890" s="28"/>
      <c r="I1890" s="28"/>
    </row>
    <row r="1891" spans="1:9" x14ac:dyDescent="0.35">
      <c r="A1891" s="8"/>
      <c r="B1891" s="8"/>
      <c r="C1891" s="8"/>
      <c r="D1891" s="28"/>
      <c r="E1891" s="8"/>
      <c r="F1891" s="8"/>
      <c r="G1891" s="8"/>
      <c r="H1891" s="28"/>
      <c r="I1891" s="28"/>
    </row>
    <row r="1892" spans="1:9" x14ac:dyDescent="0.35">
      <c r="A1892" s="8"/>
      <c r="B1892" s="8"/>
      <c r="C1892" s="8"/>
      <c r="D1892" s="28"/>
      <c r="E1892" s="8"/>
      <c r="F1892" s="8"/>
      <c r="G1892" s="8"/>
      <c r="H1892" s="28"/>
      <c r="I1892" s="28"/>
    </row>
    <row r="1893" spans="1:9" x14ac:dyDescent="0.35">
      <c r="A1893" s="8"/>
      <c r="B1893" s="8"/>
      <c r="C1893" s="8"/>
      <c r="D1893" s="28"/>
      <c r="E1893" s="8"/>
      <c r="F1893" s="8"/>
      <c r="G1893" s="8"/>
      <c r="H1893" s="28"/>
      <c r="I1893" s="28"/>
    </row>
    <row r="1894" spans="1:9" x14ac:dyDescent="0.35">
      <c r="A1894" s="8"/>
      <c r="B1894" s="8"/>
      <c r="C1894" s="8"/>
      <c r="D1894" s="28"/>
      <c r="E1894" s="8"/>
      <c r="F1894" s="8"/>
      <c r="G1894" s="8"/>
      <c r="H1894" s="28"/>
      <c r="I1894" s="28"/>
    </row>
    <row r="1895" spans="1:9" x14ac:dyDescent="0.35">
      <c r="A1895" s="8"/>
      <c r="B1895" s="8"/>
      <c r="C1895" s="8"/>
      <c r="D1895" s="28"/>
      <c r="E1895" s="8"/>
      <c r="F1895" s="8"/>
      <c r="G1895" s="8"/>
      <c r="H1895" s="28"/>
      <c r="I1895" s="28"/>
    </row>
    <row r="1896" spans="1:9" x14ac:dyDescent="0.35">
      <c r="A1896" s="8"/>
      <c r="B1896" s="8"/>
      <c r="C1896" s="8"/>
      <c r="D1896" s="28"/>
      <c r="E1896" s="8"/>
      <c r="F1896" s="8"/>
      <c r="G1896" s="8"/>
      <c r="H1896" s="28"/>
      <c r="I1896" s="28"/>
    </row>
    <row r="1897" spans="1:9" x14ac:dyDescent="0.35">
      <c r="A1897" s="8"/>
      <c r="B1897" s="8"/>
      <c r="C1897" s="8"/>
      <c r="D1897" s="28"/>
      <c r="E1897" s="8"/>
      <c r="F1897" s="8"/>
      <c r="G1897" s="8"/>
      <c r="H1897" s="28"/>
      <c r="I1897" s="28"/>
    </row>
    <row r="1898" spans="1:9" x14ac:dyDescent="0.35">
      <c r="A1898" s="8"/>
      <c r="B1898" s="8"/>
      <c r="C1898" s="8"/>
      <c r="D1898" s="28"/>
      <c r="E1898" s="8"/>
      <c r="F1898" s="8"/>
      <c r="G1898" s="8"/>
      <c r="H1898" s="28"/>
      <c r="I1898" s="28"/>
    </row>
    <row r="1899" spans="1:9" x14ac:dyDescent="0.35">
      <c r="A1899" s="8"/>
      <c r="B1899" s="8"/>
      <c r="C1899" s="8"/>
      <c r="D1899" s="28"/>
      <c r="E1899" s="8"/>
      <c r="F1899" s="8"/>
      <c r="G1899" s="8"/>
      <c r="H1899" s="28"/>
      <c r="I1899" s="28"/>
    </row>
    <row r="1900" spans="1:9" x14ac:dyDescent="0.35">
      <c r="A1900" s="8"/>
      <c r="B1900" s="8"/>
      <c r="C1900" s="8"/>
      <c r="D1900" s="28"/>
      <c r="E1900" s="8"/>
      <c r="F1900" s="8"/>
      <c r="G1900" s="8"/>
      <c r="H1900" s="28"/>
      <c r="I1900" s="28"/>
    </row>
    <row r="1901" spans="1:9" x14ac:dyDescent="0.35">
      <c r="A1901" s="8"/>
      <c r="B1901" s="8"/>
      <c r="C1901" s="8"/>
      <c r="D1901" s="28"/>
      <c r="E1901" s="8"/>
      <c r="F1901" s="8"/>
      <c r="G1901" s="8"/>
      <c r="H1901" s="28"/>
      <c r="I1901" s="28"/>
    </row>
    <row r="1902" spans="1:9" x14ac:dyDescent="0.35">
      <c r="A1902" s="8"/>
      <c r="B1902" s="8"/>
      <c r="C1902" s="8"/>
      <c r="D1902" s="28"/>
      <c r="E1902" s="8"/>
      <c r="F1902" s="8"/>
      <c r="G1902" s="8"/>
      <c r="H1902" s="28"/>
      <c r="I1902" s="28"/>
    </row>
    <row r="1903" spans="1:9" x14ac:dyDescent="0.35">
      <c r="A1903" s="8"/>
      <c r="B1903" s="8"/>
      <c r="C1903" s="8"/>
      <c r="D1903" s="28"/>
      <c r="E1903" s="8"/>
      <c r="F1903" s="8"/>
      <c r="G1903" s="8"/>
      <c r="H1903" s="28"/>
      <c r="I1903" s="28"/>
    </row>
    <row r="1904" spans="1:9" x14ac:dyDescent="0.35">
      <c r="A1904" s="8"/>
      <c r="B1904" s="8"/>
      <c r="C1904" s="8"/>
      <c r="D1904" s="28"/>
      <c r="E1904" s="8"/>
      <c r="F1904" s="8"/>
      <c r="G1904" s="8"/>
      <c r="H1904" s="28"/>
      <c r="I1904" s="28"/>
    </row>
    <row r="1905" spans="1:9" x14ac:dyDescent="0.35">
      <c r="A1905" s="8"/>
      <c r="B1905" s="8"/>
      <c r="C1905" s="8"/>
      <c r="D1905" s="28"/>
      <c r="E1905" s="8"/>
      <c r="F1905" s="8"/>
      <c r="G1905" s="8"/>
      <c r="H1905" s="28"/>
      <c r="I1905" s="28"/>
    </row>
    <row r="1906" spans="1:9" x14ac:dyDescent="0.35">
      <c r="A1906" s="8"/>
      <c r="B1906" s="8"/>
      <c r="C1906" s="8"/>
      <c r="D1906" s="28"/>
      <c r="E1906" s="8"/>
      <c r="F1906" s="8"/>
      <c r="G1906" s="8"/>
      <c r="H1906" s="28"/>
      <c r="I1906" s="28"/>
    </row>
    <row r="1907" spans="1:9" x14ac:dyDescent="0.35">
      <c r="A1907" s="8"/>
      <c r="B1907" s="8"/>
      <c r="C1907" s="8"/>
      <c r="D1907" s="28"/>
      <c r="E1907" s="8"/>
      <c r="F1907" s="8"/>
      <c r="G1907" s="8"/>
      <c r="H1907" s="28"/>
      <c r="I1907" s="28"/>
    </row>
    <row r="1908" spans="1:9" x14ac:dyDescent="0.35">
      <c r="A1908" s="8"/>
      <c r="B1908" s="8"/>
      <c r="C1908" s="8"/>
      <c r="D1908" s="28"/>
      <c r="E1908" s="8"/>
      <c r="F1908" s="8"/>
      <c r="G1908" s="8"/>
      <c r="H1908" s="28"/>
      <c r="I1908" s="28"/>
    </row>
    <row r="1909" spans="1:9" x14ac:dyDescent="0.35">
      <c r="A1909" s="8"/>
      <c r="B1909" s="8"/>
      <c r="C1909" s="8"/>
      <c r="D1909" s="28"/>
      <c r="E1909" s="8"/>
      <c r="F1909" s="8"/>
      <c r="G1909" s="8"/>
      <c r="H1909" s="28"/>
      <c r="I1909" s="28"/>
    </row>
    <row r="1910" spans="1:9" x14ac:dyDescent="0.35">
      <c r="A1910" s="8"/>
      <c r="B1910" s="8"/>
      <c r="C1910" s="8"/>
      <c r="D1910" s="28"/>
      <c r="E1910" s="8"/>
      <c r="F1910" s="8"/>
      <c r="G1910" s="8"/>
      <c r="H1910" s="28"/>
      <c r="I1910" s="28"/>
    </row>
    <row r="1911" spans="1:9" x14ac:dyDescent="0.35">
      <c r="A1911" s="8"/>
      <c r="B1911" s="8"/>
      <c r="C1911" s="8"/>
      <c r="D1911" s="28"/>
      <c r="E1911" s="8"/>
      <c r="F1911" s="8"/>
      <c r="G1911" s="8"/>
      <c r="H1911" s="28"/>
      <c r="I1911" s="28"/>
    </row>
    <row r="1912" spans="1:9" x14ac:dyDescent="0.35">
      <c r="A1912" s="8"/>
      <c r="B1912" s="8"/>
      <c r="C1912" s="8"/>
      <c r="D1912" s="28"/>
      <c r="E1912" s="8"/>
      <c r="F1912" s="8"/>
      <c r="G1912" s="8"/>
      <c r="H1912" s="28"/>
      <c r="I1912" s="28"/>
    </row>
    <row r="1913" spans="1:9" x14ac:dyDescent="0.35">
      <c r="A1913" s="8"/>
      <c r="B1913" s="8"/>
      <c r="C1913" s="8"/>
      <c r="D1913" s="28"/>
      <c r="E1913" s="8"/>
      <c r="F1913" s="8"/>
      <c r="G1913" s="8"/>
      <c r="H1913" s="28"/>
      <c r="I1913" s="28"/>
    </row>
    <row r="1914" spans="1:9" x14ac:dyDescent="0.35">
      <c r="A1914" s="8"/>
      <c r="B1914" s="8"/>
      <c r="C1914" s="8"/>
      <c r="D1914" s="28"/>
      <c r="E1914" s="8"/>
      <c r="F1914" s="8"/>
      <c r="G1914" s="8"/>
      <c r="H1914" s="28"/>
      <c r="I1914" s="28"/>
    </row>
    <row r="1915" spans="1:9" x14ac:dyDescent="0.35">
      <c r="A1915" s="8"/>
      <c r="B1915" s="8"/>
      <c r="C1915" s="8"/>
      <c r="D1915" s="28"/>
      <c r="E1915" s="8"/>
      <c r="F1915" s="8"/>
      <c r="G1915" s="8"/>
      <c r="H1915" s="28"/>
      <c r="I1915" s="28"/>
    </row>
    <row r="1916" spans="1:9" x14ac:dyDescent="0.35">
      <c r="A1916" s="8"/>
      <c r="B1916" s="8"/>
      <c r="C1916" s="8"/>
      <c r="D1916" s="28"/>
      <c r="E1916" s="8"/>
      <c r="F1916" s="8"/>
      <c r="G1916" s="8"/>
      <c r="H1916" s="28"/>
      <c r="I1916" s="28"/>
    </row>
    <row r="1917" spans="1:9" x14ac:dyDescent="0.35">
      <c r="A1917" s="8"/>
      <c r="B1917" s="8"/>
      <c r="C1917" s="8"/>
      <c r="D1917" s="28"/>
      <c r="E1917" s="8"/>
      <c r="F1917" s="8"/>
      <c r="G1917" s="8"/>
      <c r="H1917" s="28"/>
      <c r="I1917" s="28"/>
    </row>
    <row r="1918" spans="1:9" x14ac:dyDescent="0.35">
      <c r="A1918" s="8"/>
      <c r="B1918" s="8"/>
      <c r="C1918" s="8"/>
      <c r="D1918" s="28"/>
      <c r="E1918" s="8"/>
      <c r="F1918" s="8"/>
      <c r="G1918" s="8"/>
      <c r="H1918" s="28"/>
      <c r="I1918" s="28"/>
    </row>
    <row r="1919" spans="1:9" x14ac:dyDescent="0.35">
      <c r="A1919" s="8"/>
      <c r="B1919" s="8"/>
      <c r="C1919" s="8"/>
      <c r="D1919" s="28"/>
      <c r="E1919" s="8"/>
      <c r="F1919" s="8"/>
      <c r="G1919" s="8"/>
      <c r="H1919" s="28"/>
      <c r="I1919" s="28"/>
    </row>
    <row r="1920" spans="1:9" x14ac:dyDescent="0.35">
      <c r="A1920" s="8"/>
      <c r="B1920" s="8"/>
      <c r="C1920" s="8"/>
      <c r="D1920" s="28"/>
      <c r="E1920" s="8"/>
      <c r="F1920" s="8"/>
      <c r="G1920" s="8"/>
      <c r="H1920" s="28"/>
      <c r="I1920" s="28"/>
    </row>
    <row r="1921" spans="1:9" x14ac:dyDescent="0.35">
      <c r="A1921" s="8"/>
      <c r="B1921" s="8"/>
      <c r="C1921" s="8"/>
      <c r="D1921" s="28"/>
      <c r="E1921" s="8"/>
      <c r="F1921" s="8"/>
      <c r="G1921" s="8"/>
      <c r="H1921" s="28"/>
      <c r="I1921" s="28"/>
    </row>
    <row r="1922" spans="1:9" x14ac:dyDescent="0.35">
      <c r="A1922" s="8"/>
      <c r="B1922" s="8"/>
      <c r="C1922" s="8"/>
      <c r="D1922" s="28"/>
      <c r="E1922" s="8"/>
      <c r="F1922" s="8"/>
      <c r="G1922" s="8"/>
      <c r="H1922" s="28"/>
      <c r="I1922" s="28"/>
    </row>
    <row r="1923" spans="1:9" x14ac:dyDescent="0.35">
      <c r="A1923" s="8"/>
      <c r="B1923" s="8"/>
      <c r="C1923" s="8"/>
      <c r="D1923" s="28"/>
      <c r="E1923" s="8"/>
      <c r="F1923" s="8"/>
      <c r="G1923" s="8"/>
      <c r="H1923" s="28"/>
      <c r="I1923" s="28"/>
    </row>
    <row r="1924" spans="1:9" x14ac:dyDescent="0.35">
      <c r="A1924" s="8"/>
      <c r="B1924" s="8"/>
      <c r="C1924" s="8"/>
      <c r="D1924" s="28"/>
      <c r="E1924" s="8"/>
      <c r="F1924" s="8"/>
      <c r="G1924" s="8"/>
      <c r="H1924" s="28"/>
      <c r="I1924" s="28"/>
    </row>
    <row r="1925" spans="1:9" x14ac:dyDescent="0.35">
      <c r="A1925" s="8"/>
      <c r="B1925" s="8"/>
      <c r="C1925" s="8"/>
      <c r="D1925" s="28"/>
      <c r="E1925" s="8"/>
      <c r="F1925" s="8"/>
      <c r="G1925" s="8"/>
      <c r="H1925" s="28"/>
      <c r="I1925" s="28"/>
    </row>
    <row r="1926" spans="1:9" x14ac:dyDescent="0.35">
      <c r="A1926" s="8"/>
      <c r="B1926" s="8"/>
      <c r="C1926" s="8"/>
      <c r="D1926" s="28"/>
      <c r="E1926" s="8"/>
      <c r="F1926" s="8"/>
      <c r="G1926" s="8"/>
      <c r="H1926" s="28"/>
      <c r="I1926" s="28"/>
    </row>
    <row r="1927" spans="1:9" x14ac:dyDescent="0.35">
      <c r="A1927" s="8"/>
      <c r="B1927" s="8"/>
      <c r="C1927" s="8"/>
      <c r="D1927" s="28"/>
      <c r="E1927" s="8"/>
      <c r="F1927" s="8"/>
      <c r="G1927" s="8"/>
      <c r="H1927" s="28"/>
      <c r="I1927" s="28"/>
    </row>
    <row r="1928" spans="1:9" x14ac:dyDescent="0.35">
      <c r="A1928" s="8"/>
      <c r="B1928" s="8"/>
      <c r="C1928" s="8"/>
      <c r="D1928" s="28"/>
      <c r="E1928" s="8"/>
      <c r="F1928" s="8"/>
      <c r="G1928" s="8"/>
      <c r="H1928" s="28"/>
      <c r="I1928" s="28"/>
    </row>
    <row r="1929" spans="1:9" x14ac:dyDescent="0.35">
      <c r="A1929" s="8"/>
      <c r="B1929" s="8"/>
      <c r="C1929" s="8"/>
      <c r="D1929" s="28"/>
      <c r="E1929" s="8"/>
      <c r="F1929" s="8"/>
      <c r="G1929" s="8"/>
      <c r="H1929" s="28"/>
      <c r="I1929" s="28"/>
    </row>
    <row r="1930" spans="1:9" x14ac:dyDescent="0.35">
      <c r="A1930" s="8"/>
      <c r="B1930" s="8"/>
      <c r="C1930" s="8"/>
      <c r="D1930" s="28"/>
      <c r="E1930" s="8"/>
      <c r="F1930" s="8"/>
      <c r="G1930" s="8"/>
      <c r="H1930" s="28"/>
      <c r="I1930" s="28"/>
    </row>
    <row r="1931" spans="1:9" x14ac:dyDescent="0.35">
      <c r="A1931" s="8"/>
      <c r="B1931" s="8"/>
      <c r="C1931" s="8"/>
      <c r="D1931" s="28"/>
      <c r="E1931" s="8"/>
      <c r="F1931" s="8"/>
      <c r="G1931" s="8"/>
      <c r="H1931" s="28"/>
      <c r="I1931" s="28"/>
    </row>
    <row r="1932" spans="1:9" x14ac:dyDescent="0.35">
      <c r="A1932" s="8"/>
      <c r="B1932" s="8"/>
      <c r="C1932" s="8"/>
      <c r="D1932" s="28"/>
      <c r="E1932" s="8"/>
      <c r="F1932" s="8"/>
      <c r="G1932" s="8"/>
      <c r="H1932" s="28"/>
      <c r="I1932" s="28"/>
    </row>
    <row r="1933" spans="1:9" x14ac:dyDescent="0.35">
      <c r="A1933" s="8"/>
      <c r="B1933" s="8"/>
      <c r="C1933" s="8"/>
      <c r="D1933" s="28"/>
      <c r="E1933" s="8"/>
      <c r="F1933" s="8"/>
      <c r="G1933" s="8"/>
      <c r="H1933" s="28"/>
      <c r="I1933" s="28"/>
    </row>
    <row r="1934" spans="1:9" x14ac:dyDescent="0.35">
      <c r="A1934" s="8"/>
      <c r="B1934" s="8"/>
      <c r="C1934" s="8"/>
      <c r="D1934" s="28"/>
      <c r="E1934" s="8"/>
      <c r="F1934" s="8"/>
      <c r="G1934" s="8"/>
      <c r="H1934" s="28"/>
      <c r="I1934" s="28"/>
    </row>
    <row r="1935" spans="1:9" x14ac:dyDescent="0.35">
      <c r="A1935" s="8"/>
      <c r="B1935" s="8"/>
      <c r="C1935" s="8"/>
      <c r="D1935" s="28"/>
      <c r="E1935" s="8"/>
      <c r="F1935" s="8"/>
      <c r="G1935" s="8"/>
      <c r="H1935" s="28"/>
      <c r="I1935" s="28"/>
    </row>
    <row r="1936" spans="1:9" x14ac:dyDescent="0.35">
      <c r="A1936" s="8"/>
      <c r="B1936" s="8"/>
      <c r="C1936" s="8"/>
      <c r="D1936" s="28"/>
      <c r="E1936" s="8"/>
      <c r="F1936" s="8"/>
      <c r="G1936" s="8"/>
      <c r="H1936" s="28"/>
      <c r="I1936" s="28"/>
    </row>
    <row r="1937" spans="1:9" x14ac:dyDescent="0.35">
      <c r="A1937" s="8"/>
      <c r="B1937" s="8"/>
      <c r="C1937" s="8"/>
      <c r="D1937" s="28"/>
      <c r="E1937" s="8"/>
      <c r="F1937" s="8"/>
      <c r="G1937" s="8"/>
      <c r="H1937" s="28"/>
      <c r="I1937" s="28"/>
    </row>
    <row r="1938" spans="1:9" x14ac:dyDescent="0.35">
      <c r="A1938" s="8"/>
      <c r="B1938" s="8"/>
      <c r="C1938" s="8"/>
      <c r="D1938" s="28"/>
      <c r="E1938" s="8"/>
      <c r="F1938" s="8"/>
      <c r="G1938" s="8"/>
      <c r="H1938" s="28"/>
      <c r="I1938" s="28"/>
    </row>
    <row r="1939" spans="1:9" x14ac:dyDescent="0.35">
      <c r="A1939" s="8"/>
      <c r="B1939" s="8"/>
      <c r="C1939" s="8"/>
      <c r="D1939" s="28"/>
      <c r="E1939" s="8"/>
      <c r="F1939" s="8"/>
      <c r="G1939" s="8"/>
      <c r="H1939" s="28"/>
      <c r="I1939" s="28"/>
    </row>
    <row r="1940" spans="1:9" x14ac:dyDescent="0.35">
      <c r="A1940" s="8"/>
      <c r="B1940" s="8"/>
      <c r="C1940" s="8"/>
      <c r="D1940" s="28"/>
      <c r="E1940" s="8"/>
      <c r="F1940" s="8"/>
      <c r="G1940" s="8"/>
      <c r="H1940" s="28"/>
      <c r="I1940" s="28"/>
    </row>
    <row r="1941" spans="1:9" x14ac:dyDescent="0.35">
      <c r="A1941" s="8"/>
      <c r="B1941" s="8"/>
      <c r="C1941" s="8"/>
      <c r="D1941" s="28"/>
      <c r="E1941" s="8"/>
      <c r="F1941" s="8"/>
      <c r="G1941" s="8"/>
      <c r="H1941" s="28"/>
      <c r="I1941" s="28"/>
    </row>
    <row r="1942" spans="1:9" x14ac:dyDescent="0.35">
      <c r="A1942" s="8"/>
      <c r="B1942" s="8"/>
      <c r="C1942" s="8"/>
      <c r="D1942" s="28"/>
      <c r="E1942" s="8"/>
      <c r="F1942" s="8"/>
      <c r="G1942" s="8"/>
      <c r="H1942" s="28"/>
      <c r="I1942" s="28"/>
    </row>
    <row r="1943" spans="1:9" x14ac:dyDescent="0.35">
      <c r="A1943" s="8"/>
      <c r="B1943" s="8"/>
      <c r="C1943" s="8"/>
      <c r="D1943" s="28"/>
      <c r="E1943" s="8"/>
      <c r="F1943" s="8"/>
      <c r="G1943" s="8"/>
      <c r="H1943" s="28"/>
      <c r="I1943" s="28"/>
    </row>
    <row r="1944" spans="1:9" x14ac:dyDescent="0.35">
      <c r="A1944" s="8"/>
      <c r="B1944" s="8"/>
      <c r="C1944" s="8"/>
      <c r="D1944" s="28"/>
      <c r="E1944" s="8"/>
      <c r="F1944" s="8"/>
      <c r="G1944" s="8"/>
      <c r="H1944" s="28"/>
      <c r="I1944" s="28"/>
    </row>
    <row r="1945" spans="1:9" x14ac:dyDescent="0.35">
      <c r="A1945" s="8"/>
      <c r="B1945" s="8"/>
      <c r="C1945" s="8"/>
      <c r="D1945" s="28"/>
      <c r="E1945" s="8"/>
      <c r="F1945" s="8"/>
      <c r="G1945" s="8"/>
      <c r="H1945" s="28"/>
      <c r="I1945" s="28"/>
    </row>
    <row r="1946" spans="1:9" x14ac:dyDescent="0.35">
      <c r="A1946" s="8"/>
      <c r="B1946" s="8"/>
      <c r="C1946" s="8"/>
      <c r="D1946" s="28"/>
      <c r="E1946" s="8"/>
      <c r="F1946" s="8"/>
      <c r="G1946" s="8"/>
      <c r="H1946" s="28"/>
      <c r="I1946" s="28"/>
    </row>
    <row r="1947" spans="1:9" x14ac:dyDescent="0.35">
      <c r="A1947" s="8"/>
      <c r="B1947" s="8"/>
      <c r="C1947" s="8"/>
      <c r="D1947" s="28"/>
      <c r="E1947" s="8"/>
      <c r="F1947" s="8"/>
      <c r="G1947" s="8"/>
      <c r="H1947" s="28"/>
      <c r="I1947" s="28"/>
    </row>
    <row r="1948" spans="1:9" x14ac:dyDescent="0.35">
      <c r="A1948" s="8"/>
      <c r="B1948" s="8"/>
      <c r="C1948" s="8"/>
      <c r="D1948" s="28"/>
      <c r="E1948" s="8"/>
      <c r="F1948" s="8"/>
      <c r="G1948" s="8"/>
      <c r="H1948" s="28"/>
      <c r="I1948" s="28"/>
    </row>
    <row r="1949" spans="1:9" x14ac:dyDescent="0.35">
      <c r="A1949" s="8"/>
      <c r="B1949" s="8"/>
      <c r="C1949" s="8"/>
      <c r="D1949" s="28"/>
      <c r="E1949" s="8"/>
      <c r="F1949" s="8"/>
      <c r="G1949" s="8"/>
      <c r="H1949" s="28"/>
      <c r="I1949" s="28"/>
    </row>
    <row r="1950" spans="1:9" x14ac:dyDescent="0.35">
      <c r="A1950" s="8"/>
      <c r="B1950" s="8"/>
      <c r="C1950" s="8"/>
      <c r="D1950" s="28"/>
      <c r="E1950" s="8"/>
      <c r="F1950" s="8"/>
      <c r="G1950" s="8"/>
      <c r="H1950" s="28"/>
      <c r="I1950" s="28"/>
    </row>
    <row r="1951" spans="1:9" x14ac:dyDescent="0.35">
      <c r="A1951" s="8"/>
      <c r="B1951" s="8"/>
      <c r="C1951" s="8"/>
      <c r="D1951" s="28"/>
      <c r="E1951" s="8"/>
      <c r="F1951" s="8"/>
      <c r="G1951" s="8"/>
      <c r="H1951" s="28"/>
      <c r="I1951" s="28"/>
    </row>
    <row r="1952" spans="1:9" x14ac:dyDescent="0.35">
      <c r="A1952" s="8"/>
      <c r="B1952" s="8"/>
      <c r="C1952" s="8"/>
      <c r="D1952" s="28"/>
      <c r="E1952" s="8"/>
      <c r="F1952" s="8"/>
      <c r="G1952" s="8"/>
      <c r="H1952" s="28"/>
      <c r="I1952" s="28"/>
    </row>
    <row r="1953" spans="1:9" x14ac:dyDescent="0.35">
      <c r="A1953" s="8"/>
      <c r="B1953" s="8"/>
      <c r="C1953" s="8"/>
      <c r="D1953" s="28"/>
      <c r="E1953" s="8"/>
      <c r="F1953" s="8"/>
      <c r="G1953" s="8"/>
      <c r="H1953" s="28"/>
      <c r="I1953" s="28"/>
    </row>
    <row r="1954" spans="1:9" x14ac:dyDescent="0.35">
      <c r="A1954" s="8"/>
      <c r="B1954" s="8"/>
      <c r="C1954" s="8"/>
      <c r="D1954" s="28"/>
      <c r="E1954" s="8"/>
      <c r="F1954" s="8"/>
      <c r="G1954" s="8"/>
      <c r="H1954" s="28"/>
      <c r="I1954" s="28"/>
    </row>
    <row r="1955" spans="1:9" x14ac:dyDescent="0.35">
      <c r="A1955" s="8"/>
      <c r="B1955" s="8"/>
      <c r="C1955" s="8"/>
      <c r="D1955" s="28"/>
      <c r="E1955" s="8"/>
      <c r="F1955" s="8"/>
      <c r="G1955" s="8"/>
      <c r="H1955" s="28"/>
      <c r="I1955" s="28"/>
    </row>
    <row r="1956" spans="1:9" x14ac:dyDescent="0.35">
      <c r="A1956" s="8"/>
      <c r="B1956" s="8"/>
      <c r="C1956" s="8"/>
      <c r="D1956" s="28"/>
      <c r="E1956" s="8"/>
      <c r="F1956" s="8"/>
      <c r="G1956" s="8"/>
      <c r="H1956" s="28"/>
      <c r="I1956" s="28"/>
    </row>
    <row r="1957" spans="1:9" x14ac:dyDescent="0.35">
      <c r="A1957" s="8"/>
      <c r="B1957" s="8"/>
      <c r="C1957" s="8"/>
      <c r="D1957" s="28"/>
      <c r="E1957" s="8"/>
      <c r="F1957" s="8"/>
      <c r="G1957" s="8"/>
      <c r="H1957" s="28"/>
      <c r="I1957" s="28"/>
    </row>
    <row r="1958" spans="1:9" x14ac:dyDescent="0.35">
      <c r="A1958" s="8"/>
      <c r="B1958" s="8"/>
      <c r="C1958" s="8"/>
      <c r="D1958" s="28"/>
      <c r="E1958" s="8"/>
      <c r="F1958" s="8"/>
      <c r="G1958" s="8"/>
      <c r="H1958" s="28"/>
      <c r="I1958" s="28"/>
    </row>
    <row r="1959" spans="1:9" x14ac:dyDescent="0.35">
      <c r="A1959" s="8"/>
      <c r="B1959" s="8"/>
      <c r="C1959" s="8"/>
      <c r="D1959" s="28"/>
      <c r="E1959" s="8"/>
      <c r="F1959" s="8"/>
      <c r="G1959" s="8"/>
      <c r="H1959" s="28"/>
      <c r="I1959" s="28"/>
    </row>
    <row r="1960" spans="1:9" x14ac:dyDescent="0.35">
      <c r="A1960" s="8"/>
      <c r="B1960" s="8"/>
      <c r="C1960" s="8"/>
      <c r="D1960" s="28"/>
      <c r="E1960" s="8"/>
      <c r="F1960" s="8"/>
      <c r="G1960" s="8"/>
      <c r="H1960" s="28"/>
      <c r="I1960" s="28"/>
    </row>
    <row r="1961" spans="1:9" x14ac:dyDescent="0.35">
      <c r="A1961" s="8"/>
      <c r="B1961" s="8"/>
      <c r="C1961" s="8"/>
      <c r="D1961" s="28"/>
      <c r="E1961" s="8"/>
      <c r="F1961" s="8"/>
      <c r="G1961" s="8"/>
      <c r="H1961" s="28"/>
      <c r="I1961" s="28"/>
    </row>
    <row r="1962" spans="1:9" x14ac:dyDescent="0.35">
      <c r="A1962" s="8"/>
      <c r="B1962" s="8"/>
      <c r="C1962" s="8"/>
      <c r="D1962" s="28"/>
      <c r="E1962" s="8"/>
      <c r="F1962" s="8"/>
      <c r="G1962" s="8"/>
      <c r="H1962" s="28"/>
      <c r="I1962" s="28"/>
    </row>
    <row r="1963" spans="1:9" x14ac:dyDescent="0.35">
      <c r="A1963" s="8"/>
      <c r="B1963" s="8"/>
      <c r="C1963" s="8"/>
      <c r="D1963" s="28"/>
      <c r="E1963" s="8"/>
      <c r="F1963" s="8"/>
      <c r="G1963" s="8"/>
      <c r="H1963" s="28"/>
      <c r="I1963" s="28"/>
    </row>
    <row r="1964" spans="1:9" x14ac:dyDescent="0.35">
      <c r="A1964" s="8"/>
      <c r="B1964" s="8"/>
      <c r="C1964" s="8"/>
      <c r="D1964" s="28"/>
      <c r="E1964" s="8"/>
      <c r="F1964" s="8"/>
      <c r="G1964" s="8"/>
      <c r="H1964" s="28"/>
      <c r="I1964" s="28"/>
    </row>
    <row r="1965" spans="1:9" x14ac:dyDescent="0.35">
      <c r="A1965" s="8"/>
      <c r="B1965" s="8"/>
      <c r="C1965" s="8"/>
      <c r="D1965" s="28"/>
      <c r="E1965" s="8"/>
      <c r="F1965" s="8"/>
      <c r="G1965" s="8"/>
      <c r="H1965" s="28"/>
      <c r="I1965" s="28"/>
    </row>
    <row r="1966" spans="1:9" x14ac:dyDescent="0.35">
      <c r="A1966" s="8"/>
      <c r="B1966" s="8"/>
      <c r="C1966" s="8"/>
      <c r="D1966" s="28"/>
      <c r="E1966" s="8"/>
      <c r="F1966" s="8"/>
      <c r="G1966" s="8"/>
      <c r="H1966" s="28"/>
      <c r="I1966" s="28"/>
    </row>
    <row r="1967" spans="1:9" x14ac:dyDescent="0.35">
      <c r="A1967" s="8"/>
      <c r="B1967" s="8"/>
      <c r="C1967" s="8"/>
      <c r="D1967" s="28"/>
      <c r="E1967" s="8"/>
      <c r="F1967" s="8"/>
      <c r="G1967" s="8"/>
      <c r="H1967" s="28"/>
      <c r="I1967" s="28"/>
    </row>
    <row r="1968" spans="1:9" x14ac:dyDescent="0.35">
      <c r="A1968" s="8"/>
      <c r="B1968" s="8"/>
      <c r="C1968" s="8"/>
      <c r="D1968" s="28"/>
      <c r="E1968" s="8"/>
      <c r="F1968" s="8"/>
      <c r="G1968" s="8"/>
      <c r="H1968" s="28"/>
      <c r="I1968" s="28"/>
    </row>
    <row r="1969" spans="1:9" x14ac:dyDescent="0.35">
      <c r="A1969" s="8"/>
      <c r="B1969" s="8"/>
      <c r="C1969" s="8"/>
      <c r="D1969" s="28"/>
      <c r="E1969" s="8"/>
      <c r="F1969" s="8"/>
      <c r="G1969" s="8"/>
      <c r="H1969" s="28"/>
      <c r="I1969" s="28"/>
    </row>
    <row r="1970" spans="1:9" x14ac:dyDescent="0.35">
      <c r="A1970" s="8"/>
      <c r="B1970" s="8"/>
      <c r="C1970" s="8"/>
      <c r="D1970" s="28"/>
      <c r="E1970" s="8"/>
      <c r="F1970" s="8"/>
      <c r="G1970" s="8"/>
      <c r="H1970" s="28"/>
      <c r="I1970" s="28"/>
    </row>
    <row r="1971" spans="1:9" x14ac:dyDescent="0.35">
      <c r="A1971" s="8"/>
      <c r="B1971" s="8"/>
      <c r="C1971" s="8"/>
      <c r="D1971" s="28"/>
      <c r="E1971" s="8"/>
      <c r="F1971" s="8"/>
      <c r="G1971" s="8"/>
      <c r="H1971" s="28"/>
      <c r="I1971" s="28"/>
    </row>
    <row r="1972" spans="1:9" x14ac:dyDescent="0.35">
      <c r="A1972" s="8"/>
      <c r="B1972" s="8"/>
      <c r="C1972" s="8"/>
      <c r="D1972" s="28"/>
      <c r="E1972" s="8"/>
      <c r="F1972" s="8"/>
      <c r="G1972" s="8"/>
      <c r="H1972" s="28"/>
      <c r="I1972" s="28"/>
    </row>
    <row r="1973" spans="1:9" x14ac:dyDescent="0.35">
      <c r="A1973" s="8"/>
      <c r="B1973" s="8"/>
      <c r="C1973" s="8"/>
      <c r="D1973" s="28"/>
      <c r="E1973" s="8"/>
      <c r="F1973" s="8"/>
      <c r="G1973" s="8"/>
      <c r="H1973" s="28"/>
      <c r="I1973" s="28"/>
    </row>
    <row r="1974" spans="1:9" x14ac:dyDescent="0.35">
      <c r="A1974" s="8"/>
      <c r="B1974" s="8"/>
      <c r="C1974" s="8"/>
      <c r="D1974" s="28"/>
      <c r="E1974" s="8"/>
      <c r="F1974" s="8"/>
      <c r="G1974" s="8"/>
      <c r="H1974" s="28"/>
      <c r="I1974" s="28"/>
    </row>
    <row r="1975" spans="1:9" x14ac:dyDescent="0.35">
      <c r="A1975" s="8"/>
      <c r="B1975" s="8"/>
      <c r="C1975" s="8"/>
      <c r="D1975" s="28"/>
      <c r="E1975" s="8"/>
      <c r="F1975" s="8"/>
      <c r="G1975" s="8"/>
      <c r="H1975" s="28"/>
      <c r="I1975" s="28"/>
    </row>
    <row r="1976" spans="1:9" x14ac:dyDescent="0.35">
      <c r="A1976" s="8"/>
      <c r="B1976" s="8"/>
      <c r="C1976" s="8"/>
      <c r="D1976" s="28"/>
      <c r="E1976" s="8"/>
      <c r="F1976" s="8"/>
      <c r="G1976" s="8"/>
      <c r="H1976" s="28"/>
      <c r="I1976" s="28"/>
    </row>
    <row r="1977" spans="1:9" x14ac:dyDescent="0.35">
      <c r="A1977" s="8"/>
      <c r="B1977" s="8"/>
      <c r="C1977" s="8"/>
      <c r="D1977" s="28"/>
      <c r="E1977" s="8"/>
      <c r="F1977" s="8"/>
      <c r="G1977" s="8"/>
      <c r="H1977" s="28"/>
      <c r="I1977" s="28"/>
    </row>
    <row r="1978" spans="1:9" x14ac:dyDescent="0.35">
      <c r="A1978" s="8"/>
      <c r="B1978" s="8"/>
      <c r="C1978" s="8"/>
      <c r="D1978" s="28"/>
      <c r="E1978" s="8"/>
      <c r="F1978" s="8"/>
      <c r="G1978" s="8"/>
      <c r="H1978" s="28"/>
      <c r="I1978" s="28"/>
    </row>
    <row r="1979" spans="1:9" x14ac:dyDescent="0.35">
      <c r="A1979" s="8"/>
      <c r="B1979" s="8"/>
      <c r="C1979" s="8"/>
      <c r="D1979" s="28"/>
      <c r="E1979" s="8"/>
      <c r="F1979" s="8"/>
      <c r="G1979" s="8"/>
      <c r="H1979" s="28"/>
      <c r="I1979" s="28"/>
    </row>
    <row r="1980" spans="1:9" x14ac:dyDescent="0.35">
      <c r="A1980" s="8"/>
      <c r="B1980" s="8"/>
      <c r="C1980" s="8"/>
      <c r="D1980" s="28"/>
      <c r="E1980" s="8"/>
      <c r="F1980" s="8"/>
      <c r="G1980" s="8"/>
      <c r="H1980" s="28"/>
      <c r="I1980" s="28"/>
    </row>
    <row r="1981" spans="1:9" x14ac:dyDescent="0.35">
      <c r="A1981" s="8"/>
      <c r="B1981" s="8"/>
      <c r="C1981" s="8"/>
      <c r="D1981" s="28"/>
      <c r="E1981" s="8"/>
      <c r="F1981" s="8"/>
      <c r="G1981" s="8"/>
      <c r="H1981" s="28"/>
      <c r="I1981" s="28"/>
    </row>
    <row r="1982" spans="1:9" x14ac:dyDescent="0.35">
      <c r="A1982" s="8"/>
      <c r="B1982" s="8"/>
      <c r="C1982" s="8"/>
      <c r="D1982" s="28"/>
      <c r="E1982" s="8"/>
      <c r="F1982" s="8"/>
      <c r="G1982" s="8"/>
      <c r="H1982" s="28"/>
      <c r="I1982" s="28"/>
    </row>
    <row r="1983" spans="1:9" x14ac:dyDescent="0.35">
      <c r="A1983" s="8"/>
      <c r="B1983" s="8"/>
      <c r="C1983" s="8"/>
      <c r="D1983" s="28"/>
      <c r="E1983" s="8"/>
      <c r="F1983" s="8"/>
      <c r="G1983" s="8"/>
      <c r="H1983" s="28"/>
      <c r="I1983" s="28"/>
    </row>
    <row r="1984" spans="1:9" x14ac:dyDescent="0.35">
      <c r="A1984" s="8"/>
      <c r="B1984" s="8"/>
      <c r="C1984" s="8"/>
      <c r="D1984" s="28"/>
      <c r="E1984" s="8"/>
      <c r="F1984" s="8"/>
      <c r="G1984" s="8"/>
      <c r="H1984" s="28"/>
      <c r="I1984" s="28"/>
    </row>
    <row r="1985" spans="1:9" x14ac:dyDescent="0.35">
      <c r="A1985" s="8"/>
      <c r="B1985" s="8"/>
      <c r="C1985" s="8"/>
      <c r="D1985" s="28"/>
      <c r="E1985" s="8"/>
      <c r="F1985" s="8"/>
      <c r="G1985" s="8"/>
      <c r="H1985" s="28"/>
      <c r="I1985" s="28"/>
    </row>
    <row r="1986" spans="1:9" x14ac:dyDescent="0.35">
      <c r="A1986" s="8"/>
      <c r="B1986" s="8"/>
      <c r="C1986" s="8"/>
      <c r="D1986" s="28"/>
      <c r="E1986" s="8"/>
      <c r="F1986" s="8"/>
      <c r="G1986" s="8"/>
      <c r="H1986" s="28"/>
      <c r="I1986" s="28"/>
    </row>
    <row r="1987" spans="1:9" x14ac:dyDescent="0.35">
      <c r="A1987" s="8"/>
      <c r="B1987" s="8"/>
      <c r="C1987" s="8"/>
      <c r="D1987" s="28"/>
      <c r="E1987" s="8"/>
      <c r="F1987" s="8"/>
      <c r="G1987" s="8"/>
      <c r="H1987" s="28"/>
      <c r="I1987" s="28"/>
    </row>
    <row r="1988" spans="1:9" x14ac:dyDescent="0.35">
      <c r="A1988" s="8"/>
      <c r="B1988" s="8"/>
      <c r="C1988" s="8"/>
      <c r="D1988" s="28"/>
      <c r="E1988" s="8"/>
      <c r="F1988" s="8"/>
      <c r="G1988" s="8"/>
      <c r="H1988" s="28"/>
      <c r="I1988" s="28"/>
    </row>
    <row r="1989" spans="1:9" x14ac:dyDescent="0.35">
      <c r="A1989" s="8"/>
      <c r="B1989" s="8"/>
      <c r="C1989" s="8"/>
      <c r="D1989" s="28"/>
      <c r="E1989" s="8"/>
      <c r="F1989" s="8"/>
      <c r="G1989" s="8"/>
      <c r="H1989" s="28"/>
      <c r="I1989" s="28"/>
    </row>
    <row r="1990" spans="1:9" x14ac:dyDescent="0.35">
      <c r="A1990" s="8"/>
      <c r="B1990" s="8"/>
      <c r="C1990" s="8"/>
      <c r="D1990" s="28"/>
      <c r="E1990" s="8"/>
      <c r="F1990" s="8"/>
      <c r="G1990" s="8"/>
      <c r="H1990" s="28"/>
      <c r="I1990" s="28"/>
    </row>
    <row r="1991" spans="1:9" x14ac:dyDescent="0.35">
      <c r="A1991" s="8"/>
      <c r="B1991" s="8"/>
      <c r="C1991" s="8"/>
      <c r="D1991" s="28"/>
      <c r="E1991" s="8"/>
      <c r="F1991" s="8"/>
      <c r="G1991" s="8"/>
      <c r="H1991" s="28"/>
      <c r="I1991" s="28"/>
    </row>
    <row r="1992" spans="1:9" x14ac:dyDescent="0.35">
      <c r="A1992" s="8"/>
      <c r="B1992" s="8"/>
      <c r="C1992" s="8"/>
      <c r="D1992" s="28"/>
      <c r="E1992" s="8"/>
      <c r="F1992" s="8"/>
      <c r="G1992" s="8"/>
      <c r="H1992" s="28"/>
      <c r="I1992" s="28"/>
    </row>
    <row r="1993" spans="1:9" x14ac:dyDescent="0.35">
      <c r="A1993" s="8"/>
      <c r="B1993" s="8"/>
      <c r="C1993" s="8"/>
      <c r="D1993" s="28"/>
      <c r="E1993" s="8"/>
      <c r="F1993" s="8"/>
      <c r="G1993" s="8"/>
      <c r="H1993" s="28"/>
      <c r="I1993" s="28"/>
    </row>
    <row r="1994" spans="1:9" x14ac:dyDescent="0.35">
      <c r="A1994" s="8"/>
      <c r="B1994" s="8"/>
      <c r="C1994" s="8"/>
      <c r="D1994" s="28"/>
      <c r="E1994" s="8"/>
      <c r="F1994" s="8"/>
      <c r="G1994" s="8"/>
      <c r="H1994" s="28"/>
      <c r="I1994" s="28"/>
    </row>
    <row r="1995" spans="1:9" x14ac:dyDescent="0.35">
      <c r="A1995" s="8"/>
      <c r="B1995" s="8"/>
      <c r="C1995" s="8"/>
      <c r="D1995" s="28"/>
      <c r="E1995" s="8"/>
      <c r="F1995" s="8"/>
      <c r="G1995" s="8"/>
      <c r="H1995" s="28"/>
      <c r="I1995" s="28"/>
    </row>
    <row r="1996" spans="1:9" x14ac:dyDescent="0.35">
      <c r="A1996" s="8"/>
      <c r="B1996" s="8"/>
      <c r="C1996" s="8"/>
      <c r="D1996" s="28"/>
      <c r="E1996" s="8"/>
      <c r="F1996" s="8"/>
      <c r="G1996" s="8"/>
      <c r="H1996" s="28"/>
      <c r="I1996" s="28"/>
    </row>
    <row r="1997" spans="1:9" x14ac:dyDescent="0.35">
      <c r="A1997" s="8"/>
      <c r="B1997" s="8"/>
      <c r="C1997" s="8"/>
      <c r="D1997" s="28"/>
      <c r="E1997" s="8"/>
      <c r="F1997" s="8"/>
      <c r="G1997" s="8"/>
      <c r="H1997" s="28"/>
      <c r="I1997" s="28"/>
    </row>
    <row r="1998" spans="1:9" x14ac:dyDescent="0.35">
      <c r="A1998" s="8"/>
      <c r="B1998" s="8"/>
      <c r="C1998" s="8"/>
      <c r="D1998" s="28"/>
      <c r="E1998" s="8"/>
      <c r="F1998" s="8"/>
      <c r="G1998" s="8"/>
      <c r="H1998" s="28"/>
      <c r="I1998" s="28"/>
    </row>
    <row r="1999" spans="1:9" x14ac:dyDescent="0.35">
      <c r="A1999" s="8"/>
      <c r="B1999" s="8"/>
      <c r="C1999" s="8"/>
      <c r="D1999" s="28"/>
      <c r="E1999" s="8"/>
      <c r="F1999" s="8"/>
      <c r="G1999" s="8"/>
      <c r="H1999" s="28"/>
      <c r="I1999" s="28"/>
    </row>
    <row r="2000" spans="1:9" x14ac:dyDescent="0.35">
      <c r="A2000" s="8"/>
      <c r="B2000" s="8"/>
      <c r="C2000" s="8"/>
      <c r="D2000" s="28"/>
      <c r="E2000" s="8"/>
      <c r="F2000" s="8"/>
      <c r="G2000" s="8"/>
      <c r="H2000" s="28"/>
      <c r="I2000" s="28"/>
    </row>
    <row r="2001" spans="1:9" x14ac:dyDescent="0.35">
      <c r="A2001" s="8"/>
      <c r="B2001" s="8"/>
      <c r="C2001" s="8"/>
      <c r="D2001" s="28"/>
      <c r="E2001" s="8"/>
      <c r="F2001" s="8"/>
      <c r="G2001" s="8"/>
      <c r="H2001" s="28"/>
      <c r="I2001" s="28"/>
    </row>
    <row r="2002" spans="1:9" x14ac:dyDescent="0.35">
      <c r="A2002" s="8"/>
      <c r="B2002" s="8"/>
      <c r="C2002" s="8"/>
      <c r="D2002" s="28"/>
      <c r="E2002" s="8"/>
      <c r="F2002" s="8"/>
      <c r="G2002" s="8"/>
      <c r="H2002" s="28"/>
      <c r="I2002" s="28"/>
    </row>
    <row r="2003" spans="1:9" x14ac:dyDescent="0.35">
      <c r="A2003" s="8"/>
      <c r="B2003" s="8"/>
      <c r="C2003" s="8"/>
      <c r="D2003" s="28"/>
      <c r="E2003" s="8"/>
      <c r="F2003" s="8"/>
      <c r="G2003" s="8"/>
      <c r="H2003" s="28"/>
      <c r="I2003" s="28"/>
    </row>
    <row r="2004" spans="1:9" x14ac:dyDescent="0.35">
      <c r="A2004" s="8"/>
      <c r="B2004" s="8"/>
      <c r="C2004" s="8"/>
      <c r="D2004" s="28"/>
      <c r="E2004" s="8"/>
      <c r="F2004" s="8"/>
      <c r="G2004" s="8"/>
      <c r="H2004" s="28"/>
      <c r="I2004" s="28"/>
    </row>
    <row r="2005" spans="1:9" x14ac:dyDescent="0.35">
      <c r="A2005" s="8"/>
      <c r="B2005" s="8"/>
      <c r="C2005" s="8"/>
      <c r="D2005" s="28"/>
      <c r="E2005" s="8"/>
      <c r="F2005" s="8"/>
      <c r="G2005" s="8"/>
      <c r="H2005" s="28"/>
      <c r="I2005" s="28"/>
    </row>
    <row r="2006" spans="1:9" x14ac:dyDescent="0.35">
      <c r="A2006" s="8"/>
      <c r="B2006" s="8"/>
      <c r="C2006" s="8"/>
      <c r="D2006" s="28"/>
      <c r="E2006" s="8"/>
      <c r="F2006" s="8"/>
      <c r="G2006" s="8"/>
      <c r="H2006" s="28"/>
      <c r="I2006" s="28"/>
    </row>
    <row r="2007" spans="1:9" x14ac:dyDescent="0.35">
      <c r="A2007" s="8"/>
      <c r="B2007" s="8"/>
      <c r="C2007" s="8"/>
      <c r="D2007" s="28"/>
      <c r="E2007" s="8"/>
      <c r="F2007" s="8"/>
      <c r="G2007" s="8"/>
      <c r="H2007" s="28"/>
      <c r="I2007" s="28"/>
    </row>
    <row r="2008" spans="1:9" x14ac:dyDescent="0.35">
      <c r="A2008" s="8"/>
      <c r="B2008" s="8"/>
      <c r="C2008" s="8"/>
      <c r="D2008" s="28"/>
      <c r="E2008" s="8"/>
      <c r="F2008" s="8"/>
      <c r="G2008" s="8"/>
      <c r="H2008" s="28"/>
      <c r="I2008" s="28"/>
    </row>
    <row r="2009" spans="1:9" x14ac:dyDescent="0.35">
      <c r="A2009" s="8"/>
      <c r="B2009" s="8"/>
      <c r="C2009" s="8"/>
      <c r="D2009" s="28"/>
      <c r="E2009" s="8"/>
      <c r="F2009" s="8"/>
      <c r="G2009" s="8"/>
      <c r="H2009" s="28"/>
      <c r="I2009" s="28"/>
    </row>
    <row r="2010" spans="1:9" x14ac:dyDescent="0.35">
      <c r="A2010" s="8"/>
      <c r="B2010" s="8"/>
      <c r="C2010" s="8"/>
      <c r="D2010" s="28"/>
      <c r="E2010" s="8"/>
      <c r="F2010" s="8"/>
      <c r="G2010" s="8"/>
      <c r="H2010" s="28"/>
      <c r="I2010" s="28"/>
    </row>
    <row r="2011" spans="1:9" x14ac:dyDescent="0.35">
      <c r="A2011" s="8"/>
      <c r="B2011" s="8"/>
      <c r="C2011" s="8"/>
      <c r="D2011" s="28"/>
      <c r="E2011" s="8"/>
      <c r="F2011" s="8"/>
      <c r="G2011" s="8"/>
      <c r="H2011" s="28"/>
      <c r="I2011" s="28"/>
    </row>
    <row r="2012" spans="1:9" x14ac:dyDescent="0.35">
      <c r="A2012" s="8"/>
      <c r="B2012" s="8"/>
      <c r="C2012" s="8"/>
      <c r="D2012" s="28"/>
      <c r="E2012" s="8"/>
      <c r="F2012" s="8"/>
      <c r="G2012" s="8"/>
      <c r="H2012" s="28"/>
      <c r="I2012" s="28"/>
    </row>
    <row r="2013" spans="1:9" x14ac:dyDescent="0.35">
      <c r="A2013" s="8"/>
      <c r="B2013" s="8"/>
      <c r="C2013" s="8"/>
      <c r="D2013" s="28"/>
      <c r="E2013" s="8"/>
      <c r="F2013" s="8"/>
      <c r="G2013" s="8"/>
      <c r="H2013" s="28"/>
      <c r="I2013" s="28"/>
    </row>
    <row r="2014" spans="1:9" x14ac:dyDescent="0.35">
      <c r="A2014" s="8"/>
      <c r="B2014" s="8"/>
      <c r="C2014" s="8"/>
      <c r="D2014" s="28"/>
      <c r="E2014" s="8"/>
      <c r="F2014" s="8"/>
      <c r="G2014" s="8"/>
      <c r="H2014" s="28"/>
      <c r="I2014" s="28"/>
    </row>
    <row r="2015" spans="1:9" x14ac:dyDescent="0.35">
      <c r="A2015" s="8"/>
      <c r="B2015" s="8"/>
      <c r="C2015" s="8"/>
      <c r="D2015" s="28"/>
      <c r="E2015" s="8"/>
      <c r="F2015" s="8"/>
      <c r="G2015" s="8"/>
      <c r="H2015" s="28"/>
      <c r="I2015" s="28"/>
    </row>
    <row r="2016" spans="1:9" x14ac:dyDescent="0.35">
      <c r="A2016" s="8"/>
      <c r="B2016" s="8"/>
      <c r="C2016" s="8"/>
      <c r="D2016" s="28"/>
      <c r="E2016" s="8"/>
      <c r="F2016" s="8"/>
      <c r="G2016" s="8"/>
      <c r="H2016" s="28"/>
      <c r="I2016" s="28"/>
    </row>
    <row r="2017" spans="1:9" x14ac:dyDescent="0.35">
      <c r="A2017" s="8"/>
      <c r="B2017" s="8"/>
      <c r="C2017" s="8"/>
      <c r="D2017" s="28"/>
      <c r="E2017" s="8"/>
      <c r="F2017" s="8"/>
      <c r="G2017" s="8"/>
      <c r="H2017" s="28"/>
      <c r="I2017" s="28"/>
    </row>
    <row r="2018" spans="1:9" x14ac:dyDescent="0.35">
      <c r="A2018" s="8"/>
      <c r="B2018" s="8"/>
      <c r="C2018" s="8"/>
      <c r="D2018" s="28"/>
      <c r="E2018" s="8"/>
      <c r="F2018" s="8"/>
      <c r="G2018" s="8"/>
      <c r="H2018" s="28"/>
      <c r="I2018" s="28"/>
    </row>
    <row r="2019" spans="1:9" x14ac:dyDescent="0.35">
      <c r="A2019" s="8"/>
      <c r="B2019" s="8"/>
      <c r="C2019" s="8"/>
      <c r="D2019" s="28"/>
      <c r="E2019" s="8"/>
      <c r="F2019" s="8"/>
      <c r="G2019" s="8"/>
      <c r="H2019" s="28"/>
      <c r="I2019" s="28"/>
    </row>
    <row r="2020" spans="1:9" x14ac:dyDescent="0.35">
      <c r="A2020" s="8"/>
      <c r="B2020" s="8"/>
      <c r="C2020" s="8"/>
      <c r="D2020" s="28"/>
      <c r="E2020" s="8"/>
      <c r="F2020" s="8"/>
      <c r="G2020" s="8"/>
      <c r="H2020" s="28"/>
      <c r="I2020" s="28"/>
    </row>
    <row r="2021" spans="1:9" x14ac:dyDescent="0.35">
      <c r="A2021" s="8"/>
      <c r="B2021" s="8"/>
      <c r="C2021" s="8"/>
      <c r="D2021" s="28"/>
      <c r="E2021" s="8"/>
      <c r="F2021" s="8"/>
      <c r="G2021" s="8"/>
      <c r="H2021" s="28"/>
      <c r="I2021" s="28"/>
    </row>
    <row r="2022" spans="1:9" x14ac:dyDescent="0.35">
      <c r="A2022" s="8"/>
      <c r="B2022" s="8"/>
      <c r="C2022" s="8"/>
      <c r="D2022" s="28"/>
      <c r="E2022" s="8"/>
      <c r="F2022" s="8"/>
      <c r="G2022" s="8"/>
      <c r="H2022" s="28"/>
      <c r="I2022" s="28"/>
    </row>
    <row r="2023" spans="1:9" x14ac:dyDescent="0.35">
      <c r="A2023" s="8"/>
      <c r="B2023" s="8"/>
      <c r="C2023" s="8"/>
      <c r="D2023" s="28"/>
      <c r="E2023" s="8"/>
      <c r="F2023" s="8"/>
      <c r="G2023" s="8"/>
      <c r="H2023" s="28"/>
      <c r="I2023" s="28"/>
    </row>
    <row r="2024" spans="1:9" x14ac:dyDescent="0.35">
      <c r="A2024" s="8"/>
      <c r="B2024" s="8"/>
      <c r="C2024" s="8"/>
      <c r="D2024" s="28"/>
      <c r="E2024" s="8"/>
      <c r="F2024" s="8"/>
      <c r="G2024" s="8"/>
      <c r="H2024" s="28"/>
      <c r="I2024" s="28"/>
    </row>
    <row r="2025" spans="1:9" x14ac:dyDescent="0.35">
      <c r="A2025" s="8"/>
      <c r="B2025" s="8"/>
      <c r="C2025" s="8"/>
      <c r="D2025" s="28"/>
      <c r="E2025" s="8"/>
      <c r="F2025" s="8"/>
      <c r="G2025" s="8"/>
      <c r="H2025" s="28"/>
      <c r="I2025" s="28"/>
    </row>
    <row r="2026" spans="1:9" x14ac:dyDescent="0.35">
      <c r="A2026" s="8"/>
      <c r="B2026" s="8"/>
      <c r="C2026" s="8"/>
      <c r="D2026" s="28"/>
      <c r="E2026" s="8"/>
      <c r="F2026" s="8"/>
      <c r="G2026" s="8"/>
      <c r="H2026" s="28"/>
      <c r="I2026" s="28"/>
    </row>
    <row r="2027" spans="1:9" x14ac:dyDescent="0.35">
      <c r="A2027" s="8"/>
      <c r="B2027" s="8"/>
      <c r="C2027" s="8"/>
      <c r="D2027" s="28"/>
      <c r="E2027" s="8"/>
      <c r="F2027" s="8"/>
      <c r="G2027" s="8"/>
      <c r="H2027" s="28"/>
      <c r="I2027" s="28"/>
    </row>
    <row r="2028" spans="1:9" x14ac:dyDescent="0.35">
      <c r="A2028" s="8"/>
      <c r="B2028" s="8"/>
      <c r="C2028" s="8"/>
      <c r="D2028" s="28"/>
      <c r="E2028" s="8"/>
      <c r="F2028" s="8"/>
      <c r="G2028" s="8"/>
      <c r="H2028" s="28"/>
      <c r="I2028" s="28"/>
    </row>
    <row r="2029" spans="1:9" x14ac:dyDescent="0.35">
      <c r="A2029" s="8"/>
      <c r="B2029" s="8"/>
      <c r="C2029" s="8"/>
      <c r="D2029" s="28"/>
      <c r="E2029" s="8"/>
      <c r="F2029" s="8"/>
      <c r="G2029" s="8"/>
      <c r="H2029" s="28"/>
      <c r="I2029" s="28"/>
    </row>
    <row r="2030" spans="1:9" x14ac:dyDescent="0.35">
      <c r="A2030" s="8"/>
      <c r="B2030" s="8"/>
      <c r="C2030" s="8"/>
      <c r="D2030" s="28"/>
      <c r="E2030" s="8"/>
      <c r="F2030" s="8"/>
      <c r="G2030" s="8"/>
      <c r="H2030" s="28"/>
      <c r="I2030" s="28"/>
    </row>
    <row r="2031" spans="1:9" x14ac:dyDescent="0.35">
      <c r="A2031" s="8"/>
      <c r="B2031" s="8"/>
      <c r="C2031" s="8"/>
      <c r="D2031" s="28"/>
      <c r="E2031" s="8"/>
      <c r="F2031" s="8"/>
      <c r="G2031" s="8"/>
      <c r="H2031" s="28"/>
      <c r="I2031" s="28"/>
    </row>
    <row r="2032" spans="1:9" x14ac:dyDescent="0.35">
      <c r="A2032" s="8"/>
      <c r="B2032" s="8"/>
      <c r="C2032" s="8"/>
      <c r="D2032" s="28"/>
      <c r="E2032" s="8"/>
      <c r="F2032" s="8"/>
      <c r="G2032" s="8"/>
      <c r="H2032" s="28"/>
      <c r="I2032" s="28"/>
    </row>
    <row r="2033" spans="1:9" x14ac:dyDescent="0.35">
      <c r="A2033" s="8"/>
      <c r="B2033" s="8"/>
      <c r="C2033" s="8"/>
      <c r="D2033" s="28"/>
      <c r="E2033" s="8"/>
      <c r="F2033" s="8"/>
      <c r="G2033" s="8"/>
      <c r="H2033" s="28"/>
      <c r="I2033" s="28"/>
    </row>
    <row r="2034" spans="1:9" x14ac:dyDescent="0.35">
      <c r="A2034" s="8"/>
      <c r="B2034" s="8"/>
      <c r="C2034" s="8"/>
      <c r="D2034" s="28"/>
      <c r="E2034" s="8"/>
      <c r="F2034" s="8"/>
      <c r="G2034" s="8"/>
      <c r="H2034" s="28"/>
      <c r="I2034" s="28"/>
    </row>
    <row r="2035" spans="1:9" x14ac:dyDescent="0.35">
      <c r="A2035" s="8"/>
      <c r="B2035" s="8"/>
      <c r="C2035" s="8"/>
      <c r="D2035" s="28"/>
      <c r="E2035" s="8"/>
      <c r="F2035" s="8"/>
      <c r="G2035" s="8"/>
      <c r="H2035" s="28"/>
      <c r="I2035" s="28"/>
    </row>
    <row r="2036" spans="1:9" x14ac:dyDescent="0.35">
      <c r="A2036" s="8"/>
      <c r="B2036" s="8"/>
      <c r="C2036" s="8"/>
      <c r="D2036" s="28"/>
      <c r="E2036" s="8"/>
      <c r="F2036" s="8"/>
      <c r="G2036" s="8"/>
      <c r="H2036" s="28"/>
      <c r="I2036" s="28"/>
    </row>
    <row r="2037" spans="1:9" x14ac:dyDescent="0.35">
      <c r="A2037" s="8"/>
      <c r="B2037" s="8"/>
      <c r="C2037" s="8"/>
      <c r="D2037" s="28"/>
      <c r="E2037" s="8"/>
      <c r="F2037" s="8"/>
      <c r="G2037" s="8"/>
      <c r="H2037" s="28"/>
      <c r="I2037" s="28"/>
    </row>
    <row r="2038" spans="1:9" x14ac:dyDescent="0.35">
      <c r="A2038" s="8"/>
      <c r="B2038" s="8"/>
      <c r="C2038" s="8"/>
      <c r="D2038" s="28"/>
      <c r="E2038" s="8"/>
      <c r="F2038" s="8"/>
      <c r="G2038" s="8"/>
      <c r="H2038" s="28"/>
      <c r="I2038" s="28"/>
    </row>
    <row r="2039" spans="1:9" x14ac:dyDescent="0.35">
      <c r="A2039" s="8"/>
      <c r="B2039" s="8"/>
      <c r="C2039" s="8"/>
      <c r="D2039" s="28"/>
      <c r="E2039" s="8"/>
      <c r="F2039" s="8"/>
      <c r="G2039" s="8"/>
      <c r="H2039" s="28"/>
      <c r="I2039" s="28"/>
    </row>
    <row r="2040" spans="1:9" x14ac:dyDescent="0.35">
      <c r="A2040" s="8"/>
      <c r="B2040" s="8"/>
      <c r="C2040" s="8"/>
      <c r="D2040" s="28"/>
      <c r="E2040" s="8"/>
      <c r="F2040" s="8"/>
      <c r="G2040" s="8"/>
      <c r="H2040" s="28"/>
      <c r="I2040" s="28"/>
    </row>
    <row r="2041" spans="1:9" x14ac:dyDescent="0.35">
      <c r="A2041" s="8"/>
      <c r="B2041" s="8"/>
      <c r="C2041" s="8"/>
      <c r="D2041" s="28"/>
      <c r="E2041" s="8"/>
      <c r="F2041" s="8"/>
      <c r="G2041" s="8"/>
      <c r="H2041" s="28"/>
      <c r="I2041" s="28"/>
    </row>
    <row r="2042" spans="1:9" x14ac:dyDescent="0.35">
      <c r="A2042" s="8"/>
      <c r="B2042" s="8"/>
      <c r="C2042" s="8"/>
      <c r="D2042" s="28"/>
      <c r="E2042" s="8"/>
      <c r="F2042" s="8"/>
      <c r="G2042" s="8"/>
      <c r="H2042" s="28"/>
      <c r="I2042" s="28"/>
    </row>
    <row r="2043" spans="1:9" x14ac:dyDescent="0.35">
      <c r="A2043" s="8"/>
      <c r="B2043" s="8"/>
      <c r="C2043" s="8"/>
      <c r="D2043" s="28"/>
      <c r="E2043" s="8"/>
      <c r="F2043" s="8"/>
      <c r="G2043" s="8"/>
      <c r="H2043" s="28"/>
      <c r="I2043" s="28"/>
    </row>
    <row r="2044" spans="1:9" x14ac:dyDescent="0.35">
      <c r="A2044" s="8"/>
      <c r="B2044" s="8"/>
      <c r="C2044" s="8"/>
      <c r="D2044" s="28"/>
      <c r="E2044" s="8"/>
      <c r="F2044" s="8"/>
      <c r="G2044" s="8"/>
      <c r="H2044" s="28"/>
      <c r="I2044" s="28"/>
    </row>
    <row r="2045" spans="1:9" x14ac:dyDescent="0.35">
      <c r="A2045" s="8"/>
      <c r="B2045" s="8"/>
      <c r="C2045" s="8"/>
      <c r="D2045" s="28"/>
      <c r="E2045" s="8"/>
      <c r="F2045" s="8"/>
      <c r="G2045" s="8"/>
      <c r="H2045" s="28"/>
      <c r="I2045" s="28"/>
    </row>
    <row r="2046" spans="1:9" x14ac:dyDescent="0.35">
      <c r="A2046" s="8"/>
      <c r="B2046" s="8"/>
      <c r="C2046" s="8"/>
      <c r="D2046" s="28"/>
      <c r="E2046" s="8"/>
      <c r="F2046" s="8"/>
      <c r="G2046" s="8"/>
      <c r="H2046" s="28"/>
      <c r="I2046" s="28"/>
    </row>
    <row r="2047" spans="1:9" x14ac:dyDescent="0.35">
      <c r="A2047" s="8"/>
      <c r="B2047" s="8"/>
      <c r="C2047" s="8"/>
      <c r="D2047" s="28"/>
      <c r="E2047" s="8"/>
      <c r="F2047" s="8"/>
      <c r="G2047" s="8"/>
      <c r="H2047" s="28"/>
      <c r="I2047" s="28"/>
    </row>
    <row r="2048" spans="1:9" x14ac:dyDescent="0.35">
      <c r="A2048" s="8"/>
      <c r="B2048" s="8"/>
      <c r="C2048" s="8"/>
      <c r="D2048" s="28"/>
      <c r="E2048" s="8"/>
      <c r="F2048" s="8"/>
      <c r="G2048" s="8"/>
      <c r="H2048" s="28"/>
      <c r="I2048" s="28"/>
    </row>
    <row r="2049" spans="1:9" x14ac:dyDescent="0.35">
      <c r="A2049" s="8"/>
      <c r="B2049" s="8"/>
      <c r="C2049" s="8"/>
      <c r="D2049" s="28"/>
      <c r="E2049" s="8"/>
      <c r="F2049" s="8"/>
      <c r="G2049" s="8"/>
      <c r="H2049" s="28"/>
      <c r="I2049" s="28"/>
    </row>
    <row r="2050" spans="1:9" x14ac:dyDescent="0.35">
      <c r="A2050" s="8"/>
      <c r="B2050" s="8"/>
      <c r="C2050" s="8"/>
      <c r="D2050" s="28"/>
      <c r="E2050" s="8"/>
      <c r="F2050" s="8"/>
      <c r="G2050" s="8"/>
      <c r="H2050" s="28"/>
      <c r="I2050" s="28"/>
    </row>
    <row r="2051" spans="1:9" x14ac:dyDescent="0.35">
      <c r="A2051" s="8"/>
      <c r="B2051" s="8"/>
      <c r="C2051" s="8"/>
      <c r="D2051" s="28"/>
      <c r="E2051" s="8"/>
      <c r="F2051" s="8"/>
      <c r="G2051" s="8"/>
      <c r="H2051" s="28"/>
      <c r="I2051" s="28"/>
    </row>
    <row r="2052" spans="1:9" x14ac:dyDescent="0.35">
      <c r="A2052" s="8"/>
      <c r="B2052" s="8"/>
      <c r="C2052" s="8"/>
      <c r="D2052" s="28"/>
      <c r="E2052" s="8"/>
      <c r="F2052" s="8"/>
      <c r="G2052" s="8"/>
      <c r="H2052" s="28"/>
      <c r="I2052" s="28"/>
    </row>
    <row r="2053" spans="1:9" x14ac:dyDescent="0.35">
      <c r="A2053" s="8"/>
      <c r="B2053" s="8"/>
      <c r="C2053" s="8"/>
      <c r="D2053" s="28"/>
      <c r="E2053" s="8"/>
      <c r="F2053" s="8"/>
      <c r="G2053" s="8"/>
      <c r="H2053" s="28"/>
      <c r="I2053" s="28"/>
    </row>
    <row r="2054" spans="1:9" x14ac:dyDescent="0.35">
      <c r="A2054" s="8"/>
      <c r="B2054" s="8"/>
      <c r="C2054" s="8"/>
      <c r="D2054" s="28"/>
      <c r="E2054" s="8"/>
      <c r="F2054" s="8"/>
      <c r="G2054" s="8"/>
      <c r="H2054" s="28"/>
      <c r="I2054" s="28"/>
    </row>
    <row r="2055" spans="1:9" x14ac:dyDescent="0.35">
      <c r="A2055" s="8"/>
      <c r="B2055" s="8"/>
      <c r="C2055" s="8"/>
      <c r="D2055" s="28"/>
      <c r="E2055" s="8"/>
      <c r="F2055" s="8"/>
      <c r="G2055" s="8"/>
      <c r="H2055" s="28"/>
      <c r="I2055" s="28"/>
    </row>
    <row r="2056" spans="1:9" x14ac:dyDescent="0.35">
      <c r="A2056" s="8"/>
      <c r="B2056" s="8"/>
      <c r="C2056" s="8"/>
      <c r="D2056" s="28"/>
      <c r="E2056" s="8"/>
      <c r="F2056" s="8"/>
      <c r="G2056" s="8"/>
      <c r="H2056" s="28"/>
      <c r="I2056" s="28"/>
    </row>
    <row r="2057" spans="1:9" x14ac:dyDescent="0.35">
      <c r="A2057" s="8"/>
      <c r="B2057" s="8"/>
      <c r="C2057" s="8"/>
      <c r="D2057" s="28"/>
      <c r="E2057" s="8"/>
      <c r="F2057" s="8"/>
      <c r="G2057" s="8"/>
      <c r="H2057" s="28"/>
      <c r="I2057" s="28"/>
    </row>
    <row r="2058" spans="1:9" x14ac:dyDescent="0.35">
      <c r="A2058" s="8"/>
      <c r="B2058" s="8"/>
      <c r="C2058" s="8"/>
      <c r="D2058" s="28"/>
      <c r="E2058" s="8"/>
      <c r="F2058" s="8"/>
      <c r="G2058" s="8"/>
      <c r="H2058" s="28"/>
      <c r="I2058" s="28"/>
    </row>
    <row r="2059" spans="1:9" x14ac:dyDescent="0.35">
      <c r="A2059" s="8"/>
      <c r="B2059" s="8"/>
      <c r="C2059" s="8"/>
      <c r="D2059" s="28"/>
      <c r="E2059" s="8"/>
      <c r="F2059" s="8"/>
      <c r="G2059" s="8"/>
      <c r="H2059" s="28"/>
      <c r="I2059" s="28"/>
    </row>
    <row r="2060" spans="1:9" x14ac:dyDescent="0.35">
      <c r="A2060" s="8"/>
      <c r="B2060" s="8"/>
      <c r="C2060" s="8"/>
      <c r="D2060" s="28"/>
      <c r="E2060" s="8"/>
      <c r="F2060" s="8"/>
      <c r="G2060" s="8"/>
      <c r="H2060" s="28"/>
      <c r="I2060" s="28"/>
    </row>
    <row r="2061" spans="1:9" x14ac:dyDescent="0.35">
      <c r="A2061" s="8"/>
      <c r="B2061" s="8"/>
      <c r="C2061" s="8"/>
      <c r="D2061" s="28"/>
      <c r="E2061" s="8"/>
      <c r="F2061" s="8"/>
      <c r="G2061" s="8"/>
      <c r="H2061" s="28"/>
      <c r="I2061" s="28"/>
    </row>
    <row r="2062" spans="1:9" x14ac:dyDescent="0.35">
      <c r="A2062" s="8"/>
      <c r="B2062" s="8"/>
      <c r="C2062" s="8"/>
      <c r="D2062" s="28"/>
      <c r="E2062" s="8"/>
      <c r="F2062" s="8"/>
      <c r="G2062" s="8"/>
      <c r="H2062" s="28"/>
      <c r="I2062" s="28"/>
    </row>
    <row r="2063" spans="1:9" x14ac:dyDescent="0.35">
      <c r="A2063" s="8"/>
      <c r="B2063" s="8"/>
      <c r="C2063" s="8"/>
      <c r="D2063" s="28"/>
      <c r="E2063" s="8"/>
      <c r="F2063" s="8"/>
      <c r="G2063" s="8"/>
      <c r="H2063" s="28"/>
      <c r="I2063" s="28"/>
    </row>
    <row r="2064" spans="1:9" x14ac:dyDescent="0.35">
      <c r="A2064" s="8"/>
      <c r="B2064" s="8"/>
      <c r="C2064" s="8"/>
      <c r="D2064" s="28"/>
      <c r="E2064" s="8"/>
      <c r="F2064" s="8"/>
      <c r="G2064" s="8"/>
      <c r="H2064" s="28"/>
      <c r="I2064" s="28"/>
    </row>
    <row r="2065" spans="1:9" x14ac:dyDescent="0.35">
      <c r="A2065" s="8"/>
      <c r="B2065" s="8"/>
      <c r="C2065" s="8"/>
      <c r="D2065" s="28"/>
      <c r="E2065" s="8"/>
      <c r="F2065" s="8"/>
      <c r="G2065" s="8"/>
      <c r="H2065" s="28"/>
      <c r="I2065" s="28"/>
    </row>
    <row r="2066" spans="1:9" x14ac:dyDescent="0.35">
      <c r="A2066" s="8"/>
      <c r="B2066" s="8"/>
      <c r="C2066" s="8"/>
      <c r="D2066" s="28"/>
      <c r="E2066" s="8"/>
      <c r="F2066" s="8"/>
      <c r="G2066" s="8"/>
      <c r="H2066" s="28"/>
      <c r="I2066" s="28"/>
    </row>
    <row r="2067" spans="1:9" x14ac:dyDescent="0.35">
      <c r="A2067" s="8"/>
      <c r="B2067" s="8"/>
      <c r="C2067" s="8"/>
      <c r="D2067" s="28"/>
      <c r="E2067" s="8"/>
      <c r="F2067" s="8"/>
      <c r="G2067" s="8"/>
      <c r="H2067" s="28"/>
      <c r="I2067" s="28"/>
    </row>
    <row r="2068" spans="1:9" x14ac:dyDescent="0.35">
      <c r="A2068" s="8"/>
      <c r="B2068" s="8"/>
      <c r="C2068" s="8"/>
      <c r="D2068" s="28"/>
      <c r="E2068" s="8"/>
      <c r="F2068" s="8"/>
      <c r="G2068" s="8"/>
      <c r="H2068" s="28"/>
      <c r="I2068" s="28"/>
    </row>
    <row r="2069" spans="1:9" x14ac:dyDescent="0.35">
      <c r="A2069" s="8"/>
      <c r="B2069" s="8"/>
      <c r="C2069" s="8"/>
      <c r="D2069" s="28"/>
      <c r="E2069" s="8"/>
      <c r="F2069" s="8"/>
      <c r="G2069" s="8"/>
      <c r="H2069" s="28"/>
      <c r="I2069" s="28"/>
    </row>
    <row r="2070" spans="1:9" x14ac:dyDescent="0.35">
      <c r="A2070" s="8"/>
      <c r="B2070" s="8"/>
      <c r="C2070" s="8"/>
      <c r="D2070" s="28"/>
      <c r="E2070" s="8"/>
      <c r="F2070" s="8"/>
      <c r="G2070" s="8"/>
      <c r="H2070" s="28"/>
      <c r="I2070" s="28"/>
    </row>
    <row r="2071" spans="1:9" x14ac:dyDescent="0.35">
      <c r="A2071" s="8"/>
      <c r="B2071" s="8"/>
      <c r="C2071" s="8"/>
      <c r="D2071" s="28"/>
      <c r="E2071" s="8"/>
      <c r="F2071" s="8"/>
      <c r="G2071" s="8"/>
      <c r="H2071" s="28"/>
      <c r="I2071" s="28"/>
    </row>
    <row r="2072" spans="1:9" x14ac:dyDescent="0.35">
      <c r="A2072" s="8"/>
      <c r="B2072" s="8"/>
      <c r="C2072" s="8"/>
      <c r="D2072" s="28"/>
      <c r="E2072" s="8"/>
      <c r="F2072" s="8"/>
      <c r="G2072" s="8"/>
      <c r="H2072" s="28"/>
      <c r="I2072" s="28"/>
    </row>
    <row r="2073" spans="1:9" x14ac:dyDescent="0.35">
      <c r="A2073" s="8"/>
      <c r="B2073" s="8"/>
      <c r="C2073" s="8"/>
      <c r="D2073" s="28"/>
      <c r="E2073" s="8"/>
      <c r="F2073" s="8"/>
      <c r="G2073" s="8"/>
      <c r="H2073" s="28"/>
      <c r="I2073" s="28"/>
    </row>
    <row r="2074" spans="1:9" x14ac:dyDescent="0.35">
      <c r="A2074" s="8"/>
      <c r="B2074" s="8"/>
      <c r="C2074" s="8"/>
      <c r="D2074" s="28"/>
      <c r="E2074" s="8"/>
      <c r="F2074" s="8"/>
      <c r="G2074" s="8"/>
      <c r="H2074" s="28"/>
      <c r="I2074" s="28"/>
    </row>
    <row r="2075" spans="1:9" x14ac:dyDescent="0.35">
      <c r="A2075" s="8"/>
      <c r="B2075" s="8"/>
      <c r="C2075" s="8"/>
      <c r="D2075" s="28"/>
      <c r="E2075" s="8"/>
      <c r="F2075" s="8"/>
      <c r="G2075" s="8"/>
      <c r="H2075" s="28"/>
      <c r="I2075" s="28"/>
    </row>
    <row r="2076" spans="1:9" x14ac:dyDescent="0.35">
      <c r="A2076" s="8"/>
      <c r="B2076" s="8"/>
      <c r="C2076" s="8"/>
      <c r="D2076" s="28"/>
      <c r="E2076" s="8"/>
      <c r="F2076" s="8"/>
      <c r="G2076" s="8"/>
      <c r="H2076" s="28"/>
      <c r="I2076" s="28"/>
    </row>
    <row r="2077" spans="1:9" x14ac:dyDescent="0.35">
      <c r="A2077" s="8"/>
      <c r="B2077" s="8"/>
      <c r="C2077" s="8"/>
      <c r="D2077" s="28"/>
      <c r="E2077" s="8"/>
      <c r="F2077" s="8"/>
      <c r="G2077" s="8"/>
      <c r="H2077" s="28"/>
      <c r="I2077" s="28"/>
    </row>
    <row r="2078" spans="1:9" x14ac:dyDescent="0.35">
      <c r="A2078" s="8"/>
      <c r="B2078" s="8"/>
      <c r="C2078" s="8"/>
      <c r="D2078" s="28"/>
      <c r="E2078" s="8"/>
      <c r="F2078" s="8"/>
      <c r="G2078" s="8"/>
      <c r="H2078" s="28"/>
      <c r="I2078" s="28"/>
    </row>
    <row r="2079" spans="1:9" x14ac:dyDescent="0.35">
      <c r="A2079" s="8"/>
      <c r="B2079" s="8"/>
      <c r="C2079" s="8"/>
      <c r="D2079" s="28"/>
      <c r="E2079" s="8"/>
      <c r="F2079" s="8"/>
      <c r="G2079" s="8"/>
      <c r="H2079" s="28"/>
      <c r="I2079" s="28"/>
    </row>
    <row r="2080" spans="1:9" x14ac:dyDescent="0.35">
      <c r="A2080" s="8"/>
      <c r="B2080" s="8"/>
      <c r="C2080" s="8"/>
      <c r="D2080" s="28"/>
      <c r="E2080" s="8"/>
      <c r="F2080" s="8"/>
      <c r="G2080" s="8"/>
      <c r="H2080" s="28"/>
      <c r="I2080" s="28"/>
    </row>
    <row r="2081" spans="1:9" x14ac:dyDescent="0.35">
      <c r="A2081" s="8"/>
      <c r="B2081" s="8"/>
      <c r="C2081" s="8"/>
      <c r="D2081" s="28"/>
      <c r="E2081" s="8"/>
      <c r="F2081" s="8"/>
      <c r="G2081" s="8"/>
      <c r="H2081" s="28"/>
      <c r="I2081" s="28"/>
    </row>
    <row r="2082" spans="1:9" x14ac:dyDescent="0.35">
      <c r="A2082" s="8"/>
      <c r="B2082" s="8"/>
      <c r="C2082" s="8"/>
      <c r="D2082" s="28"/>
      <c r="E2082" s="8"/>
      <c r="F2082" s="8"/>
      <c r="G2082" s="8"/>
      <c r="H2082" s="28"/>
      <c r="I2082" s="28"/>
    </row>
    <row r="2083" spans="1:9" x14ac:dyDescent="0.35">
      <c r="A2083" s="8"/>
      <c r="B2083" s="8"/>
      <c r="C2083" s="8"/>
      <c r="D2083" s="28"/>
      <c r="E2083" s="8"/>
      <c r="F2083" s="8"/>
      <c r="G2083" s="8"/>
      <c r="H2083" s="28"/>
      <c r="I2083" s="28"/>
    </row>
    <row r="2084" spans="1:9" x14ac:dyDescent="0.35">
      <c r="A2084" s="8"/>
      <c r="B2084" s="8"/>
      <c r="C2084" s="8"/>
      <c r="D2084" s="28"/>
      <c r="E2084" s="8"/>
      <c r="F2084" s="8"/>
      <c r="G2084" s="8"/>
      <c r="H2084" s="28"/>
      <c r="I2084" s="28"/>
    </row>
    <row r="2085" spans="1:9" x14ac:dyDescent="0.35">
      <c r="A2085" s="8"/>
      <c r="B2085" s="8"/>
      <c r="C2085" s="8"/>
      <c r="D2085" s="28"/>
      <c r="E2085" s="8"/>
      <c r="F2085" s="8"/>
      <c r="G2085" s="8"/>
      <c r="H2085" s="28"/>
      <c r="I2085" s="28"/>
    </row>
    <row r="2086" spans="1:9" x14ac:dyDescent="0.35">
      <c r="A2086" s="8"/>
      <c r="B2086" s="8"/>
      <c r="C2086" s="8"/>
      <c r="D2086" s="28"/>
      <c r="E2086" s="8"/>
      <c r="F2086" s="8"/>
      <c r="G2086" s="8"/>
      <c r="H2086" s="28"/>
      <c r="I2086" s="28"/>
    </row>
    <row r="2087" spans="1:9" x14ac:dyDescent="0.35">
      <c r="A2087" s="8"/>
      <c r="B2087" s="8"/>
      <c r="C2087" s="8"/>
      <c r="D2087" s="28"/>
      <c r="E2087" s="8"/>
      <c r="F2087" s="8"/>
      <c r="G2087" s="8"/>
      <c r="H2087" s="28"/>
      <c r="I2087" s="28"/>
    </row>
    <row r="2088" spans="1:9" x14ac:dyDescent="0.35">
      <c r="A2088" s="8"/>
      <c r="B2088" s="8"/>
      <c r="C2088" s="8"/>
      <c r="D2088" s="28"/>
      <c r="E2088" s="8"/>
      <c r="F2088" s="8"/>
      <c r="G2088" s="8"/>
      <c r="H2088" s="28"/>
      <c r="I2088" s="28"/>
    </row>
    <row r="2089" spans="1:9" x14ac:dyDescent="0.35">
      <c r="A2089" s="8"/>
      <c r="B2089" s="8"/>
      <c r="C2089" s="8"/>
      <c r="D2089" s="28"/>
      <c r="E2089" s="8"/>
      <c r="F2089" s="8"/>
      <c r="G2089" s="8"/>
      <c r="H2089" s="28"/>
      <c r="I2089" s="28"/>
    </row>
    <row r="2090" spans="1:9" x14ac:dyDescent="0.35">
      <c r="A2090" s="8"/>
      <c r="B2090" s="8"/>
      <c r="C2090" s="8"/>
      <c r="D2090" s="28"/>
      <c r="E2090" s="8"/>
      <c r="F2090" s="8"/>
      <c r="G2090" s="8"/>
      <c r="H2090" s="28"/>
      <c r="I2090" s="28"/>
    </row>
    <row r="2091" spans="1:9" x14ac:dyDescent="0.35">
      <c r="A2091" s="8"/>
      <c r="B2091" s="8"/>
      <c r="C2091" s="8"/>
      <c r="D2091" s="28"/>
      <c r="E2091" s="8"/>
      <c r="F2091" s="8"/>
      <c r="G2091" s="8"/>
      <c r="H2091" s="28"/>
      <c r="I2091" s="28"/>
    </row>
    <row r="2092" spans="1:9" x14ac:dyDescent="0.35">
      <c r="A2092" s="8"/>
      <c r="B2092" s="8"/>
      <c r="C2092" s="8"/>
      <c r="D2092" s="28"/>
      <c r="E2092" s="8"/>
      <c r="F2092" s="8"/>
      <c r="G2092" s="8"/>
      <c r="H2092" s="28"/>
      <c r="I2092" s="28"/>
    </row>
    <row r="2093" spans="1:9" x14ac:dyDescent="0.35">
      <c r="A2093" s="8"/>
      <c r="B2093" s="8"/>
      <c r="C2093" s="8"/>
      <c r="D2093" s="28"/>
      <c r="E2093" s="8"/>
      <c r="F2093" s="8"/>
      <c r="G2093" s="8"/>
      <c r="H2093" s="28"/>
      <c r="I2093" s="28"/>
    </row>
    <row r="2094" spans="1:9" x14ac:dyDescent="0.35">
      <c r="A2094" s="8"/>
      <c r="B2094" s="8"/>
      <c r="C2094" s="8"/>
      <c r="D2094" s="28"/>
      <c r="E2094" s="8"/>
      <c r="F2094" s="8"/>
      <c r="G2094" s="8"/>
      <c r="H2094" s="28"/>
      <c r="I2094" s="28"/>
    </row>
    <row r="2095" spans="1:9" x14ac:dyDescent="0.35">
      <c r="A2095" s="8"/>
      <c r="B2095" s="8"/>
      <c r="C2095" s="8"/>
      <c r="D2095" s="28"/>
      <c r="E2095" s="8"/>
      <c r="F2095" s="8"/>
      <c r="G2095" s="8"/>
      <c r="H2095" s="28"/>
      <c r="I2095" s="28"/>
    </row>
    <row r="2096" spans="1:9" x14ac:dyDescent="0.35">
      <c r="A2096" s="8"/>
      <c r="B2096" s="8"/>
      <c r="C2096" s="8"/>
      <c r="D2096" s="28"/>
      <c r="E2096" s="8"/>
      <c r="F2096" s="8"/>
      <c r="G2096" s="8"/>
      <c r="H2096" s="28"/>
      <c r="I2096" s="28"/>
    </row>
    <row r="2097" spans="1:9" x14ac:dyDescent="0.35">
      <c r="A2097" s="8"/>
      <c r="B2097" s="8"/>
      <c r="C2097" s="8"/>
      <c r="D2097" s="28"/>
      <c r="E2097" s="8"/>
      <c r="F2097" s="8"/>
      <c r="G2097" s="8"/>
      <c r="H2097" s="28"/>
      <c r="I2097" s="28"/>
    </row>
    <row r="2098" spans="1:9" x14ac:dyDescent="0.35">
      <c r="A2098" s="8"/>
      <c r="B2098" s="8"/>
      <c r="C2098" s="8"/>
      <c r="D2098" s="28"/>
      <c r="E2098" s="8"/>
      <c r="F2098" s="8"/>
      <c r="G2098" s="8"/>
      <c r="H2098" s="28"/>
      <c r="I2098" s="28"/>
    </row>
    <row r="2099" spans="1:9" x14ac:dyDescent="0.35">
      <c r="A2099" s="8"/>
      <c r="B2099" s="8"/>
      <c r="C2099" s="8"/>
      <c r="D2099" s="28"/>
      <c r="E2099" s="8"/>
      <c r="F2099" s="8"/>
      <c r="G2099" s="8"/>
      <c r="H2099" s="28"/>
      <c r="I2099" s="28"/>
    </row>
    <row r="2100" spans="1:9" x14ac:dyDescent="0.35">
      <c r="A2100" s="8"/>
      <c r="B2100" s="8"/>
      <c r="C2100" s="8"/>
      <c r="D2100" s="28"/>
      <c r="E2100" s="8"/>
      <c r="F2100" s="8"/>
      <c r="G2100" s="8"/>
      <c r="H2100" s="28"/>
      <c r="I2100" s="28"/>
    </row>
    <row r="2101" spans="1:9" x14ac:dyDescent="0.35">
      <c r="A2101" s="8"/>
      <c r="B2101" s="8"/>
      <c r="C2101" s="8"/>
      <c r="D2101" s="28"/>
      <c r="E2101" s="8"/>
      <c r="F2101" s="8"/>
      <c r="G2101" s="8"/>
      <c r="H2101" s="28"/>
      <c r="I2101" s="28"/>
    </row>
    <row r="2102" spans="1:9" x14ac:dyDescent="0.35">
      <c r="A2102" s="8"/>
      <c r="B2102" s="8"/>
      <c r="C2102" s="8"/>
      <c r="D2102" s="28"/>
      <c r="E2102" s="8"/>
      <c r="F2102" s="8"/>
      <c r="G2102" s="8"/>
      <c r="H2102" s="28"/>
      <c r="I2102" s="28"/>
    </row>
    <row r="2103" spans="1:9" x14ac:dyDescent="0.35">
      <c r="A2103" s="8"/>
      <c r="B2103" s="8"/>
      <c r="C2103" s="8"/>
      <c r="D2103" s="28"/>
      <c r="E2103" s="8"/>
      <c r="F2103" s="8"/>
      <c r="G2103" s="8"/>
      <c r="H2103" s="28"/>
      <c r="I2103" s="28"/>
    </row>
    <row r="2104" spans="1:9" x14ac:dyDescent="0.35">
      <c r="A2104" s="8"/>
      <c r="B2104" s="8"/>
      <c r="C2104" s="8"/>
      <c r="D2104" s="28"/>
      <c r="E2104" s="8"/>
      <c r="F2104" s="8"/>
      <c r="G2104" s="8"/>
      <c r="H2104" s="28"/>
      <c r="I2104" s="28"/>
    </row>
    <row r="2105" spans="1:9" x14ac:dyDescent="0.35">
      <c r="A2105" s="8"/>
      <c r="B2105" s="8"/>
      <c r="C2105" s="8"/>
      <c r="D2105" s="28"/>
      <c r="E2105" s="8"/>
      <c r="F2105" s="8"/>
      <c r="G2105" s="8"/>
      <c r="H2105" s="28"/>
      <c r="I2105" s="28"/>
    </row>
    <row r="2106" spans="1:9" x14ac:dyDescent="0.35">
      <c r="A2106" s="8"/>
      <c r="B2106" s="8"/>
      <c r="C2106" s="8"/>
      <c r="D2106" s="28"/>
      <c r="E2106" s="8"/>
      <c r="F2106" s="8"/>
      <c r="G2106" s="8"/>
      <c r="H2106" s="28"/>
      <c r="I2106" s="28"/>
    </row>
    <row r="2107" spans="1:9" x14ac:dyDescent="0.35">
      <c r="A2107" s="8"/>
      <c r="B2107" s="8"/>
      <c r="C2107" s="8"/>
      <c r="D2107" s="28"/>
      <c r="E2107" s="8"/>
      <c r="F2107" s="8"/>
      <c r="G2107" s="8"/>
      <c r="H2107" s="28"/>
      <c r="I2107" s="28"/>
    </row>
    <row r="2108" spans="1:9" x14ac:dyDescent="0.35">
      <c r="A2108" s="8"/>
      <c r="B2108" s="8"/>
      <c r="C2108" s="8"/>
      <c r="D2108" s="28"/>
      <c r="E2108" s="8"/>
      <c r="F2108" s="8"/>
      <c r="G2108" s="8"/>
      <c r="H2108" s="28"/>
      <c r="I2108" s="28"/>
    </row>
    <row r="2109" spans="1:9" x14ac:dyDescent="0.35">
      <c r="A2109" s="8"/>
      <c r="B2109" s="8"/>
      <c r="C2109" s="8"/>
      <c r="D2109" s="28"/>
      <c r="E2109" s="8"/>
      <c r="F2109" s="8"/>
      <c r="G2109" s="8"/>
      <c r="H2109" s="28"/>
      <c r="I2109" s="28"/>
    </row>
    <row r="2110" spans="1:9" x14ac:dyDescent="0.35">
      <c r="A2110" s="8"/>
      <c r="B2110" s="8"/>
      <c r="C2110" s="8"/>
      <c r="D2110" s="28"/>
      <c r="E2110" s="8"/>
      <c r="F2110" s="8"/>
      <c r="G2110" s="8"/>
      <c r="H2110" s="28"/>
      <c r="I2110" s="28"/>
    </row>
    <row r="2111" spans="1:9" x14ac:dyDescent="0.35">
      <c r="A2111" s="8"/>
      <c r="B2111" s="8"/>
      <c r="C2111" s="8"/>
      <c r="D2111" s="28"/>
      <c r="E2111" s="8"/>
      <c r="F2111" s="8"/>
      <c r="G2111" s="8"/>
      <c r="H2111" s="28"/>
      <c r="I2111" s="28"/>
    </row>
    <row r="2112" spans="1:9" x14ac:dyDescent="0.35">
      <c r="A2112" s="8"/>
      <c r="B2112" s="8"/>
      <c r="C2112" s="8"/>
      <c r="D2112" s="28"/>
      <c r="E2112" s="8"/>
      <c r="F2112" s="8"/>
      <c r="G2112" s="8"/>
      <c r="H2112" s="28"/>
      <c r="I2112" s="28"/>
    </row>
    <row r="2113" spans="1:9" x14ac:dyDescent="0.35">
      <c r="A2113" s="8"/>
      <c r="B2113" s="8"/>
      <c r="C2113" s="8"/>
      <c r="D2113" s="28"/>
      <c r="E2113" s="8"/>
      <c r="F2113" s="8"/>
      <c r="G2113" s="8"/>
      <c r="H2113" s="28"/>
      <c r="I2113" s="28"/>
    </row>
    <row r="2114" spans="1:9" x14ac:dyDescent="0.35">
      <c r="A2114" s="8"/>
      <c r="B2114" s="8"/>
      <c r="C2114" s="8"/>
      <c r="D2114" s="28"/>
      <c r="E2114" s="8"/>
      <c r="F2114" s="8"/>
      <c r="G2114" s="8"/>
      <c r="H2114" s="28"/>
      <c r="I2114" s="28"/>
    </row>
    <row r="2115" spans="1:9" x14ac:dyDescent="0.35">
      <c r="A2115" s="8"/>
      <c r="B2115" s="8"/>
      <c r="C2115" s="8"/>
      <c r="D2115" s="28"/>
      <c r="E2115" s="8"/>
      <c r="F2115" s="8"/>
      <c r="G2115" s="8"/>
      <c r="H2115" s="28"/>
      <c r="I2115" s="28"/>
    </row>
    <row r="2116" spans="1:9" x14ac:dyDescent="0.35">
      <c r="A2116" s="8"/>
      <c r="B2116" s="8"/>
      <c r="C2116" s="8"/>
      <c r="D2116" s="28"/>
      <c r="E2116" s="8"/>
      <c r="F2116" s="8"/>
      <c r="G2116" s="8"/>
      <c r="H2116" s="28"/>
      <c r="I2116" s="28"/>
    </row>
    <row r="2117" spans="1:9" x14ac:dyDescent="0.35">
      <c r="A2117" s="8"/>
      <c r="B2117" s="8"/>
      <c r="C2117" s="8"/>
      <c r="D2117" s="28"/>
      <c r="E2117" s="8"/>
      <c r="F2117" s="8"/>
      <c r="G2117" s="8"/>
      <c r="H2117" s="28"/>
      <c r="I2117" s="28"/>
    </row>
    <row r="2118" spans="1:9" x14ac:dyDescent="0.35">
      <c r="A2118" s="8"/>
      <c r="B2118" s="8"/>
      <c r="C2118" s="8"/>
      <c r="D2118" s="28"/>
      <c r="E2118" s="8"/>
      <c r="F2118" s="8"/>
      <c r="G2118" s="8"/>
      <c r="H2118" s="28"/>
      <c r="I2118" s="28"/>
    </row>
    <row r="2119" spans="1:9" x14ac:dyDescent="0.35">
      <c r="A2119" s="8"/>
      <c r="B2119" s="8"/>
      <c r="C2119" s="8"/>
      <c r="D2119" s="28"/>
      <c r="E2119" s="8"/>
      <c r="F2119" s="8"/>
      <c r="G2119" s="8"/>
      <c r="H2119" s="28"/>
      <c r="I2119" s="28"/>
    </row>
    <row r="2120" spans="1:9" x14ac:dyDescent="0.35">
      <c r="A2120" s="8"/>
      <c r="B2120" s="8"/>
      <c r="C2120" s="8"/>
      <c r="D2120" s="28"/>
      <c r="E2120" s="8"/>
      <c r="F2120" s="8"/>
      <c r="G2120" s="8"/>
      <c r="H2120" s="28"/>
      <c r="I2120" s="28"/>
    </row>
    <row r="2121" spans="1:9" x14ac:dyDescent="0.35">
      <c r="A2121" s="8"/>
      <c r="B2121" s="8"/>
      <c r="C2121" s="8"/>
      <c r="D2121" s="28"/>
      <c r="E2121" s="8"/>
      <c r="F2121" s="8"/>
      <c r="G2121" s="8"/>
      <c r="H2121" s="28"/>
      <c r="I2121" s="28"/>
    </row>
    <row r="2122" spans="1:9" x14ac:dyDescent="0.35">
      <c r="A2122" s="8"/>
      <c r="B2122" s="8"/>
      <c r="C2122" s="8"/>
      <c r="D2122" s="28"/>
      <c r="E2122" s="8"/>
      <c r="F2122" s="8"/>
      <c r="G2122" s="8"/>
      <c r="H2122" s="28"/>
      <c r="I2122" s="28"/>
    </row>
    <row r="2123" spans="1:9" x14ac:dyDescent="0.35">
      <c r="A2123" s="8"/>
      <c r="B2123" s="8"/>
      <c r="C2123" s="8"/>
      <c r="D2123" s="28"/>
      <c r="E2123" s="8"/>
      <c r="F2123" s="8"/>
      <c r="G2123" s="8"/>
      <c r="H2123" s="28"/>
      <c r="I2123" s="28"/>
    </row>
    <row r="2124" spans="1:9" x14ac:dyDescent="0.35">
      <c r="A2124" s="8"/>
      <c r="B2124" s="8"/>
      <c r="C2124" s="8"/>
      <c r="D2124" s="28"/>
      <c r="E2124" s="8"/>
      <c r="F2124" s="8"/>
      <c r="G2124" s="8"/>
      <c r="H2124" s="28"/>
      <c r="I2124" s="28"/>
    </row>
    <row r="2125" spans="1:9" x14ac:dyDescent="0.35">
      <c r="A2125" s="8"/>
      <c r="B2125" s="8"/>
      <c r="C2125" s="8"/>
      <c r="D2125" s="28"/>
      <c r="E2125" s="8"/>
      <c r="F2125" s="8"/>
      <c r="G2125" s="8"/>
      <c r="H2125" s="28"/>
      <c r="I2125" s="28"/>
    </row>
    <row r="2126" spans="1:9" x14ac:dyDescent="0.35">
      <c r="A2126" s="8"/>
      <c r="B2126" s="8"/>
      <c r="C2126" s="8"/>
      <c r="D2126" s="28"/>
      <c r="E2126" s="8"/>
      <c r="F2126" s="8"/>
      <c r="G2126" s="8"/>
      <c r="H2126" s="28"/>
      <c r="I2126" s="28"/>
    </row>
    <row r="2127" spans="1:9" x14ac:dyDescent="0.35">
      <c r="A2127" s="8"/>
      <c r="B2127" s="8"/>
      <c r="C2127" s="8"/>
      <c r="D2127" s="28"/>
      <c r="E2127" s="8"/>
      <c r="F2127" s="8"/>
      <c r="G2127" s="8"/>
      <c r="H2127" s="28"/>
      <c r="I2127" s="28"/>
    </row>
    <row r="2128" spans="1:9" x14ac:dyDescent="0.35">
      <c r="A2128" s="8"/>
      <c r="B2128" s="8"/>
      <c r="C2128" s="8"/>
      <c r="D2128" s="28"/>
      <c r="E2128" s="8"/>
      <c r="F2128" s="8"/>
      <c r="G2128" s="8"/>
      <c r="H2128" s="28"/>
      <c r="I2128" s="28"/>
    </row>
    <row r="2129" spans="1:9" x14ac:dyDescent="0.35">
      <c r="A2129" s="8"/>
      <c r="B2129" s="8"/>
      <c r="C2129" s="8"/>
      <c r="D2129" s="28"/>
      <c r="E2129" s="8"/>
      <c r="F2129" s="8"/>
      <c r="G2129" s="8"/>
      <c r="H2129" s="28"/>
      <c r="I2129" s="28"/>
    </row>
    <row r="2130" spans="1:9" x14ac:dyDescent="0.35">
      <c r="A2130" s="8"/>
      <c r="B2130" s="8"/>
      <c r="C2130" s="8"/>
      <c r="D2130" s="28"/>
      <c r="E2130" s="8"/>
      <c r="F2130" s="8"/>
      <c r="G2130" s="8"/>
      <c r="H2130" s="28"/>
      <c r="I2130" s="28"/>
    </row>
    <row r="2131" spans="1:9" x14ac:dyDescent="0.35">
      <c r="A2131" s="8"/>
      <c r="B2131" s="8"/>
      <c r="C2131" s="8"/>
      <c r="D2131" s="28"/>
      <c r="E2131" s="8"/>
      <c r="F2131" s="8"/>
      <c r="G2131" s="8"/>
      <c r="H2131" s="28"/>
      <c r="I2131" s="28"/>
    </row>
    <row r="2132" spans="1:9" x14ac:dyDescent="0.35">
      <c r="A2132" s="8"/>
      <c r="B2132" s="8"/>
      <c r="C2132" s="8"/>
      <c r="D2132" s="28"/>
      <c r="E2132" s="8"/>
      <c r="F2132" s="8"/>
      <c r="G2132" s="8"/>
      <c r="H2132" s="28"/>
      <c r="I2132" s="28"/>
    </row>
    <row r="2133" spans="1:9" x14ac:dyDescent="0.35">
      <c r="A2133" s="8"/>
      <c r="B2133" s="8"/>
      <c r="C2133" s="8"/>
      <c r="D2133" s="28"/>
      <c r="E2133" s="8"/>
      <c r="F2133" s="8"/>
      <c r="G2133" s="8"/>
      <c r="H2133" s="28"/>
      <c r="I2133" s="28"/>
    </row>
    <row r="2134" spans="1:9" x14ac:dyDescent="0.35">
      <c r="A2134" s="8"/>
      <c r="B2134" s="8"/>
      <c r="C2134" s="8"/>
      <c r="D2134" s="28"/>
      <c r="E2134" s="8"/>
      <c r="F2134" s="8"/>
      <c r="G2134" s="8"/>
      <c r="H2134" s="28"/>
      <c r="I2134" s="28"/>
    </row>
    <row r="2135" spans="1:9" x14ac:dyDescent="0.35">
      <c r="A2135" s="8"/>
      <c r="B2135" s="8"/>
      <c r="C2135" s="8"/>
      <c r="D2135" s="28"/>
      <c r="E2135" s="8"/>
      <c r="F2135" s="8"/>
      <c r="G2135" s="8"/>
      <c r="H2135" s="28"/>
      <c r="I2135" s="28"/>
    </row>
    <row r="2136" spans="1:9" x14ac:dyDescent="0.35">
      <c r="A2136" s="8"/>
      <c r="B2136" s="8"/>
      <c r="C2136" s="8"/>
      <c r="D2136" s="28"/>
      <c r="E2136" s="8"/>
      <c r="F2136" s="8"/>
      <c r="G2136" s="8"/>
      <c r="H2136" s="28"/>
      <c r="I2136" s="28"/>
    </row>
    <row r="2137" spans="1:9" x14ac:dyDescent="0.35">
      <c r="A2137" s="8"/>
      <c r="B2137" s="8"/>
      <c r="C2137" s="8"/>
      <c r="D2137" s="28"/>
      <c r="E2137" s="8"/>
      <c r="F2137" s="8"/>
      <c r="G2137" s="8"/>
      <c r="H2137" s="28"/>
      <c r="I2137" s="28"/>
    </row>
    <row r="2138" spans="1:9" x14ac:dyDescent="0.35">
      <c r="A2138" s="8"/>
      <c r="B2138" s="8"/>
      <c r="C2138" s="8"/>
      <c r="D2138" s="28"/>
      <c r="E2138" s="8"/>
      <c r="F2138" s="8"/>
      <c r="G2138" s="8"/>
      <c r="H2138" s="28"/>
      <c r="I2138" s="28"/>
    </row>
    <row r="2139" spans="1:9" x14ac:dyDescent="0.35">
      <c r="A2139" s="8"/>
      <c r="B2139" s="8"/>
      <c r="C2139" s="8"/>
      <c r="D2139" s="28"/>
      <c r="E2139" s="8"/>
      <c r="F2139" s="8"/>
      <c r="G2139" s="8"/>
      <c r="H2139" s="28"/>
      <c r="I2139" s="28"/>
    </row>
    <row r="2140" spans="1:9" x14ac:dyDescent="0.35">
      <c r="A2140" s="8"/>
      <c r="B2140" s="8"/>
      <c r="C2140" s="8"/>
      <c r="D2140" s="28"/>
      <c r="E2140" s="8"/>
      <c r="F2140" s="8"/>
      <c r="G2140" s="8"/>
      <c r="H2140" s="28"/>
      <c r="I2140" s="28"/>
    </row>
    <row r="2141" spans="1:9" x14ac:dyDescent="0.35">
      <c r="A2141" s="8"/>
      <c r="B2141" s="8"/>
      <c r="C2141" s="8"/>
      <c r="D2141" s="28"/>
      <c r="E2141" s="8"/>
      <c r="F2141" s="8"/>
      <c r="G2141" s="8"/>
      <c r="H2141" s="28"/>
      <c r="I2141" s="28"/>
    </row>
    <row r="2142" spans="1:9" x14ac:dyDescent="0.35">
      <c r="A2142" s="8"/>
      <c r="B2142" s="8"/>
      <c r="C2142" s="8"/>
      <c r="D2142" s="28"/>
      <c r="E2142" s="8"/>
      <c r="F2142" s="8"/>
      <c r="G2142" s="8"/>
      <c r="H2142" s="28"/>
      <c r="I2142" s="28"/>
    </row>
    <row r="2143" spans="1:9" x14ac:dyDescent="0.35">
      <c r="A2143" s="8"/>
      <c r="B2143" s="8"/>
      <c r="C2143" s="8"/>
      <c r="D2143" s="28"/>
      <c r="E2143" s="8"/>
      <c r="F2143" s="8"/>
      <c r="G2143" s="8"/>
      <c r="H2143" s="28"/>
      <c r="I2143" s="28"/>
    </row>
    <row r="2144" spans="1:9" x14ac:dyDescent="0.35">
      <c r="A2144" s="8"/>
      <c r="B2144" s="8"/>
      <c r="C2144" s="8"/>
      <c r="D2144" s="28"/>
      <c r="E2144" s="8"/>
      <c r="F2144" s="8"/>
      <c r="G2144" s="8"/>
      <c r="H2144" s="28"/>
      <c r="I2144" s="28"/>
    </row>
    <row r="2145" spans="1:9" x14ac:dyDescent="0.35">
      <c r="A2145" s="8"/>
      <c r="B2145" s="8"/>
      <c r="C2145" s="8"/>
      <c r="D2145" s="28"/>
      <c r="E2145" s="8"/>
      <c r="F2145" s="8"/>
      <c r="G2145" s="8"/>
      <c r="H2145" s="28"/>
      <c r="I2145" s="28"/>
    </row>
    <row r="2146" spans="1:9" x14ac:dyDescent="0.35">
      <c r="A2146" s="8"/>
      <c r="B2146" s="8"/>
      <c r="C2146" s="8"/>
      <c r="D2146" s="28"/>
      <c r="E2146" s="8"/>
      <c r="F2146" s="8"/>
      <c r="G2146" s="8"/>
      <c r="H2146" s="28"/>
      <c r="I2146" s="28"/>
    </row>
    <row r="2147" spans="1:9" x14ac:dyDescent="0.35">
      <c r="A2147" s="8"/>
      <c r="B2147" s="8"/>
      <c r="C2147" s="8"/>
      <c r="D2147" s="28"/>
      <c r="E2147" s="8"/>
      <c r="F2147" s="8"/>
      <c r="G2147" s="8"/>
      <c r="H2147" s="28"/>
      <c r="I2147" s="28"/>
    </row>
    <row r="2148" spans="1:9" x14ac:dyDescent="0.35">
      <c r="A2148" s="8"/>
      <c r="B2148" s="8"/>
      <c r="C2148" s="8"/>
      <c r="D2148" s="28"/>
      <c r="E2148" s="8"/>
      <c r="F2148" s="8"/>
      <c r="G2148" s="8"/>
      <c r="H2148" s="28"/>
      <c r="I2148" s="28"/>
    </row>
    <row r="2149" spans="1:9" x14ac:dyDescent="0.35">
      <c r="A2149" s="8"/>
      <c r="B2149" s="8"/>
      <c r="C2149" s="8"/>
      <c r="D2149" s="28"/>
      <c r="E2149" s="8"/>
      <c r="F2149" s="8"/>
      <c r="G2149" s="8"/>
      <c r="H2149" s="28"/>
      <c r="I2149" s="28"/>
    </row>
    <row r="2150" spans="1:9" x14ac:dyDescent="0.35">
      <c r="A2150" s="8"/>
      <c r="B2150" s="8"/>
      <c r="C2150" s="8"/>
      <c r="D2150" s="28"/>
      <c r="E2150" s="8"/>
      <c r="F2150" s="8"/>
      <c r="G2150" s="8"/>
      <c r="H2150" s="28"/>
      <c r="I2150" s="28"/>
    </row>
    <row r="2151" spans="1:9" x14ac:dyDescent="0.35">
      <c r="A2151" s="8"/>
      <c r="B2151" s="8"/>
      <c r="C2151" s="8"/>
      <c r="D2151" s="28"/>
      <c r="E2151" s="8"/>
      <c r="F2151" s="8"/>
      <c r="G2151" s="8"/>
      <c r="H2151" s="28"/>
      <c r="I2151" s="28"/>
    </row>
    <row r="2152" spans="1:9" x14ac:dyDescent="0.35">
      <c r="A2152" s="8"/>
      <c r="B2152" s="8"/>
      <c r="C2152" s="8"/>
      <c r="D2152" s="28"/>
      <c r="E2152" s="8"/>
      <c r="F2152" s="8"/>
      <c r="G2152" s="8"/>
      <c r="H2152" s="28"/>
      <c r="I2152" s="28"/>
    </row>
    <row r="2153" spans="1:9" x14ac:dyDescent="0.35">
      <c r="A2153" s="8"/>
      <c r="B2153" s="8"/>
      <c r="C2153" s="8"/>
      <c r="D2153" s="28"/>
      <c r="E2153" s="8"/>
      <c r="F2153" s="8"/>
      <c r="G2153" s="8"/>
      <c r="H2153" s="28"/>
      <c r="I2153" s="28"/>
    </row>
    <row r="2154" spans="1:9" x14ac:dyDescent="0.35">
      <c r="A2154" s="8"/>
      <c r="B2154" s="8"/>
      <c r="C2154" s="8"/>
      <c r="D2154" s="28"/>
      <c r="E2154" s="8"/>
      <c r="F2154" s="8"/>
      <c r="G2154" s="8"/>
      <c r="H2154" s="28"/>
      <c r="I2154" s="28"/>
    </row>
    <row r="2155" spans="1:9" x14ac:dyDescent="0.35">
      <c r="A2155" s="8"/>
      <c r="B2155" s="8"/>
      <c r="C2155" s="8"/>
      <c r="D2155" s="28"/>
      <c r="E2155" s="8"/>
      <c r="F2155" s="8"/>
      <c r="G2155" s="8"/>
      <c r="H2155" s="28"/>
      <c r="I2155" s="28"/>
    </row>
    <row r="2156" spans="1:9" x14ac:dyDescent="0.35">
      <c r="A2156" s="8"/>
      <c r="B2156" s="8"/>
      <c r="C2156" s="8"/>
      <c r="D2156" s="28"/>
      <c r="E2156" s="8"/>
      <c r="F2156" s="8"/>
      <c r="G2156" s="8"/>
      <c r="H2156" s="28"/>
      <c r="I2156" s="28"/>
    </row>
    <row r="2157" spans="1:9" x14ac:dyDescent="0.35">
      <c r="A2157" s="8"/>
      <c r="B2157" s="8"/>
      <c r="C2157" s="8"/>
      <c r="D2157" s="28"/>
      <c r="E2157" s="8"/>
      <c r="F2157" s="8"/>
      <c r="G2157" s="8"/>
      <c r="H2157" s="28"/>
      <c r="I2157" s="28"/>
    </row>
    <row r="2158" spans="1:9" x14ac:dyDescent="0.35">
      <c r="A2158" s="8"/>
      <c r="B2158" s="8"/>
      <c r="C2158" s="8"/>
      <c r="D2158" s="28"/>
      <c r="E2158" s="8"/>
      <c r="F2158" s="8"/>
      <c r="G2158" s="8"/>
      <c r="H2158" s="28"/>
      <c r="I2158" s="28"/>
    </row>
    <row r="2159" spans="1:9" x14ac:dyDescent="0.35">
      <c r="A2159" s="8"/>
      <c r="B2159" s="8"/>
      <c r="C2159" s="8"/>
      <c r="D2159" s="28"/>
      <c r="E2159" s="8"/>
      <c r="F2159" s="8"/>
      <c r="G2159" s="8"/>
      <c r="H2159" s="28"/>
      <c r="I2159" s="28"/>
    </row>
    <row r="2160" spans="1:9" x14ac:dyDescent="0.35">
      <c r="A2160" s="8"/>
      <c r="B2160" s="8"/>
      <c r="C2160" s="8"/>
      <c r="D2160" s="28"/>
      <c r="E2160" s="8"/>
      <c r="F2160" s="8"/>
      <c r="G2160" s="8"/>
      <c r="H2160" s="28"/>
      <c r="I2160" s="28"/>
    </row>
    <row r="2161" spans="1:9" x14ac:dyDescent="0.35">
      <c r="A2161" s="8"/>
      <c r="B2161" s="8"/>
      <c r="C2161" s="8"/>
      <c r="D2161" s="28"/>
      <c r="E2161" s="8"/>
      <c r="F2161" s="8"/>
      <c r="G2161" s="8"/>
      <c r="H2161" s="28"/>
      <c r="I2161" s="28"/>
    </row>
    <row r="2162" spans="1:9" x14ac:dyDescent="0.35">
      <c r="A2162" s="8"/>
      <c r="B2162" s="8"/>
      <c r="C2162" s="8"/>
      <c r="D2162" s="28"/>
      <c r="E2162" s="8"/>
      <c r="F2162" s="8"/>
      <c r="G2162" s="8"/>
      <c r="H2162" s="28"/>
      <c r="I2162" s="28"/>
    </row>
    <row r="2163" spans="1:9" x14ac:dyDescent="0.35">
      <c r="A2163" s="8"/>
      <c r="B2163" s="8"/>
      <c r="C2163" s="8"/>
      <c r="D2163" s="28"/>
      <c r="E2163" s="8"/>
      <c r="F2163" s="8"/>
      <c r="G2163" s="8"/>
      <c r="H2163" s="28"/>
      <c r="I2163" s="28"/>
    </row>
    <row r="2164" spans="1:9" x14ac:dyDescent="0.35">
      <c r="A2164" s="8"/>
      <c r="B2164" s="8"/>
      <c r="C2164" s="8"/>
      <c r="D2164" s="28"/>
      <c r="E2164" s="8"/>
      <c r="F2164" s="8"/>
      <c r="G2164" s="8"/>
      <c r="H2164" s="28"/>
      <c r="I2164" s="28"/>
    </row>
    <row r="2165" spans="1:9" x14ac:dyDescent="0.35">
      <c r="A2165" s="8"/>
      <c r="B2165" s="8"/>
      <c r="C2165" s="8"/>
      <c r="D2165" s="28"/>
      <c r="E2165" s="8"/>
      <c r="F2165" s="8"/>
      <c r="G2165" s="8"/>
      <c r="H2165" s="28"/>
      <c r="I2165" s="28"/>
    </row>
    <row r="2166" spans="1:9" x14ac:dyDescent="0.35">
      <c r="A2166" s="8"/>
      <c r="B2166" s="8"/>
      <c r="C2166" s="8"/>
      <c r="D2166" s="28"/>
      <c r="E2166" s="8"/>
      <c r="F2166" s="8"/>
      <c r="G2166" s="8"/>
      <c r="H2166" s="28"/>
      <c r="I2166" s="28"/>
    </row>
    <row r="2167" spans="1:9" x14ac:dyDescent="0.35">
      <c r="A2167" s="8"/>
      <c r="B2167" s="8"/>
      <c r="C2167" s="8"/>
      <c r="D2167" s="28"/>
      <c r="E2167" s="8"/>
      <c r="F2167" s="8"/>
      <c r="G2167" s="8"/>
      <c r="H2167" s="28"/>
      <c r="I2167" s="28"/>
    </row>
    <row r="2168" spans="1:9" x14ac:dyDescent="0.35">
      <c r="A2168" s="8"/>
      <c r="B2168" s="8"/>
      <c r="C2168" s="8"/>
      <c r="D2168" s="28"/>
      <c r="E2168" s="8"/>
      <c r="F2168" s="8"/>
      <c r="G2168" s="8"/>
      <c r="H2168" s="28"/>
      <c r="I2168" s="28"/>
    </row>
    <row r="2169" spans="1:9" x14ac:dyDescent="0.35">
      <c r="A2169" s="8"/>
      <c r="B2169" s="8"/>
      <c r="C2169" s="8"/>
      <c r="D2169" s="28"/>
      <c r="E2169" s="8"/>
      <c r="F2169" s="8"/>
      <c r="G2169" s="8"/>
      <c r="H2169" s="28"/>
      <c r="I2169" s="28"/>
    </row>
    <row r="2170" spans="1:9" x14ac:dyDescent="0.35">
      <c r="A2170" s="8"/>
      <c r="B2170" s="8"/>
      <c r="C2170" s="8"/>
      <c r="D2170" s="28"/>
      <c r="E2170" s="8"/>
      <c r="F2170" s="8"/>
      <c r="G2170" s="8"/>
      <c r="H2170" s="28"/>
      <c r="I2170" s="28"/>
    </row>
    <row r="2171" spans="1:9" x14ac:dyDescent="0.35">
      <c r="A2171" s="8"/>
      <c r="B2171" s="8"/>
      <c r="C2171" s="8"/>
      <c r="D2171" s="28"/>
      <c r="E2171" s="8"/>
      <c r="F2171" s="8"/>
      <c r="G2171" s="8"/>
      <c r="H2171" s="28"/>
      <c r="I2171" s="28"/>
    </row>
    <row r="2172" spans="1:9" x14ac:dyDescent="0.35">
      <c r="A2172" s="8"/>
      <c r="B2172" s="8"/>
      <c r="C2172" s="8"/>
      <c r="D2172" s="28"/>
      <c r="E2172" s="8"/>
      <c r="F2172" s="8"/>
      <c r="G2172" s="8"/>
      <c r="H2172" s="28"/>
      <c r="I2172" s="28"/>
    </row>
    <row r="2173" spans="1:9" x14ac:dyDescent="0.35">
      <c r="A2173" s="8"/>
      <c r="B2173" s="8"/>
      <c r="C2173" s="8"/>
      <c r="D2173" s="28"/>
      <c r="E2173" s="8"/>
      <c r="F2173" s="8"/>
      <c r="G2173" s="8"/>
      <c r="H2173" s="28"/>
      <c r="I2173" s="28"/>
    </row>
    <row r="2174" spans="1:9" x14ac:dyDescent="0.35">
      <c r="A2174" s="8"/>
      <c r="B2174" s="8"/>
      <c r="C2174" s="8"/>
      <c r="D2174" s="28"/>
      <c r="E2174" s="8"/>
      <c r="F2174" s="8"/>
      <c r="G2174" s="8"/>
      <c r="H2174" s="28"/>
      <c r="I2174" s="28"/>
    </row>
    <row r="2175" spans="1:9" x14ac:dyDescent="0.35">
      <c r="A2175" s="8"/>
      <c r="B2175" s="8"/>
      <c r="C2175" s="8"/>
      <c r="D2175" s="28"/>
      <c r="E2175" s="8"/>
      <c r="F2175" s="8"/>
      <c r="G2175" s="8"/>
      <c r="H2175" s="28"/>
      <c r="I2175" s="28"/>
    </row>
    <row r="2176" spans="1:9" x14ac:dyDescent="0.35">
      <c r="A2176" s="8"/>
      <c r="B2176" s="8"/>
      <c r="C2176" s="8"/>
      <c r="D2176" s="28"/>
      <c r="E2176" s="8"/>
      <c r="F2176" s="8"/>
      <c r="G2176" s="8"/>
      <c r="H2176" s="28"/>
      <c r="I2176" s="28"/>
    </row>
    <row r="2177" spans="1:9" x14ac:dyDescent="0.35">
      <c r="A2177" s="8"/>
      <c r="B2177" s="8"/>
      <c r="C2177" s="8"/>
      <c r="D2177" s="28"/>
      <c r="E2177" s="8"/>
      <c r="F2177" s="8"/>
      <c r="G2177" s="8"/>
      <c r="H2177" s="28"/>
      <c r="I2177" s="28"/>
    </row>
    <row r="2178" spans="1:9" x14ac:dyDescent="0.35">
      <c r="A2178" s="8"/>
      <c r="B2178" s="8"/>
      <c r="C2178" s="8"/>
      <c r="D2178" s="28"/>
      <c r="E2178" s="8"/>
      <c r="F2178" s="8"/>
      <c r="G2178" s="8"/>
      <c r="H2178" s="28"/>
      <c r="I2178" s="28"/>
    </row>
    <row r="2179" spans="1:9" x14ac:dyDescent="0.35">
      <c r="A2179" s="8"/>
      <c r="B2179" s="8"/>
      <c r="C2179" s="8"/>
      <c r="D2179" s="28"/>
      <c r="E2179" s="8"/>
      <c r="F2179" s="8"/>
      <c r="G2179" s="8"/>
      <c r="H2179" s="28"/>
      <c r="I2179" s="28"/>
    </row>
    <row r="2180" spans="1:9" x14ac:dyDescent="0.35">
      <c r="A2180" s="8"/>
      <c r="B2180" s="8"/>
      <c r="C2180" s="8"/>
      <c r="D2180" s="28"/>
      <c r="E2180" s="8"/>
      <c r="F2180" s="8"/>
      <c r="G2180" s="8"/>
      <c r="H2180" s="28"/>
      <c r="I2180" s="28"/>
    </row>
    <row r="2181" spans="1:9" x14ac:dyDescent="0.35">
      <c r="A2181" s="8"/>
      <c r="B2181" s="8"/>
      <c r="C2181" s="8"/>
      <c r="D2181" s="28"/>
      <c r="E2181" s="8"/>
      <c r="F2181" s="8"/>
      <c r="G2181" s="8"/>
      <c r="H2181" s="28"/>
      <c r="I2181" s="28"/>
    </row>
    <row r="2182" spans="1:9" x14ac:dyDescent="0.35">
      <c r="A2182" s="8"/>
      <c r="B2182" s="8"/>
      <c r="C2182" s="8"/>
      <c r="D2182" s="28"/>
      <c r="E2182" s="8"/>
      <c r="F2182" s="8"/>
      <c r="G2182" s="8"/>
      <c r="H2182" s="28"/>
      <c r="I2182" s="28"/>
    </row>
    <row r="2183" spans="1:9" x14ac:dyDescent="0.35">
      <c r="A2183" s="8"/>
      <c r="B2183" s="8"/>
      <c r="C2183" s="8"/>
      <c r="D2183" s="28"/>
      <c r="E2183" s="8"/>
      <c r="F2183" s="8"/>
      <c r="G2183" s="8"/>
      <c r="H2183" s="28"/>
      <c r="I2183" s="28"/>
    </row>
    <row r="2184" spans="1:9" x14ac:dyDescent="0.35">
      <c r="A2184" s="8"/>
      <c r="B2184" s="8"/>
      <c r="C2184" s="8"/>
      <c r="D2184" s="28"/>
      <c r="E2184" s="8"/>
      <c r="F2184" s="8"/>
      <c r="G2184" s="8"/>
      <c r="H2184" s="28"/>
      <c r="I2184" s="28"/>
    </row>
    <row r="2185" spans="1:9" x14ac:dyDescent="0.35">
      <c r="A2185" s="8"/>
      <c r="B2185" s="8"/>
      <c r="C2185" s="8"/>
      <c r="D2185" s="28"/>
      <c r="E2185" s="8"/>
      <c r="F2185" s="8"/>
      <c r="G2185" s="8"/>
      <c r="H2185" s="28"/>
      <c r="I2185" s="28"/>
    </row>
    <row r="2186" spans="1:9" x14ac:dyDescent="0.35">
      <c r="A2186" s="8"/>
      <c r="B2186" s="8"/>
      <c r="C2186" s="8"/>
      <c r="D2186" s="28"/>
      <c r="E2186" s="8"/>
      <c r="F2186" s="8"/>
      <c r="G2186" s="8"/>
      <c r="H2186" s="28"/>
      <c r="I2186" s="28"/>
    </row>
    <row r="2187" spans="1:9" x14ac:dyDescent="0.35">
      <c r="A2187" s="8"/>
      <c r="B2187" s="8"/>
      <c r="C2187" s="8"/>
      <c r="D2187" s="28"/>
      <c r="E2187" s="8"/>
      <c r="F2187" s="8"/>
      <c r="G2187" s="8"/>
      <c r="H2187" s="28"/>
      <c r="I2187" s="28"/>
    </row>
    <row r="2188" spans="1:9" x14ac:dyDescent="0.35">
      <c r="A2188" s="8"/>
      <c r="B2188" s="8"/>
      <c r="C2188" s="8"/>
      <c r="D2188" s="28"/>
      <c r="E2188" s="8"/>
      <c r="F2188" s="8"/>
      <c r="G2188" s="8"/>
      <c r="H2188" s="28"/>
      <c r="I2188" s="28"/>
    </row>
    <row r="2189" spans="1:9" x14ac:dyDescent="0.35">
      <c r="A2189" s="8"/>
      <c r="B2189" s="8"/>
      <c r="C2189" s="8"/>
      <c r="D2189" s="28"/>
      <c r="E2189" s="8"/>
      <c r="F2189" s="8"/>
      <c r="G2189" s="8"/>
      <c r="H2189" s="28"/>
      <c r="I2189" s="28"/>
    </row>
    <row r="2190" spans="1:9" x14ac:dyDescent="0.35">
      <c r="A2190" s="8"/>
      <c r="B2190" s="8"/>
      <c r="C2190" s="8"/>
      <c r="D2190" s="28"/>
      <c r="E2190" s="8"/>
      <c r="F2190" s="8"/>
      <c r="G2190" s="8"/>
      <c r="H2190" s="28"/>
      <c r="I2190" s="28"/>
    </row>
    <row r="2191" spans="1:9" x14ac:dyDescent="0.35">
      <c r="A2191" s="8"/>
      <c r="B2191" s="8"/>
      <c r="C2191" s="8"/>
      <c r="D2191" s="28"/>
      <c r="E2191" s="8"/>
      <c r="F2191" s="8"/>
      <c r="G2191" s="8"/>
      <c r="H2191" s="28"/>
      <c r="I2191" s="28"/>
    </row>
    <row r="2192" spans="1:9" x14ac:dyDescent="0.35">
      <c r="A2192" s="8"/>
      <c r="B2192" s="8"/>
      <c r="C2192" s="8"/>
      <c r="D2192" s="28"/>
      <c r="E2192" s="8"/>
      <c r="F2192" s="8"/>
      <c r="G2192" s="8"/>
      <c r="H2192" s="28"/>
      <c r="I2192" s="28"/>
    </row>
    <row r="2193" spans="1:9" x14ac:dyDescent="0.35">
      <c r="A2193" s="8"/>
      <c r="B2193" s="8"/>
      <c r="C2193" s="8"/>
      <c r="D2193" s="28"/>
      <c r="E2193" s="8"/>
      <c r="F2193" s="8"/>
      <c r="G2193" s="8"/>
      <c r="H2193" s="28"/>
      <c r="I2193" s="28"/>
    </row>
    <row r="2194" spans="1:9" x14ac:dyDescent="0.35">
      <c r="A2194" s="8"/>
      <c r="B2194" s="8"/>
      <c r="C2194" s="8"/>
      <c r="D2194" s="28"/>
      <c r="E2194" s="8"/>
      <c r="F2194" s="8"/>
      <c r="G2194" s="8"/>
      <c r="H2194" s="28"/>
      <c r="I2194" s="28"/>
    </row>
    <row r="2195" spans="1:9" x14ac:dyDescent="0.35">
      <c r="A2195" s="8"/>
      <c r="B2195" s="8"/>
      <c r="C2195" s="8"/>
      <c r="D2195" s="28"/>
      <c r="E2195" s="8"/>
      <c r="F2195" s="8"/>
      <c r="G2195" s="8"/>
      <c r="H2195" s="28"/>
      <c r="I2195" s="28"/>
    </row>
    <row r="2196" spans="1:9" x14ac:dyDescent="0.35">
      <c r="A2196" s="8"/>
      <c r="B2196" s="8"/>
      <c r="C2196" s="8"/>
      <c r="D2196" s="28"/>
      <c r="E2196" s="8"/>
      <c r="F2196" s="8"/>
      <c r="G2196" s="8"/>
      <c r="H2196" s="28"/>
      <c r="I2196" s="28"/>
    </row>
    <row r="2197" spans="1:9" x14ac:dyDescent="0.35">
      <c r="A2197" s="8"/>
      <c r="B2197" s="8"/>
      <c r="C2197" s="8"/>
      <c r="D2197" s="28"/>
      <c r="E2197" s="8"/>
      <c r="F2197" s="8"/>
      <c r="G2197" s="8"/>
      <c r="H2197" s="28"/>
      <c r="I2197" s="28"/>
    </row>
    <row r="2198" spans="1:9" x14ac:dyDescent="0.35">
      <c r="A2198" s="8"/>
      <c r="B2198" s="8"/>
      <c r="C2198" s="8"/>
      <c r="D2198" s="28"/>
      <c r="E2198" s="8"/>
      <c r="F2198" s="8"/>
      <c r="G2198" s="8"/>
      <c r="H2198" s="28"/>
      <c r="I2198" s="28"/>
    </row>
    <row r="2199" spans="1:9" x14ac:dyDescent="0.35">
      <c r="A2199" s="8"/>
      <c r="B2199" s="8"/>
      <c r="C2199" s="8"/>
      <c r="D2199" s="28"/>
      <c r="E2199" s="8"/>
      <c r="F2199" s="8"/>
      <c r="G2199" s="8"/>
      <c r="H2199" s="28"/>
      <c r="I2199" s="28"/>
    </row>
    <row r="2200" spans="1:9" x14ac:dyDescent="0.35">
      <c r="A2200" s="8"/>
      <c r="B2200" s="8"/>
      <c r="C2200" s="8"/>
      <c r="D2200" s="28"/>
      <c r="E2200" s="8"/>
      <c r="F2200" s="8"/>
      <c r="G2200" s="8"/>
      <c r="H2200" s="28"/>
      <c r="I2200" s="28"/>
    </row>
    <row r="2201" spans="1:9" x14ac:dyDescent="0.35">
      <c r="A2201" s="8"/>
      <c r="B2201" s="8"/>
      <c r="C2201" s="8"/>
      <c r="D2201" s="28"/>
      <c r="E2201" s="8"/>
      <c r="F2201" s="8"/>
      <c r="G2201" s="8"/>
      <c r="H2201" s="28"/>
      <c r="I2201" s="28"/>
    </row>
    <row r="2202" spans="1:9" x14ac:dyDescent="0.35">
      <c r="A2202" s="8"/>
      <c r="B2202" s="8"/>
      <c r="C2202" s="8"/>
      <c r="D2202" s="28"/>
      <c r="E2202" s="8"/>
      <c r="F2202" s="8"/>
      <c r="G2202" s="8"/>
      <c r="H2202" s="28"/>
      <c r="I2202" s="28"/>
    </row>
    <row r="2203" spans="1:9" x14ac:dyDescent="0.35">
      <c r="A2203" s="8"/>
      <c r="B2203" s="8"/>
      <c r="C2203" s="8"/>
      <c r="D2203" s="28"/>
      <c r="E2203" s="8"/>
      <c r="F2203" s="8"/>
      <c r="G2203" s="8"/>
      <c r="H2203" s="28"/>
      <c r="I2203" s="28"/>
    </row>
    <row r="2204" spans="1:9" x14ac:dyDescent="0.35">
      <c r="A2204" s="8"/>
      <c r="B2204" s="8"/>
      <c r="C2204" s="8"/>
      <c r="D2204" s="28"/>
      <c r="E2204" s="8"/>
      <c r="F2204" s="8"/>
      <c r="G2204" s="8"/>
      <c r="H2204" s="28"/>
      <c r="I2204" s="28"/>
    </row>
    <row r="2205" spans="1:9" x14ac:dyDescent="0.35">
      <c r="A2205" s="8"/>
      <c r="B2205" s="8"/>
      <c r="C2205" s="8"/>
      <c r="D2205" s="28"/>
      <c r="E2205" s="8"/>
      <c r="F2205" s="8"/>
      <c r="G2205" s="8"/>
      <c r="H2205" s="28"/>
      <c r="I2205" s="28"/>
    </row>
    <row r="2206" spans="1:9" x14ac:dyDescent="0.35">
      <c r="A2206" s="8"/>
      <c r="B2206" s="8"/>
      <c r="C2206" s="8"/>
      <c r="D2206" s="28"/>
      <c r="E2206" s="8"/>
      <c r="F2206" s="8"/>
      <c r="G2206" s="8"/>
      <c r="H2206" s="28"/>
      <c r="I2206" s="28"/>
    </row>
    <row r="2207" spans="1:9" x14ac:dyDescent="0.35">
      <c r="A2207" s="8"/>
      <c r="B2207" s="8"/>
      <c r="C2207" s="8"/>
      <c r="D2207" s="28"/>
      <c r="E2207" s="8"/>
      <c r="F2207" s="8"/>
      <c r="G2207" s="8"/>
      <c r="H2207" s="28"/>
      <c r="I2207" s="28"/>
    </row>
    <row r="2208" spans="1:9" x14ac:dyDescent="0.35">
      <c r="A2208" s="8"/>
      <c r="B2208" s="8"/>
      <c r="C2208" s="8"/>
      <c r="D2208" s="28"/>
      <c r="E2208" s="8"/>
      <c r="F2208" s="8"/>
      <c r="G2208" s="8"/>
      <c r="H2208" s="28"/>
      <c r="I2208" s="28"/>
    </row>
    <row r="2209" spans="1:9" x14ac:dyDescent="0.35">
      <c r="A2209" s="8"/>
      <c r="B2209" s="8"/>
      <c r="C2209" s="8"/>
      <c r="D2209" s="28"/>
      <c r="E2209" s="8"/>
      <c r="F2209" s="8"/>
      <c r="G2209" s="8"/>
      <c r="H2209" s="28"/>
      <c r="I2209" s="28"/>
    </row>
    <row r="2210" spans="1:9" x14ac:dyDescent="0.35">
      <c r="A2210" s="8"/>
      <c r="B2210" s="8"/>
      <c r="C2210" s="8"/>
      <c r="D2210" s="28"/>
      <c r="E2210" s="8"/>
      <c r="F2210" s="8"/>
      <c r="G2210" s="8"/>
      <c r="H2210" s="28"/>
      <c r="I2210" s="28"/>
    </row>
    <row r="2211" spans="1:9" x14ac:dyDescent="0.35">
      <c r="A2211" s="8"/>
      <c r="B2211" s="8"/>
      <c r="C2211" s="8"/>
      <c r="D2211" s="28"/>
      <c r="E2211" s="8"/>
      <c r="F2211" s="8"/>
      <c r="G2211" s="8"/>
      <c r="H2211" s="28"/>
      <c r="I2211" s="28"/>
    </row>
    <row r="2212" spans="1:9" x14ac:dyDescent="0.35">
      <c r="A2212" s="8"/>
      <c r="B2212" s="8"/>
      <c r="C2212" s="8"/>
      <c r="D2212" s="28"/>
      <c r="E2212" s="8"/>
      <c r="F2212" s="8"/>
      <c r="G2212" s="8"/>
      <c r="H2212" s="28"/>
      <c r="I2212" s="28"/>
    </row>
    <row r="2213" spans="1:9" x14ac:dyDescent="0.35">
      <c r="A2213" s="8"/>
      <c r="B2213" s="8"/>
      <c r="C2213" s="8"/>
      <c r="D2213" s="28"/>
      <c r="E2213" s="8"/>
      <c r="F2213" s="8"/>
      <c r="G2213" s="8"/>
      <c r="H2213" s="28"/>
      <c r="I2213" s="28"/>
    </row>
    <row r="2214" spans="1:9" x14ac:dyDescent="0.35">
      <c r="A2214" s="8"/>
      <c r="B2214" s="8"/>
      <c r="C2214" s="8"/>
      <c r="D2214" s="28"/>
      <c r="E2214" s="8"/>
      <c r="F2214" s="8"/>
      <c r="G2214" s="8"/>
      <c r="H2214" s="28"/>
      <c r="I2214" s="28"/>
    </row>
    <row r="2215" spans="1:9" x14ac:dyDescent="0.35">
      <c r="A2215" s="8"/>
      <c r="B2215" s="8"/>
      <c r="C2215" s="8"/>
      <c r="D2215" s="28"/>
      <c r="E2215" s="8"/>
      <c r="F2215" s="8"/>
      <c r="G2215" s="8"/>
      <c r="H2215" s="28"/>
      <c r="I2215" s="28"/>
    </row>
    <row r="2216" spans="1:9" x14ac:dyDescent="0.35">
      <c r="A2216" s="8"/>
      <c r="B2216" s="8"/>
      <c r="C2216" s="8"/>
      <c r="D2216" s="28"/>
      <c r="E2216" s="8"/>
      <c r="F2216" s="8"/>
      <c r="G2216" s="8"/>
      <c r="H2216" s="28"/>
      <c r="I2216" s="28"/>
    </row>
    <row r="2217" spans="1:9" x14ac:dyDescent="0.35">
      <c r="A2217" s="8"/>
      <c r="B2217" s="8"/>
      <c r="C2217" s="8"/>
      <c r="D2217" s="28"/>
      <c r="E2217" s="8"/>
      <c r="F2217" s="8"/>
      <c r="G2217" s="8"/>
      <c r="H2217" s="28"/>
      <c r="I2217" s="28"/>
    </row>
    <row r="2218" spans="1:9" x14ac:dyDescent="0.35">
      <c r="A2218" s="8"/>
      <c r="B2218" s="8"/>
      <c r="C2218" s="8"/>
      <c r="D2218" s="28"/>
      <c r="E2218" s="8"/>
      <c r="F2218" s="8"/>
      <c r="G2218" s="8"/>
      <c r="H2218" s="28"/>
      <c r="I2218" s="28"/>
    </row>
    <row r="2219" spans="1:9" x14ac:dyDescent="0.35">
      <c r="A2219" s="8"/>
      <c r="B2219" s="8"/>
      <c r="C2219" s="8"/>
      <c r="D2219" s="28"/>
      <c r="E2219" s="8"/>
      <c r="F2219" s="8"/>
      <c r="G2219" s="8"/>
      <c r="H2219" s="28"/>
      <c r="I2219" s="28"/>
    </row>
    <row r="2220" spans="1:9" x14ac:dyDescent="0.35">
      <c r="A2220" s="8"/>
      <c r="B2220" s="8"/>
      <c r="C2220" s="8"/>
      <c r="D2220" s="28"/>
      <c r="E2220" s="8"/>
      <c r="F2220" s="8"/>
      <c r="G2220" s="8"/>
      <c r="H2220" s="28"/>
      <c r="I2220" s="28"/>
    </row>
    <row r="2221" spans="1:9" x14ac:dyDescent="0.35">
      <c r="A2221" s="8"/>
      <c r="B2221" s="8"/>
      <c r="C2221" s="8"/>
      <c r="D2221" s="28"/>
      <c r="E2221" s="8"/>
      <c r="F2221" s="8"/>
      <c r="G2221" s="8"/>
      <c r="H2221" s="28"/>
      <c r="I2221" s="28"/>
    </row>
    <row r="2222" spans="1:9" x14ac:dyDescent="0.35">
      <c r="A2222" s="8"/>
      <c r="B2222" s="8"/>
      <c r="C2222" s="8"/>
      <c r="D2222" s="28"/>
      <c r="E2222" s="8"/>
      <c r="F2222" s="8"/>
      <c r="G2222" s="8"/>
      <c r="H2222" s="28"/>
      <c r="I2222" s="28"/>
    </row>
    <row r="2223" spans="1:9" x14ac:dyDescent="0.35">
      <c r="A2223" s="8"/>
      <c r="B2223" s="8"/>
      <c r="C2223" s="8"/>
      <c r="D2223" s="28"/>
      <c r="E2223" s="8"/>
      <c r="F2223" s="8"/>
      <c r="G2223" s="8"/>
      <c r="H2223" s="28"/>
      <c r="I2223" s="28"/>
    </row>
    <row r="2224" spans="1:9" x14ac:dyDescent="0.35">
      <c r="A2224" s="8"/>
      <c r="B2224" s="8"/>
      <c r="C2224" s="8"/>
      <c r="D2224" s="28"/>
      <c r="E2224" s="8"/>
      <c r="F2224" s="8"/>
      <c r="G2224" s="8"/>
      <c r="H2224" s="28"/>
      <c r="I2224" s="28"/>
    </row>
    <row r="2225" spans="1:9" x14ac:dyDescent="0.35">
      <c r="A2225" s="8"/>
      <c r="B2225" s="8"/>
      <c r="C2225" s="8"/>
      <c r="D2225" s="28"/>
      <c r="E2225" s="8"/>
      <c r="F2225" s="8"/>
      <c r="G2225" s="8"/>
      <c r="H2225" s="28"/>
      <c r="I2225" s="28"/>
    </row>
    <row r="2226" spans="1:9" x14ac:dyDescent="0.35">
      <c r="A2226" s="8"/>
      <c r="B2226" s="8"/>
      <c r="C2226" s="8"/>
      <c r="D2226" s="28"/>
      <c r="E2226" s="8"/>
      <c r="F2226" s="8"/>
      <c r="G2226" s="8"/>
      <c r="H2226" s="28"/>
      <c r="I2226" s="28"/>
    </row>
    <row r="2227" spans="1:9" x14ac:dyDescent="0.35">
      <c r="A2227" s="8"/>
      <c r="B2227" s="8"/>
      <c r="C2227" s="8"/>
      <c r="D2227" s="28"/>
      <c r="E2227" s="8"/>
      <c r="F2227" s="8"/>
      <c r="G2227" s="8"/>
      <c r="H2227" s="28"/>
      <c r="I2227" s="28"/>
    </row>
    <row r="2228" spans="1:9" x14ac:dyDescent="0.35">
      <c r="A2228" s="8"/>
      <c r="B2228" s="8"/>
      <c r="C2228" s="8"/>
      <c r="D2228" s="28"/>
      <c r="E2228" s="8"/>
      <c r="F2228" s="8"/>
      <c r="G2228" s="8"/>
      <c r="H2228" s="28"/>
      <c r="I2228" s="28"/>
    </row>
    <row r="2229" spans="1:9" x14ac:dyDescent="0.35">
      <c r="A2229" s="8"/>
      <c r="B2229" s="8"/>
      <c r="C2229" s="8"/>
      <c r="D2229" s="28"/>
      <c r="E2229" s="8"/>
      <c r="F2229" s="8"/>
      <c r="G2229" s="8"/>
      <c r="H2229" s="28"/>
      <c r="I2229" s="28"/>
    </row>
    <row r="2230" spans="1:9" x14ac:dyDescent="0.35">
      <c r="A2230" s="8"/>
      <c r="B2230" s="8"/>
      <c r="C2230" s="8"/>
      <c r="D2230" s="28"/>
      <c r="E2230" s="8"/>
      <c r="F2230" s="8"/>
      <c r="G2230" s="8"/>
      <c r="H2230" s="28"/>
      <c r="I2230" s="28"/>
    </row>
    <row r="2231" spans="1:9" x14ac:dyDescent="0.35">
      <c r="A2231" s="8"/>
      <c r="B2231" s="8"/>
      <c r="C2231" s="8"/>
      <c r="D2231" s="28"/>
      <c r="E2231" s="8"/>
      <c r="F2231" s="8"/>
      <c r="G2231" s="8"/>
      <c r="H2231" s="28"/>
      <c r="I2231" s="28"/>
    </row>
    <row r="2232" spans="1:9" x14ac:dyDescent="0.35">
      <c r="A2232" s="8"/>
      <c r="B2232" s="8"/>
      <c r="C2232" s="8"/>
      <c r="D2232" s="28"/>
      <c r="E2232" s="8"/>
      <c r="F2232" s="8"/>
      <c r="G2232" s="8"/>
      <c r="H2232" s="28"/>
      <c r="I2232" s="28"/>
    </row>
    <row r="2233" spans="1:9" x14ac:dyDescent="0.35">
      <c r="A2233" s="8"/>
      <c r="B2233" s="8"/>
      <c r="C2233" s="8"/>
      <c r="D2233" s="28"/>
      <c r="E2233" s="8"/>
      <c r="F2233" s="8"/>
      <c r="G2233" s="8"/>
      <c r="H2233" s="28"/>
      <c r="I2233" s="28"/>
    </row>
    <row r="2234" spans="1:9" x14ac:dyDescent="0.35">
      <c r="A2234" s="8"/>
      <c r="B2234" s="8"/>
      <c r="C2234" s="8"/>
      <c r="D2234" s="28"/>
      <c r="E2234" s="8"/>
      <c r="F2234" s="8"/>
      <c r="G2234" s="8"/>
      <c r="H2234" s="28"/>
      <c r="I2234" s="28"/>
    </row>
    <row r="2235" spans="1:9" x14ac:dyDescent="0.35">
      <c r="A2235" s="8"/>
      <c r="B2235" s="8"/>
      <c r="C2235" s="8"/>
      <c r="D2235" s="28"/>
      <c r="E2235" s="8"/>
      <c r="F2235" s="8"/>
      <c r="G2235" s="8"/>
      <c r="H2235" s="28"/>
      <c r="I2235" s="28"/>
    </row>
    <row r="2236" spans="1:9" x14ac:dyDescent="0.35">
      <c r="A2236" s="8"/>
      <c r="B2236" s="8"/>
      <c r="C2236" s="8"/>
      <c r="D2236" s="28"/>
      <c r="E2236" s="8"/>
      <c r="F2236" s="8"/>
      <c r="G2236" s="8"/>
      <c r="H2236" s="28"/>
      <c r="I2236" s="28"/>
    </row>
    <row r="2237" spans="1:9" x14ac:dyDescent="0.35">
      <c r="A2237" s="8"/>
      <c r="B2237" s="8"/>
      <c r="C2237" s="8"/>
      <c r="D2237" s="28"/>
      <c r="E2237" s="8"/>
      <c r="F2237" s="8"/>
      <c r="G2237" s="8"/>
      <c r="H2237" s="28"/>
      <c r="I2237" s="28"/>
    </row>
    <row r="2238" spans="1:9" x14ac:dyDescent="0.35">
      <c r="A2238" s="8"/>
      <c r="B2238" s="8"/>
      <c r="C2238" s="8"/>
      <c r="D2238" s="28"/>
      <c r="E2238" s="8"/>
      <c r="F2238" s="8"/>
      <c r="G2238" s="8"/>
      <c r="H2238" s="28"/>
      <c r="I2238" s="28"/>
    </row>
    <row r="2239" spans="1:9" x14ac:dyDescent="0.35">
      <c r="A2239" s="8"/>
      <c r="B2239" s="8"/>
      <c r="C2239" s="8"/>
      <c r="D2239" s="28"/>
      <c r="E2239" s="8"/>
      <c r="F2239" s="8"/>
      <c r="G2239" s="8"/>
      <c r="H2239" s="28"/>
      <c r="I2239" s="28"/>
    </row>
    <row r="2240" spans="1:9" x14ac:dyDescent="0.35">
      <c r="A2240" s="8"/>
      <c r="B2240" s="8"/>
      <c r="C2240" s="8"/>
      <c r="D2240" s="28"/>
      <c r="E2240" s="8"/>
      <c r="F2240" s="8"/>
      <c r="G2240" s="8"/>
      <c r="H2240" s="28"/>
      <c r="I2240" s="28"/>
    </row>
    <row r="2241" spans="1:9" x14ac:dyDescent="0.35">
      <c r="A2241" s="8"/>
      <c r="B2241" s="8"/>
      <c r="C2241" s="8"/>
      <c r="D2241" s="28"/>
      <c r="E2241" s="8"/>
      <c r="F2241" s="8"/>
      <c r="G2241" s="8"/>
      <c r="H2241" s="28"/>
      <c r="I2241" s="28"/>
    </row>
    <row r="2242" spans="1:9" x14ac:dyDescent="0.35">
      <c r="A2242" s="8"/>
      <c r="B2242" s="8"/>
      <c r="C2242" s="8"/>
      <c r="D2242" s="28"/>
      <c r="E2242" s="8"/>
      <c r="F2242" s="8"/>
      <c r="G2242" s="8"/>
      <c r="H2242" s="28"/>
      <c r="I2242" s="28"/>
    </row>
    <row r="2243" spans="1:9" x14ac:dyDescent="0.35">
      <c r="A2243" s="8"/>
      <c r="B2243" s="8"/>
      <c r="C2243" s="8"/>
      <c r="D2243" s="28"/>
      <c r="E2243" s="8"/>
      <c r="F2243" s="8"/>
      <c r="G2243" s="8"/>
      <c r="H2243" s="28"/>
      <c r="I2243" s="28"/>
    </row>
    <row r="2244" spans="1:9" x14ac:dyDescent="0.35">
      <c r="A2244" s="8"/>
      <c r="B2244" s="8"/>
      <c r="C2244" s="8"/>
      <c r="D2244" s="28"/>
      <c r="E2244" s="8"/>
      <c r="F2244" s="8"/>
      <c r="G2244" s="8"/>
      <c r="H2244" s="28"/>
      <c r="I2244" s="28"/>
    </row>
    <row r="2245" spans="1:9" x14ac:dyDescent="0.35">
      <c r="A2245" s="8"/>
      <c r="B2245" s="8"/>
      <c r="C2245" s="8"/>
      <c r="D2245" s="28"/>
      <c r="E2245" s="8"/>
      <c r="F2245" s="8"/>
      <c r="G2245" s="8"/>
      <c r="H2245" s="28"/>
      <c r="I2245" s="28"/>
    </row>
    <row r="2246" spans="1:9" x14ac:dyDescent="0.35">
      <c r="A2246" s="8"/>
      <c r="B2246" s="8"/>
      <c r="C2246" s="8"/>
      <c r="D2246" s="28"/>
      <c r="E2246" s="8"/>
      <c r="F2246" s="8"/>
      <c r="G2246" s="8"/>
      <c r="H2246" s="28"/>
      <c r="I2246" s="28"/>
    </row>
    <row r="2247" spans="1:9" x14ac:dyDescent="0.35">
      <c r="A2247" s="8"/>
      <c r="B2247" s="8"/>
      <c r="C2247" s="8"/>
      <c r="D2247" s="28"/>
      <c r="E2247" s="8"/>
      <c r="F2247" s="8"/>
      <c r="G2247" s="8"/>
      <c r="H2247" s="28"/>
      <c r="I2247" s="28"/>
    </row>
    <row r="2248" spans="1:9" x14ac:dyDescent="0.35">
      <c r="A2248" s="8"/>
      <c r="B2248" s="8"/>
      <c r="C2248" s="8"/>
      <c r="D2248" s="28"/>
      <c r="E2248" s="8"/>
      <c r="F2248" s="8"/>
      <c r="G2248" s="8"/>
      <c r="H2248" s="28"/>
      <c r="I2248" s="28"/>
    </row>
    <row r="2249" spans="1:9" x14ac:dyDescent="0.35">
      <c r="A2249" s="8"/>
      <c r="B2249" s="8"/>
      <c r="C2249" s="8"/>
      <c r="D2249" s="28"/>
      <c r="E2249" s="8"/>
      <c r="F2249" s="8"/>
      <c r="G2249" s="8"/>
      <c r="H2249" s="28"/>
      <c r="I2249" s="28"/>
    </row>
    <row r="2250" spans="1:9" x14ac:dyDescent="0.35">
      <c r="A2250" s="8"/>
      <c r="B2250" s="8"/>
      <c r="C2250" s="8"/>
      <c r="D2250" s="28"/>
      <c r="E2250" s="8"/>
      <c r="F2250" s="8"/>
      <c r="G2250" s="8"/>
      <c r="H2250" s="28"/>
      <c r="I2250" s="28"/>
    </row>
    <row r="2251" spans="1:9" x14ac:dyDescent="0.35">
      <c r="A2251" s="8"/>
      <c r="B2251" s="8"/>
      <c r="C2251" s="8"/>
      <c r="D2251" s="28"/>
      <c r="E2251" s="8"/>
      <c r="F2251" s="8"/>
      <c r="G2251" s="8"/>
      <c r="H2251" s="28"/>
      <c r="I2251" s="28"/>
    </row>
    <row r="2252" spans="1:9" x14ac:dyDescent="0.35">
      <c r="A2252" s="8"/>
      <c r="B2252" s="8"/>
      <c r="C2252" s="8"/>
      <c r="D2252" s="28"/>
      <c r="E2252" s="8"/>
      <c r="F2252" s="8"/>
      <c r="G2252" s="8"/>
      <c r="H2252" s="28"/>
      <c r="I2252" s="28"/>
    </row>
    <row r="2253" spans="1:9" x14ac:dyDescent="0.35">
      <c r="A2253" s="8"/>
      <c r="B2253" s="8"/>
      <c r="C2253" s="8"/>
      <c r="D2253" s="28"/>
      <c r="E2253" s="8"/>
      <c r="F2253" s="8"/>
      <c r="G2253" s="8"/>
      <c r="H2253" s="28"/>
      <c r="I2253" s="28"/>
    </row>
    <row r="2254" spans="1:9" x14ac:dyDescent="0.35">
      <c r="A2254" s="8"/>
      <c r="B2254" s="8"/>
      <c r="C2254" s="8"/>
      <c r="D2254" s="28"/>
      <c r="E2254" s="8"/>
      <c r="F2254" s="8"/>
      <c r="G2254" s="8"/>
      <c r="H2254" s="28"/>
      <c r="I2254" s="28"/>
    </row>
    <row r="2255" spans="1:9" x14ac:dyDescent="0.35">
      <c r="A2255" s="8"/>
      <c r="B2255" s="8"/>
      <c r="C2255" s="8"/>
      <c r="D2255" s="28"/>
      <c r="E2255" s="8"/>
      <c r="F2255" s="8"/>
      <c r="G2255" s="8"/>
      <c r="H2255" s="28"/>
      <c r="I2255" s="28"/>
    </row>
    <row r="2256" spans="1:9" x14ac:dyDescent="0.35">
      <c r="A2256" s="8"/>
      <c r="B2256" s="8"/>
      <c r="C2256" s="8"/>
      <c r="D2256" s="28"/>
      <c r="E2256" s="8"/>
      <c r="F2256" s="8"/>
      <c r="G2256" s="8"/>
      <c r="H2256" s="28"/>
      <c r="I2256" s="28"/>
    </row>
    <row r="2257" spans="1:9" x14ac:dyDescent="0.35">
      <c r="A2257" s="8"/>
      <c r="B2257" s="8"/>
      <c r="C2257" s="8"/>
      <c r="D2257" s="28"/>
      <c r="E2257" s="8"/>
      <c r="F2257" s="8"/>
      <c r="G2257" s="8"/>
      <c r="H2257" s="28"/>
      <c r="I2257" s="28"/>
    </row>
    <row r="2258" spans="1:9" x14ac:dyDescent="0.35">
      <c r="A2258" s="8"/>
      <c r="B2258" s="8"/>
      <c r="C2258" s="8"/>
      <c r="D2258" s="28"/>
      <c r="E2258" s="8"/>
      <c r="F2258" s="8"/>
      <c r="G2258" s="8"/>
      <c r="H2258" s="28"/>
      <c r="I2258" s="28"/>
    </row>
    <row r="2259" spans="1:9" x14ac:dyDescent="0.35">
      <c r="A2259" s="8"/>
      <c r="B2259" s="8"/>
      <c r="C2259" s="8"/>
      <c r="D2259" s="28"/>
      <c r="E2259" s="8"/>
      <c r="F2259" s="8"/>
      <c r="G2259" s="8"/>
      <c r="H2259" s="28"/>
      <c r="I2259" s="28"/>
    </row>
    <row r="2260" spans="1:9" x14ac:dyDescent="0.35">
      <c r="A2260" s="8"/>
      <c r="B2260" s="8"/>
      <c r="C2260" s="8"/>
      <c r="D2260" s="28"/>
      <c r="E2260" s="8"/>
      <c r="F2260" s="8"/>
      <c r="G2260" s="8"/>
      <c r="H2260" s="28"/>
      <c r="I2260" s="28"/>
    </row>
    <row r="2261" spans="1:9" x14ac:dyDescent="0.35">
      <c r="A2261" s="8"/>
      <c r="B2261" s="8"/>
      <c r="C2261" s="8"/>
      <c r="D2261" s="28"/>
      <c r="E2261" s="8"/>
      <c r="F2261" s="8"/>
      <c r="G2261" s="8"/>
      <c r="H2261" s="28"/>
      <c r="I2261" s="28"/>
    </row>
    <row r="2262" spans="1:9" x14ac:dyDescent="0.35">
      <c r="A2262" s="8"/>
      <c r="B2262" s="8"/>
      <c r="C2262" s="8"/>
      <c r="D2262" s="28"/>
      <c r="E2262" s="8"/>
      <c r="F2262" s="8"/>
      <c r="G2262" s="8"/>
      <c r="H2262" s="28"/>
      <c r="I2262" s="28"/>
    </row>
    <row r="2263" spans="1:9" x14ac:dyDescent="0.35">
      <c r="A2263" s="8"/>
      <c r="B2263" s="8"/>
      <c r="C2263" s="8"/>
      <c r="D2263" s="28"/>
      <c r="E2263" s="8"/>
      <c r="F2263" s="8"/>
      <c r="G2263" s="8"/>
      <c r="H2263" s="28"/>
      <c r="I2263" s="28"/>
    </row>
    <row r="2264" spans="1:9" x14ac:dyDescent="0.35">
      <c r="A2264" s="8"/>
      <c r="B2264" s="8"/>
      <c r="C2264" s="8"/>
      <c r="D2264" s="28"/>
      <c r="E2264" s="8"/>
      <c r="F2264" s="8"/>
      <c r="G2264" s="8"/>
      <c r="H2264" s="28"/>
      <c r="I2264" s="28"/>
    </row>
    <row r="2265" spans="1:9" x14ac:dyDescent="0.35">
      <c r="A2265" s="8"/>
      <c r="B2265" s="8"/>
      <c r="C2265" s="8"/>
      <c r="D2265" s="28"/>
      <c r="E2265" s="8"/>
      <c r="F2265" s="8"/>
      <c r="G2265" s="8"/>
      <c r="H2265" s="28"/>
      <c r="I2265" s="28"/>
    </row>
    <row r="2266" spans="1:9" x14ac:dyDescent="0.35">
      <c r="A2266" s="8"/>
      <c r="B2266" s="8"/>
      <c r="C2266" s="8"/>
      <c r="D2266" s="28"/>
      <c r="E2266" s="8"/>
      <c r="F2266" s="8"/>
      <c r="G2266" s="8"/>
      <c r="H2266" s="28"/>
      <c r="I2266" s="28"/>
    </row>
    <row r="2267" spans="1:9" x14ac:dyDescent="0.35">
      <c r="A2267" s="8"/>
      <c r="B2267" s="8"/>
      <c r="C2267" s="8"/>
      <c r="D2267" s="28"/>
      <c r="E2267" s="8"/>
      <c r="F2267" s="8"/>
      <c r="G2267" s="8"/>
      <c r="H2267" s="28"/>
      <c r="I2267" s="28"/>
    </row>
    <row r="2268" spans="1:9" x14ac:dyDescent="0.35">
      <c r="A2268" s="8"/>
      <c r="B2268" s="8"/>
      <c r="C2268" s="8"/>
      <c r="D2268" s="28"/>
      <c r="E2268" s="8"/>
      <c r="F2268" s="8"/>
      <c r="G2268" s="8"/>
      <c r="H2268" s="28"/>
      <c r="I2268" s="28"/>
    </row>
    <row r="2269" spans="1:9" x14ac:dyDescent="0.35">
      <c r="A2269" s="8"/>
      <c r="B2269" s="8"/>
      <c r="C2269" s="8"/>
      <c r="D2269" s="28"/>
      <c r="E2269" s="8"/>
      <c r="F2269" s="8"/>
      <c r="G2269" s="8"/>
      <c r="H2269" s="28"/>
      <c r="I2269" s="28"/>
    </row>
    <row r="2270" spans="1:9" x14ac:dyDescent="0.35">
      <c r="A2270" s="8"/>
      <c r="B2270" s="8"/>
      <c r="C2270" s="8"/>
      <c r="D2270" s="28"/>
      <c r="E2270" s="8"/>
      <c r="F2270" s="8"/>
      <c r="G2270" s="8"/>
      <c r="H2270" s="28"/>
      <c r="I2270" s="28"/>
    </row>
    <row r="2271" spans="1:9" x14ac:dyDescent="0.35">
      <c r="A2271" s="8"/>
      <c r="B2271" s="8"/>
      <c r="C2271" s="8"/>
      <c r="D2271" s="28"/>
      <c r="E2271" s="8"/>
      <c r="F2271" s="8"/>
      <c r="G2271" s="8"/>
      <c r="H2271" s="28"/>
      <c r="I2271" s="28"/>
    </row>
    <row r="2272" spans="1:9" x14ac:dyDescent="0.35">
      <c r="A2272" s="8"/>
      <c r="B2272" s="8"/>
      <c r="C2272" s="8"/>
      <c r="D2272" s="28"/>
      <c r="E2272" s="8"/>
      <c r="F2272" s="8"/>
      <c r="G2272" s="8"/>
      <c r="H2272" s="28"/>
      <c r="I2272" s="28"/>
    </row>
    <row r="2273" spans="1:9" x14ac:dyDescent="0.35">
      <c r="A2273" s="8"/>
      <c r="B2273" s="8"/>
      <c r="C2273" s="8"/>
      <c r="D2273" s="28"/>
      <c r="E2273" s="8"/>
      <c r="F2273" s="8"/>
      <c r="G2273" s="8"/>
      <c r="H2273" s="28"/>
      <c r="I2273" s="28"/>
    </row>
    <row r="2274" spans="1:9" x14ac:dyDescent="0.35">
      <c r="A2274" s="8"/>
      <c r="B2274" s="8"/>
      <c r="C2274" s="8"/>
      <c r="D2274" s="28"/>
      <c r="E2274" s="8"/>
      <c r="F2274" s="8"/>
      <c r="G2274" s="8"/>
      <c r="H2274" s="28"/>
      <c r="I2274" s="28"/>
    </row>
    <row r="2275" spans="1:9" x14ac:dyDescent="0.35">
      <c r="A2275" s="8"/>
      <c r="B2275" s="8"/>
      <c r="C2275" s="8"/>
      <c r="D2275" s="28"/>
      <c r="E2275" s="8"/>
      <c r="F2275" s="8"/>
      <c r="G2275" s="8"/>
      <c r="H2275" s="28"/>
      <c r="I2275" s="28"/>
    </row>
    <row r="2276" spans="1:9" x14ac:dyDescent="0.35">
      <c r="A2276" s="8"/>
      <c r="B2276" s="8"/>
      <c r="C2276" s="8"/>
      <c r="D2276" s="28"/>
      <c r="E2276" s="8"/>
      <c r="F2276" s="8"/>
      <c r="G2276" s="8"/>
      <c r="H2276" s="28"/>
      <c r="I2276" s="28"/>
    </row>
    <row r="2277" spans="1:9" x14ac:dyDescent="0.35">
      <c r="A2277" s="8"/>
      <c r="B2277" s="8"/>
      <c r="C2277" s="8"/>
      <c r="D2277" s="28"/>
      <c r="E2277" s="8"/>
      <c r="F2277" s="8"/>
      <c r="G2277" s="8"/>
      <c r="H2277" s="28"/>
      <c r="I2277" s="28"/>
    </row>
    <row r="2278" spans="1:9" x14ac:dyDescent="0.35">
      <c r="A2278" s="8"/>
      <c r="B2278" s="8"/>
      <c r="C2278" s="8"/>
      <c r="D2278" s="28"/>
      <c r="E2278" s="8"/>
      <c r="F2278" s="8"/>
      <c r="G2278" s="8"/>
      <c r="H2278" s="28"/>
      <c r="I2278" s="28"/>
    </row>
    <row r="2279" spans="1:9" x14ac:dyDescent="0.35">
      <c r="A2279" s="8"/>
      <c r="B2279" s="8"/>
      <c r="C2279" s="8"/>
      <c r="D2279" s="28"/>
      <c r="E2279" s="8"/>
      <c r="F2279" s="8"/>
      <c r="G2279" s="8"/>
      <c r="H2279" s="28"/>
      <c r="I2279" s="28"/>
    </row>
    <row r="2280" spans="1:9" x14ac:dyDescent="0.35">
      <c r="A2280" s="8"/>
      <c r="B2280" s="8"/>
      <c r="C2280" s="8"/>
      <c r="D2280" s="28"/>
      <c r="E2280" s="8"/>
      <c r="F2280" s="8"/>
      <c r="G2280" s="8"/>
      <c r="H2280" s="28"/>
      <c r="I2280" s="28"/>
    </row>
    <row r="2281" spans="1:9" x14ac:dyDescent="0.35">
      <c r="A2281" s="8"/>
      <c r="B2281" s="8"/>
      <c r="C2281" s="8"/>
      <c r="D2281" s="28"/>
      <c r="E2281" s="8"/>
      <c r="F2281" s="8"/>
      <c r="G2281" s="8"/>
      <c r="H2281" s="28"/>
      <c r="I2281" s="28"/>
    </row>
    <row r="2282" spans="1:9" x14ac:dyDescent="0.35">
      <c r="A2282" s="8"/>
      <c r="B2282" s="8"/>
      <c r="C2282" s="8"/>
      <c r="D2282" s="28"/>
      <c r="E2282" s="8"/>
      <c r="F2282" s="8"/>
      <c r="G2282" s="8"/>
      <c r="H2282" s="28"/>
      <c r="I2282" s="28"/>
    </row>
    <row r="2283" spans="1:9" x14ac:dyDescent="0.35">
      <c r="A2283" s="8"/>
      <c r="B2283" s="8"/>
      <c r="C2283" s="8"/>
      <c r="D2283" s="28"/>
      <c r="E2283" s="8"/>
      <c r="F2283" s="8"/>
      <c r="G2283" s="8"/>
      <c r="H2283" s="28"/>
      <c r="I2283" s="28"/>
    </row>
    <row r="2284" spans="1:9" x14ac:dyDescent="0.35">
      <c r="A2284" s="8"/>
      <c r="B2284" s="8"/>
      <c r="C2284" s="8"/>
      <c r="D2284" s="28"/>
      <c r="E2284" s="8"/>
      <c r="F2284" s="8"/>
      <c r="G2284" s="8"/>
      <c r="H2284" s="28"/>
      <c r="I2284" s="28"/>
    </row>
    <row r="2285" spans="1:9" x14ac:dyDescent="0.35">
      <c r="A2285" s="8"/>
      <c r="B2285" s="8"/>
      <c r="C2285" s="8"/>
      <c r="D2285" s="28"/>
      <c r="E2285" s="8"/>
      <c r="F2285" s="8"/>
      <c r="G2285" s="8"/>
      <c r="H2285" s="28"/>
      <c r="I2285" s="28"/>
    </row>
    <row r="2286" spans="1:9" x14ac:dyDescent="0.35">
      <c r="A2286" s="8"/>
      <c r="B2286" s="8"/>
      <c r="C2286" s="8"/>
      <c r="D2286" s="28"/>
      <c r="E2286" s="8"/>
      <c r="F2286" s="8"/>
      <c r="G2286" s="8"/>
      <c r="H2286" s="28"/>
      <c r="I2286" s="28"/>
    </row>
    <row r="2287" spans="1:9" x14ac:dyDescent="0.35">
      <c r="A2287" s="8"/>
      <c r="B2287" s="8"/>
      <c r="C2287" s="8"/>
      <c r="D2287" s="28"/>
      <c r="E2287" s="8"/>
      <c r="F2287" s="8"/>
      <c r="G2287" s="8"/>
      <c r="H2287" s="28"/>
      <c r="I2287" s="28"/>
    </row>
    <row r="2288" spans="1:9" x14ac:dyDescent="0.35">
      <c r="A2288" s="8"/>
      <c r="B2288" s="8"/>
      <c r="C2288" s="8"/>
      <c r="D2288" s="28"/>
      <c r="E2288" s="8"/>
      <c r="F2288" s="8"/>
      <c r="G2288" s="8"/>
      <c r="H2288" s="28"/>
      <c r="I2288" s="28"/>
    </row>
    <row r="2289" spans="1:9" x14ac:dyDescent="0.35">
      <c r="A2289" s="8"/>
      <c r="B2289" s="8"/>
      <c r="C2289" s="8"/>
      <c r="D2289" s="28"/>
      <c r="E2289" s="8"/>
      <c r="F2289" s="8"/>
      <c r="G2289" s="8"/>
      <c r="H2289" s="28"/>
      <c r="I2289" s="28"/>
    </row>
    <row r="2290" spans="1:9" x14ac:dyDescent="0.35">
      <c r="A2290" s="8"/>
      <c r="B2290" s="8"/>
      <c r="C2290" s="8"/>
      <c r="D2290" s="28"/>
      <c r="E2290" s="8"/>
      <c r="F2290" s="8"/>
      <c r="G2290" s="8"/>
      <c r="H2290" s="28"/>
      <c r="I2290" s="28"/>
    </row>
    <row r="2291" spans="1:9" x14ac:dyDescent="0.35">
      <c r="A2291" s="8"/>
      <c r="B2291" s="8"/>
      <c r="C2291" s="8"/>
      <c r="D2291" s="28"/>
      <c r="E2291" s="8"/>
      <c r="F2291" s="8"/>
      <c r="G2291" s="8"/>
      <c r="H2291" s="28"/>
      <c r="I2291" s="28"/>
    </row>
    <row r="2292" spans="1:9" x14ac:dyDescent="0.35">
      <c r="A2292" s="8"/>
      <c r="B2292" s="8"/>
      <c r="C2292" s="8"/>
      <c r="D2292" s="28"/>
      <c r="E2292" s="8"/>
      <c r="F2292" s="8"/>
      <c r="G2292" s="8"/>
      <c r="H2292" s="28"/>
      <c r="I2292" s="28"/>
    </row>
    <row r="2293" spans="1:9" x14ac:dyDescent="0.35">
      <c r="A2293" s="8"/>
      <c r="B2293" s="8"/>
      <c r="C2293" s="8"/>
      <c r="D2293" s="28"/>
      <c r="E2293" s="8"/>
      <c r="F2293" s="8"/>
      <c r="G2293" s="8"/>
      <c r="H2293" s="28"/>
      <c r="I2293" s="28"/>
    </row>
    <row r="2294" spans="1:9" x14ac:dyDescent="0.35">
      <c r="A2294" s="8"/>
      <c r="B2294" s="8"/>
      <c r="C2294" s="8"/>
      <c r="D2294" s="28"/>
      <c r="E2294" s="8"/>
      <c r="F2294" s="8"/>
      <c r="G2294" s="8"/>
      <c r="H2294" s="28"/>
      <c r="I2294" s="28"/>
    </row>
    <row r="2295" spans="1:9" x14ac:dyDescent="0.35">
      <c r="A2295" s="8"/>
      <c r="B2295" s="8"/>
      <c r="C2295" s="8"/>
      <c r="D2295" s="28"/>
      <c r="E2295" s="8"/>
      <c r="F2295" s="8"/>
      <c r="G2295" s="8"/>
      <c r="H2295" s="28"/>
      <c r="I2295" s="28"/>
    </row>
    <row r="2296" spans="1:9" x14ac:dyDescent="0.35">
      <c r="A2296" s="8"/>
      <c r="B2296" s="8"/>
      <c r="C2296" s="8"/>
      <c r="D2296" s="28"/>
      <c r="E2296" s="8"/>
      <c r="F2296" s="8"/>
      <c r="G2296" s="8"/>
      <c r="H2296" s="28"/>
      <c r="I2296" s="28"/>
    </row>
    <row r="2297" spans="1:9" x14ac:dyDescent="0.35">
      <c r="A2297" s="8"/>
      <c r="B2297" s="8"/>
      <c r="C2297" s="8"/>
      <c r="D2297" s="28"/>
      <c r="E2297" s="8"/>
      <c r="F2297" s="8"/>
      <c r="G2297" s="8"/>
      <c r="H2297" s="28"/>
      <c r="I2297" s="28"/>
    </row>
    <row r="2298" spans="1:9" x14ac:dyDescent="0.35">
      <c r="A2298" s="8"/>
      <c r="B2298" s="8"/>
      <c r="C2298" s="8"/>
      <c r="D2298" s="28"/>
      <c r="E2298" s="8"/>
      <c r="F2298" s="8"/>
      <c r="G2298" s="8"/>
      <c r="H2298" s="28"/>
      <c r="I2298" s="28"/>
    </row>
    <row r="2299" spans="1:9" x14ac:dyDescent="0.35">
      <c r="A2299" s="8"/>
      <c r="B2299" s="8"/>
      <c r="C2299" s="8"/>
      <c r="D2299" s="28"/>
      <c r="E2299" s="8"/>
      <c r="F2299" s="8"/>
      <c r="G2299" s="8"/>
      <c r="H2299" s="28"/>
      <c r="I2299" s="28"/>
    </row>
    <row r="2300" spans="1:9" x14ac:dyDescent="0.35">
      <c r="A2300" s="8"/>
      <c r="B2300" s="8"/>
      <c r="C2300" s="8"/>
      <c r="D2300" s="28"/>
      <c r="E2300" s="8"/>
      <c r="F2300" s="8"/>
      <c r="G2300" s="8"/>
      <c r="H2300" s="28"/>
      <c r="I2300" s="28"/>
    </row>
    <row r="2301" spans="1:9" x14ac:dyDescent="0.35">
      <c r="A2301" s="8"/>
      <c r="B2301" s="8"/>
      <c r="C2301" s="8"/>
      <c r="D2301" s="28"/>
      <c r="E2301" s="8"/>
      <c r="F2301" s="8"/>
      <c r="G2301" s="8"/>
      <c r="H2301" s="28"/>
      <c r="I2301" s="28"/>
    </row>
    <row r="2302" spans="1:9" x14ac:dyDescent="0.35">
      <c r="A2302" s="8"/>
      <c r="B2302" s="8"/>
      <c r="C2302" s="8"/>
      <c r="D2302" s="28"/>
      <c r="E2302" s="8"/>
      <c r="F2302" s="8"/>
      <c r="G2302" s="8"/>
      <c r="H2302" s="28"/>
      <c r="I2302" s="28"/>
    </row>
    <row r="2303" spans="1:9" x14ac:dyDescent="0.35">
      <c r="A2303" s="8"/>
      <c r="B2303" s="8"/>
      <c r="C2303" s="8"/>
      <c r="D2303" s="28"/>
      <c r="E2303" s="8"/>
      <c r="F2303" s="8"/>
      <c r="G2303" s="8"/>
      <c r="H2303" s="28"/>
      <c r="I2303" s="28"/>
    </row>
    <row r="2304" spans="1:9" x14ac:dyDescent="0.35">
      <c r="A2304" s="8"/>
      <c r="B2304" s="8"/>
      <c r="C2304" s="8"/>
      <c r="D2304" s="28"/>
      <c r="E2304" s="8"/>
      <c r="F2304" s="8"/>
      <c r="G2304" s="8"/>
      <c r="H2304" s="28"/>
      <c r="I2304" s="28"/>
    </row>
    <row r="2305" spans="1:9" x14ac:dyDescent="0.35">
      <c r="A2305" s="8"/>
      <c r="B2305" s="8"/>
      <c r="C2305" s="8"/>
      <c r="D2305" s="28"/>
      <c r="E2305" s="8"/>
      <c r="F2305" s="8"/>
      <c r="G2305" s="8"/>
      <c r="H2305" s="28"/>
      <c r="I2305" s="28"/>
    </row>
    <row r="2306" spans="1:9" x14ac:dyDescent="0.35">
      <c r="A2306" s="8"/>
      <c r="B2306" s="8"/>
      <c r="C2306" s="8"/>
      <c r="D2306" s="28"/>
      <c r="E2306" s="8"/>
      <c r="F2306" s="8"/>
      <c r="G2306" s="8"/>
      <c r="H2306" s="28"/>
      <c r="I2306" s="28"/>
    </row>
    <row r="2307" spans="1:9" x14ac:dyDescent="0.35">
      <c r="A2307" s="8"/>
      <c r="B2307" s="8"/>
      <c r="C2307" s="8"/>
      <c r="D2307" s="28"/>
      <c r="E2307" s="8"/>
      <c r="F2307" s="8"/>
      <c r="G2307" s="8"/>
      <c r="H2307" s="28"/>
      <c r="I2307" s="28"/>
    </row>
    <row r="2308" spans="1:9" x14ac:dyDescent="0.35">
      <c r="A2308" s="8"/>
      <c r="B2308" s="8"/>
      <c r="C2308" s="8"/>
      <c r="D2308" s="28"/>
      <c r="E2308" s="8"/>
      <c r="F2308" s="8"/>
      <c r="G2308" s="8"/>
      <c r="H2308" s="28"/>
      <c r="I2308" s="28"/>
    </row>
    <row r="2309" spans="1:9" x14ac:dyDescent="0.35">
      <c r="A2309" s="8"/>
      <c r="B2309" s="8"/>
      <c r="C2309" s="8"/>
      <c r="D2309" s="28"/>
      <c r="E2309" s="8"/>
      <c r="F2309" s="8"/>
      <c r="G2309" s="8"/>
      <c r="H2309" s="28"/>
      <c r="I2309" s="28"/>
    </row>
    <row r="2310" spans="1:9" x14ac:dyDescent="0.35">
      <c r="A2310" s="8"/>
      <c r="B2310" s="8"/>
      <c r="C2310" s="8"/>
      <c r="D2310" s="28"/>
      <c r="E2310" s="8"/>
      <c r="F2310" s="8"/>
      <c r="G2310" s="8"/>
      <c r="H2310" s="28"/>
      <c r="I2310" s="28"/>
    </row>
    <row r="2311" spans="1:9" x14ac:dyDescent="0.35">
      <c r="A2311" s="8"/>
      <c r="B2311" s="8"/>
      <c r="C2311" s="8"/>
      <c r="D2311" s="28"/>
      <c r="E2311" s="8"/>
      <c r="F2311" s="8"/>
      <c r="G2311" s="8"/>
      <c r="H2311" s="28"/>
      <c r="I2311" s="28"/>
    </row>
    <row r="2312" spans="1:9" x14ac:dyDescent="0.35">
      <c r="A2312" s="8"/>
      <c r="B2312" s="8"/>
      <c r="C2312" s="8"/>
      <c r="D2312" s="28"/>
      <c r="E2312" s="8"/>
      <c r="F2312" s="8"/>
      <c r="G2312" s="8"/>
      <c r="H2312" s="28"/>
      <c r="I2312" s="28"/>
    </row>
    <row r="2313" spans="1:9" x14ac:dyDescent="0.35">
      <c r="A2313" s="8"/>
      <c r="B2313" s="8"/>
      <c r="C2313" s="8"/>
      <c r="D2313" s="28"/>
      <c r="E2313" s="8"/>
      <c r="F2313" s="8"/>
      <c r="G2313" s="8"/>
      <c r="H2313" s="28"/>
      <c r="I2313" s="28"/>
    </row>
    <row r="2314" spans="1:9" x14ac:dyDescent="0.35">
      <c r="A2314" s="8"/>
      <c r="B2314" s="8"/>
      <c r="C2314" s="8"/>
      <c r="D2314" s="28"/>
      <c r="E2314" s="8"/>
      <c r="F2314" s="8"/>
      <c r="G2314" s="8"/>
      <c r="H2314" s="28"/>
      <c r="I2314" s="28"/>
    </row>
    <row r="2315" spans="1:9" x14ac:dyDescent="0.35">
      <c r="A2315" s="8"/>
      <c r="B2315" s="8"/>
      <c r="C2315" s="8"/>
      <c r="D2315" s="28"/>
      <c r="E2315" s="8"/>
      <c r="F2315" s="8"/>
      <c r="G2315" s="8"/>
      <c r="H2315" s="28"/>
      <c r="I2315" s="28"/>
    </row>
    <row r="2316" spans="1:9" x14ac:dyDescent="0.35">
      <c r="A2316" s="8"/>
      <c r="B2316" s="8"/>
      <c r="C2316" s="8"/>
      <c r="D2316" s="28"/>
      <c r="E2316" s="8"/>
      <c r="F2316" s="8"/>
      <c r="G2316" s="8"/>
      <c r="H2316" s="28"/>
      <c r="I2316" s="28"/>
    </row>
    <row r="2317" spans="1:9" x14ac:dyDescent="0.35">
      <c r="A2317" s="8"/>
      <c r="B2317" s="8"/>
      <c r="C2317" s="8"/>
      <c r="D2317" s="28"/>
      <c r="E2317" s="8"/>
      <c r="F2317" s="8"/>
      <c r="G2317" s="8"/>
      <c r="H2317" s="28"/>
      <c r="I2317" s="28"/>
    </row>
    <row r="2318" spans="1:9" x14ac:dyDescent="0.35">
      <c r="A2318" s="8"/>
      <c r="B2318" s="8"/>
      <c r="C2318" s="8"/>
      <c r="D2318" s="28"/>
      <c r="E2318" s="8"/>
      <c r="F2318" s="8"/>
      <c r="G2318" s="8"/>
      <c r="H2318" s="28"/>
      <c r="I2318" s="28"/>
    </row>
    <row r="2319" spans="1:9" x14ac:dyDescent="0.35">
      <c r="A2319" s="8"/>
      <c r="B2319" s="8"/>
      <c r="C2319" s="8"/>
      <c r="D2319" s="28"/>
      <c r="E2319" s="8"/>
      <c r="F2319" s="8"/>
      <c r="G2319" s="8"/>
      <c r="H2319" s="28"/>
      <c r="I2319" s="28"/>
    </row>
    <row r="2320" spans="1:9" x14ac:dyDescent="0.35">
      <c r="A2320" s="8"/>
      <c r="B2320" s="8"/>
      <c r="C2320" s="8"/>
      <c r="D2320" s="28"/>
      <c r="E2320" s="8"/>
      <c r="F2320" s="8"/>
      <c r="G2320" s="8"/>
      <c r="H2320" s="28"/>
      <c r="I2320" s="28"/>
    </row>
    <row r="2321" spans="1:9" x14ac:dyDescent="0.35">
      <c r="A2321" s="8"/>
      <c r="B2321" s="8"/>
      <c r="C2321" s="8"/>
      <c r="D2321" s="28"/>
      <c r="E2321" s="8"/>
      <c r="F2321" s="8"/>
      <c r="G2321" s="8"/>
      <c r="H2321" s="28"/>
      <c r="I2321" s="28"/>
    </row>
    <row r="2322" spans="1:9" x14ac:dyDescent="0.35">
      <c r="A2322" s="8"/>
      <c r="B2322" s="8"/>
      <c r="C2322" s="8"/>
      <c r="D2322" s="28"/>
      <c r="E2322" s="8"/>
      <c r="F2322" s="8"/>
      <c r="G2322" s="8"/>
      <c r="H2322" s="28"/>
      <c r="I2322" s="28"/>
    </row>
    <row r="2323" spans="1:9" x14ac:dyDescent="0.35">
      <c r="A2323" s="8"/>
      <c r="B2323" s="8"/>
      <c r="C2323" s="8"/>
      <c r="D2323" s="28"/>
      <c r="E2323" s="8"/>
      <c r="F2323" s="8"/>
      <c r="G2323" s="8"/>
      <c r="H2323" s="28"/>
      <c r="I2323" s="28"/>
    </row>
    <row r="2324" spans="1:9" x14ac:dyDescent="0.35">
      <c r="A2324" s="8"/>
      <c r="B2324" s="8"/>
      <c r="C2324" s="8"/>
      <c r="D2324" s="28"/>
      <c r="E2324" s="8"/>
      <c r="F2324" s="8"/>
      <c r="G2324" s="8"/>
      <c r="H2324" s="28"/>
      <c r="I2324" s="28"/>
    </row>
    <row r="2325" spans="1:9" x14ac:dyDescent="0.35">
      <c r="A2325" s="8"/>
      <c r="B2325" s="8"/>
      <c r="C2325" s="8"/>
      <c r="D2325" s="28"/>
      <c r="E2325" s="8"/>
      <c r="F2325" s="8"/>
      <c r="G2325" s="8"/>
      <c r="H2325" s="28"/>
      <c r="I2325" s="28"/>
    </row>
    <row r="2326" spans="1:9" x14ac:dyDescent="0.35">
      <c r="A2326" s="8"/>
      <c r="B2326" s="8"/>
      <c r="C2326" s="8"/>
      <c r="D2326" s="28"/>
      <c r="E2326" s="8"/>
      <c r="F2326" s="8"/>
      <c r="G2326" s="8"/>
      <c r="H2326" s="28"/>
      <c r="I2326" s="28"/>
    </row>
    <row r="2327" spans="1:9" x14ac:dyDescent="0.35">
      <c r="A2327" s="8"/>
      <c r="B2327" s="8"/>
      <c r="C2327" s="8"/>
      <c r="D2327" s="28"/>
      <c r="E2327" s="8"/>
      <c r="F2327" s="8"/>
      <c r="G2327" s="8"/>
      <c r="H2327" s="28"/>
      <c r="I2327" s="28"/>
    </row>
    <row r="2328" spans="1:9" x14ac:dyDescent="0.35">
      <c r="A2328" s="8"/>
      <c r="B2328" s="8"/>
      <c r="C2328" s="8"/>
      <c r="D2328" s="28"/>
      <c r="E2328" s="8"/>
      <c r="F2328" s="8"/>
      <c r="G2328" s="8"/>
      <c r="H2328" s="28"/>
      <c r="I2328" s="28"/>
    </row>
    <row r="2329" spans="1:9" x14ac:dyDescent="0.35">
      <c r="A2329" s="8"/>
      <c r="B2329" s="8"/>
      <c r="C2329" s="8"/>
      <c r="D2329" s="28"/>
      <c r="E2329" s="8"/>
      <c r="F2329" s="8"/>
      <c r="G2329" s="8"/>
      <c r="H2329" s="28"/>
      <c r="I2329" s="28"/>
    </row>
    <row r="2330" spans="1:9" x14ac:dyDescent="0.35">
      <c r="A2330" s="8"/>
      <c r="B2330" s="8"/>
      <c r="C2330" s="8"/>
      <c r="D2330" s="28"/>
      <c r="E2330" s="8"/>
      <c r="F2330" s="8"/>
      <c r="G2330" s="8"/>
      <c r="H2330" s="28"/>
      <c r="I2330" s="28"/>
    </row>
    <row r="2331" spans="1:9" x14ac:dyDescent="0.35">
      <c r="A2331" s="8"/>
      <c r="B2331" s="8"/>
      <c r="C2331" s="8"/>
      <c r="D2331" s="28"/>
      <c r="E2331" s="8"/>
      <c r="F2331" s="8"/>
      <c r="G2331" s="8"/>
      <c r="H2331" s="28"/>
      <c r="I2331" s="28"/>
    </row>
    <row r="2332" spans="1:9" x14ac:dyDescent="0.35">
      <c r="A2332" s="8"/>
      <c r="B2332" s="8"/>
      <c r="C2332" s="8"/>
      <c r="D2332" s="28"/>
      <c r="E2332" s="8"/>
      <c r="F2332" s="8"/>
      <c r="G2332" s="8"/>
      <c r="H2332" s="28"/>
      <c r="I2332" s="28"/>
    </row>
    <row r="2333" spans="1:9" x14ac:dyDescent="0.35">
      <c r="A2333" s="8"/>
      <c r="B2333" s="8"/>
      <c r="C2333" s="8"/>
      <c r="D2333" s="28"/>
      <c r="E2333" s="8"/>
      <c r="F2333" s="8"/>
      <c r="G2333" s="8"/>
      <c r="H2333" s="28"/>
      <c r="I2333" s="28"/>
    </row>
    <row r="2334" spans="1:9" x14ac:dyDescent="0.35">
      <c r="A2334" s="8"/>
      <c r="B2334" s="8"/>
      <c r="C2334" s="8"/>
      <c r="D2334" s="28"/>
      <c r="E2334" s="8"/>
      <c r="F2334" s="8"/>
      <c r="G2334" s="8"/>
      <c r="H2334" s="28"/>
      <c r="I2334" s="28"/>
    </row>
    <row r="2335" spans="1:9" x14ac:dyDescent="0.35">
      <c r="A2335" s="8"/>
      <c r="B2335" s="8"/>
      <c r="C2335" s="8"/>
      <c r="D2335" s="28"/>
      <c r="E2335" s="8"/>
      <c r="F2335" s="8"/>
      <c r="G2335" s="8"/>
      <c r="H2335" s="28"/>
      <c r="I2335" s="28"/>
    </row>
    <row r="2336" spans="1:9" x14ac:dyDescent="0.35">
      <c r="A2336" s="8"/>
      <c r="B2336" s="8"/>
      <c r="C2336" s="8"/>
      <c r="D2336" s="28"/>
      <c r="E2336" s="8"/>
      <c r="F2336" s="8"/>
      <c r="G2336" s="8"/>
      <c r="H2336" s="28"/>
      <c r="I2336" s="28"/>
    </row>
    <row r="2337" spans="1:9" x14ac:dyDescent="0.35">
      <c r="A2337" s="8"/>
      <c r="B2337" s="8"/>
      <c r="C2337" s="8"/>
      <c r="D2337" s="28"/>
      <c r="E2337" s="8"/>
      <c r="F2337" s="8"/>
      <c r="G2337" s="8"/>
      <c r="H2337" s="28"/>
      <c r="I2337" s="28"/>
    </row>
    <row r="2338" spans="1:9" x14ac:dyDescent="0.35">
      <c r="A2338" s="8"/>
      <c r="B2338" s="8"/>
      <c r="C2338" s="8"/>
      <c r="D2338" s="28"/>
      <c r="E2338" s="8"/>
      <c r="F2338" s="8"/>
      <c r="G2338" s="8"/>
      <c r="H2338" s="28"/>
      <c r="I2338" s="28"/>
    </row>
    <row r="2339" spans="1:9" x14ac:dyDescent="0.35">
      <c r="A2339" s="8"/>
      <c r="B2339" s="8"/>
      <c r="C2339" s="8"/>
      <c r="D2339" s="28"/>
      <c r="E2339" s="8"/>
      <c r="F2339" s="8"/>
      <c r="G2339" s="8"/>
      <c r="H2339" s="28"/>
      <c r="I2339" s="28"/>
    </row>
    <row r="2340" spans="1:9" x14ac:dyDescent="0.35">
      <c r="A2340" s="8"/>
      <c r="B2340" s="8"/>
      <c r="C2340" s="8"/>
      <c r="D2340" s="28"/>
      <c r="E2340" s="8"/>
      <c r="F2340" s="8"/>
      <c r="G2340" s="8"/>
      <c r="H2340" s="28"/>
      <c r="I2340" s="28"/>
    </row>
    <row r="2341" spans="1:9" x14ac:dyDescent="0.35">
      <c r="A2341" s="8"/>
      <c r="B2341" s="8"/>
      <c r="C2341" s="8"/>
      <c r="D2341" s="28"/>
      <c r="E2341" s="8"/>
      <c r="F2341" s="8"/>
      <c r="G2341" s="8"/>
      <c r="H2341" s="28"/>
      <c r="I2341" s="28"/>
    </row>
    <row r="2342" spans="1:9" x14ac:dyDescent="0.35">
      <c r="A2342" s="8"/>
      <c r="B2342" s="8"/>
      <c r="C2342" s="8"/>
      <c r="D2342" s="28"/>
      <c r="E2342" s="8"/>
      <c r="F2342" s="8"/>
      <c r="G2342" s="8"/>
      <c r="H2342" s="28"/>
      <c r="I2342" s="28"/>
    </row>
    <row r="2343" spans="1:9" x14ac:dyDescent="0.35">
      <c r="A2343" s="8"/>
      <c r="B2343" s="8"/>
      <c r="C2343" s="8"/>
      <c r="D2343" s="28"/>
      <c r="E2343" s="8"/>
      <c r="F2343" s="8"/>
      <c r="G2343" s="8"/>
      <c r="H2343" s="28"/>
      <c r="I2343" s="28"/>
    </row>
    <row r="2344" spans="1:9" x14ac:dyDescent="0.35">
      <c r="A2344" s="8"/>
      <c r="B2344" s="8"/>
      <c r="C2344" s="8"/>
      <c r="D2344" s="28"/>
      <c r="E2344" s="8"/>
      <c r="F2344" s="8"/>
      <c r="G2344" s="8"/>
      <c r="H2344" s="28"/>
      <c r="I2344" s="28"/>
    </row>
    <row r="2345" spans="1:9" x14ac:dyDescent="0.35">
      <c r="A2345" s="8"/>
      <c r="B2345" s="8"/>
      <c r="C2345" s="8"/>
      <c r="D2345" s="28"/>
      <c r="E2345" s="8"/>
      <c r="F2345" s="8"/>
      <c r="G2345" s="8"/>
      <c r="H2345" s="28"/>
      <c r="I2345" s="28"/>
    </row>
    <row r="2346" spans="1:9" x14ac:dyDescent="0.35">
      <c r="A2346" s="8"/>
      <c r="B2346" s="8"/>
      <c r="C2346" s="8"/>
      <c r="D2346" s="28"/>
      <c r="E2346" s="8"/>
      <c r="F2346" s="8"/>
      <c r="G2346" s="8"/>
      <c r="H2346" s="28"/>
      <c r="I2346" s="28"/>
    </row>
    <row r="2347" spans="1:9" x14ac:dyDescent="0.35">
      <c r="A2347" s="8"/>
      <c r="B2347" s="8"/>
      <c r="C2347" s="8"/>
      <c r="D2347" s="28"/>
      <c r="E2347" s="8"/>
      <c r="F2347" s="8"/>
      <c r="G2347" s="8"/>
      <c r="H2347" s="28"/>
      <c r="I2347" s="28"/>
    </row>
    <row r="2348" spans="1:9" x14ac:dyDescent="0.35">
      <c r="A2348" s="8"/>
      <c r="B2348" s="8"/>
      <c r="C2348" s="8"/>
      <c r="D2348" s="28"/>
      <c r="E2348" s="8"/>
      <c r="F2348" s="8"/>
      <c r="G2348" s="8"/>
      <c r="H2348" s="28"/>
      <c r="I2348" s="28"/>
    </row>
    <row r="2349" spans="1:9" x14ac:dyDescent="0.35">
      <c r="A2349" s="8"/>
      <c r="B2349" s="8"/>
      <c r="C2349" s="8"/>
      <c r="D2349" s="28"/>
      <c r="E2349" s="8"/>
      <c r="F2349" s="8"/>
      <c r="G2349" s="8"/>
      <c r="H2349" s="28"/>
      <c r="I2349" s="28"/>
    </row>
    <row r="2350" spans="1:9" x14ac:dyDescent="0.35">
      <c r="A2350" s="8"/>
      <c r="B2350" s="8"/>
      <c r="C2350" s="8"/>
      <c r="D2350" s="28"/>
      <c r="E2350" s="8"/>
      <c r="F2350" s="8"/>
      <c r="G2350" s="8"/>
      <c r="H2350" s="28"/>
      <c r="I2350" s="28"/>
    </row>
    <row r="2351" spans="1:9" x14ac:dyDescent="0.35">
      <c r="A2351" s="8"/>
      <c r="B2351" s="8"/>
      <c r="C2351" s="8"/>
      <c r="D2351" s="28"/>
      <c r="E2351" s="8"/>
      <c r="F2351" s="8"/>
      <c r="G2351" s="8"/>
      <c r="H2351" s="28"/>
      <c r="I2351" s="28"/>
    </row>
    <row r="2352" spans="1:9" x14ac:dyDescent="0.35">
      <c r="A2352" s="8"/>
      <c r="B2352" s="8"/>
      <c r="C2352" s="8"/>
      <c r="D2352" s="28"/>
      <c r="E2352" s="8"/>
      <c r="F2352" s="8"/>
      <c r="G2352" s="8"/>
      <c r="H2352" s="28"/>
      <c r="I2352" s="28"/>
    </row>
    <row r="2353" spans="1:9" x14ac:dyDescent="0.35">
      <c r="A2353" s="8"/>
      <c r="B2353" s="8"/>
      <c r="C2353" s="8"/>
      <c r="D2353" s="28"/>
      <c r="E2353" s="8"/>
      <c r="F2353" s="8"/>
      <c r="G2353" s="8"/>
      <c r="H2353" s="28"/>
      <c r="I2353" s="28"/>
    </row>
    <row r="2354" spans="1:9" x14ac:dyDescent="0.35">
      <c r="A2354" s="8"/>
      <c r="B2354" s="8"/>
      <c r="C2354" s="8"/>
      <c r="D2354" s="28"/>
      <c r="E2354" s="8"/>
      <c r="F2354" s="8"/>
      <c r="G2354" s="8"/>
      <c r="H2354" s="28"/>
      <c r="I2354" s="28"/>
    </row>
    <row r="2355" spans="1:9" x14ac:dyDescent="0.35">
      <c r="A2355" s="8"/>
      <c r="B2355" s="8"/>
      <c r="C2355" s="8"/>
      <c r="D2355" s="28"/>
      <c r="E2355" s="8"/>
      <c r="F2355" s="8"/>
      <c r="G2355" s="8"/>
      <c r="H2355" s="28"/>
      <c r="I2355" s="28"/>
    </row>
    <row r="2356" spans="1:9" x14ac:dyDescent="0.35">
      <c r="A2356" s="8"/>
      <c r="B2356" s="8"/>
      <c r="C2356" s="8"/>
      <c r="D2356" s="28"/>
      <c r="E2356" s="8"/>
      <c r="F2356" s="8"/>
      <c r="G2356" s="8"/>
      <c r="H2356" s="28"/>
      <c r="I2356" s="28"/>
    </row>
    <row r="2357" spans="1:9" x14ac:dyDescent="0.35">
      <c r="A2357" s="8"/>
      <c r="B2357" s="8"/>
      <c r="C2357" s="8"/>
      <c r="D2357" s="28"/>
      <c r="E2357" s="8"/>
      <c r="F2357" s="8"/>
      <c r="G2357" s="8"/>
      <c r="H2357" s="28"/>
      <c r="I2357" s="28"/>
    </row>
    <row r="2358" spans="1:9" x14ac:dyDescent="0.35">
      <c r="A2358" s="8"/>
      <c r="B2358" s="8"/>
      <c r="C2358" s="8"/>
      <c r="D2358" s="28"/>
      <c r="E2358" s="8"/>
      <c r="F2358" s="8"/>
      <c r="G2358" s="8"/>
      <c r="H2358" s="28"/>
      <c r="I2358" s="28"/>
    </row>
    <row r="2359" spans="1:9" x14ac:dyDescent="0.35">
      <c r="A2359" s="8"/>
      <c r="B2359" s="8"/>
      <c r="C2359" s="8"/>
      <c r="D2359" s="28"/>
      <c r="E2359" s="8"/>
      <c r="F2359" s="8"/>
      <c r="G2359" s="8"/>
      <c r="H2359" s="28"/>
      <c r="I2359" s="28"/>
    </row>
    <row r="2360" spans="1:9" x14ac:dyDescent="0.35">
      <c r="A2360" s="8"/>
      <c r="B2360" s="8"/>
      <c r="C2360" s="8"/>
      <c r="D2360" s="28"/>
      <c r="E2360" s="8"/>
      <c r="F2360" s="8"/>
      <c r="G2360" s="8"/>
      <c r="H2360" s="28"/>
      <c r="I2360" s="28"/>
    </row>
    <row r="2361" spans="1:9" x14ac:dyDescent="0.35">
      <c r="A2361" s="8"/>
      <c r="B2361" s="8"/>
      <c r="C2361" s="8"/>
      <c r="D2361" s="28"/>
      <c r="E2361" s="8"/>
      <c r="F2361" s="8"/>
      <c r="G2361" s="8"/>
      <c r="H2361" s="28"/>
      <c r="I2361" s="28"/>
    </row>
    <row r="2362" spans="1:9" x14ac:dyDescent="0.35">
      <c r="A2362" s="8"/>
      <c r="B2362" s="8"/>
      <c r="C2362" s="8"/>
      <c r="D2362" s="28"/>
      <c r="E2362" s="8"/>
      <c r="F2362" s="8"/>
      <c r="G2362" s="8"/>
      <c r="H2362" s="28"/>
      <c r="I2362" s="28"/>
    </row>
    <row r="2363" spans="1:9" x14ac:dyDescent="0.35">
      <c r="A2363" s="8"/>
      <c r="B2363" s="8"/>
      <c r="C2363" s="8"/>
      <c r="D2363" s="28"/>
      <c r="E2363" s="8"/>
      <c r="F2363" s="8"/>
      <c r="G2363" s="8"/>
      <c r="H2363" s="28"/>
      <c r="I2363" s="28"/>
    </row>
    <row r="2364" spans="1:9" x14ac:dyDescent="0.35">
      <c r="A2364" s="8"/>
      <c r="B2364" s="8"/>
      <c r="C2364" s="8"/>
      <c r="D2364" s="28"/>
      <c r="E2364" s="8"/>
      <c r="F2364" s="8"/>
      <c r="G2364" s="8"/>
      <c r="H2364" s="28"/>
      <c r="I2364" s="28"/>
    </row>
    <row r="2365" spans="1:9" x14ac:dyDescent="0.35">
      <c r="A2365" s="8"/>
      <c r="B2365" s="8"/>
      <c r="C2365" s="8"/>
      <c r="D2365" s="28"/>
      <c r="E2365" s="8"/>
      <c r="F2365" s="8"/>
      <c r="G2365" s="8"/>
      <c r="H2365" s="28"/>
      <c r="I2365" s="28"/>
    </row>
    <row r="2366" spans="1:9" x14ac:dyDescent="0.35">
      <c r="A2366" s="8"/>
      <c r="B2366" s="8"/>
      <c r="C2366" s="8"/>
      <c r="D2366" s="28"/>
      <c r="E2366" s="8"/>
      <c r="F2366" s="8"/>
      <c r="G2366" s="8"/>
      <c r="H2366" s="28"/>
      <c r="I2366" s="28"/>
    </row>
    <row r="2367" spans="1:9" x14ac:dyDescent="0.35">
      <c r="A2367" s="8"/>
      <c r="B2367" s="8"/>
      <c r="C2367" s="8"/>
      <c r="D2367" s="28"/>
      <c r="E2367" s="8"/>
      <c r="F2367" s="8"/>
      <c r="G2367" s="8"/>
      <c r="H2367" s="28"/>
      <c r="I2367" s="28"/>
    </row>
    <row r="2368" spans="1:9" x14ac:dyDescent="0.35">
      <c r="A2368" s="8"/>
      <c r="B2368" s="8"/>
      <c r="C2368" s="8"/>
      <c r="D2368" s="28"/>
      <c r="E2368" s="8"/>
      <c r="F2368" s="8"/>
      <c r="G2368" s="8"/>
      <c r="H2368" s="28"/>
      <c r="I2368" s="28"/>
    </row>
    <row r="2369" spans="1:9" x14ac:dyDescent="0.35">
      <c r="A2369" s="8"/>
      <c r="B2369" s="8"/>
      <c r="C2369" s="8"/>
      <c r="D2369" s="28"/>
      <c r="E2369" s="8"/>
      <c r="F2369" s="8"/>
      <c r="G2369" s="8"/>
      <c r="H2369" s="28"/>
      <c r="I2369" s="28"/>
    </row>
    <row r="2370" spans="1:9" x14ac:dyDescent="0.35">
      <c r="A2370" s="8"/>
      <c r="B2370" s="8"/>
      <c r="C2370" s="8"/>
      <c r="D2370" s="28"/>
      <c r="E2370" s="8"/>
      <c r="F2370" s="8"/>
      <c r="G2370" s="8"/>
      <c r="H2370" s="28"/>
      <c r="I2370" s="28"/>
    </row>
    <row r="2371" spans="1:9" x14ac:dyDescent="0.35">
      <c r="A2371" s="8"/>
      <c r="B2371" s="8"/>
      <c r="C2371" s="8"/>
      <c r="D2371" s="28"/>
      <c r="E2371" s="8"/>
      <c r="F2371" s="8"/>
      <c r="G2371" s="8"/>
      <c r="H2371" s="28"/>
      <c r="I2371" s="28"/>
    </row>
    <row r="2372" spans="1:9" x14ac:dyDescent="0.35">
      <c r="A2372" s="8"/>
      <c r="B2372" s="8"/>
      <c r="C2372" s="8"/>
      <c r="D2372" s="28"/>
      <c r="E2372" s="8"/>
      <c r="F2372" s="8"/>
      <c r="G2372" s="8"/>
      <c r="H2372" s="28"/>
      <c r="I2372" s="28"/>
    </row>
    <row r="2373" spans="1:9" x14ac:dyDescent="0.35">
      <c r="A2373" s="8"/>
      <c r="B2373" s="8"/>
      <c r="C2373" s="8"/>
      <c r="D2373" s="28"/>
      <c r="E2373" s="8"/>
      <c r="F2373" s="8"/>
      <c r="G2373" s="8"/>
      <c r="H2373" s="28"/>
      <c r="I2373" s="28"/>
    </row>
    <row r="2374" spans="1:9" x14ac:dyDescent="0.35">
      <c r="A2374" s="8"/>
      <c r="B2374" s="8"/>
      <c r="C2374" s="8"/>
      <c r="D2374" s="28"/>
      <c r="E2374" s="8"/>
      <c r="F2374" s="8"/>
      <c r="G2374" s="8"/>
      <c r="H2374" s="28"/>
      <c r="I2374" s="28"/>
    </row>
    <row r="2375" spans="1:9" x14ac:dyDescent="0.35">
      <c r="A2375" s="8"/>
      <c r="B2375" s="8"/>
      <c r="C2375" s="8"/>
      <c r="D2375" s="28"/>
      <c r="E2375" s="8"/>
      <c r="F2375" s="8"/>
      <c r="G2375" s="8"/>
      <c r="H2375" s="28"/>
      <c r="I2375" s="28"/>
    </row>
    <row r="2376" spans="1:9" x14ac:dyDescent="0.35">
      <c r="A2376" s="8"/>
      <c r="B2376" s="8"/>
      <c r="C2376" s="8"/>
      <c r="D2376" s="28"/>
      <c r="E2376" s="8"/>
      <c r="F2376" s="8"/>
      <c r="G2376" s="8"/>
      <c r="H2376" s="28"/>
      <c r="I2376" s="28"/>
    </row>
    <row r="2377" spans="1:9" x14ac:dyDescent="0.35">
      <c r="A2377" s="8"/>
      <c r="B2377" s="8"/>
      <c r="C2377" s="8"/>
      <c r="D2377" s="28"/>
      <c r="E2377" s="8"/>
      <c r="F2377" s="8"/>
      <c r="G2377" s="8"/>
      <c r="H2377" s="28"/>
      <c r="I2377" s="28"/>
    </row>
    <row r="2378" spans="1:9" x14ac:dyDescent="0.35">
      <c r="A2378" s="8"/>
      <c r="B2378" s="8"/>
      <c r="C2378" s="8"/>
      <c r="D2378" s="28"/>
      <c r="E2378" s="8"/>
      <c r="F2378" s="8"/>
      <c r="G2378" s="8"/>
      <c r="H2378" s="28"/>
      <c r="I2378" s="28"/>
    </row>
    <row r="2379" spans="1:9" x14ac:dyDescent="0.35">
      <c r="A2379" s="8"/>
      <c r="B2379" s="8"/>
      <c r="C2379" s="8"/>
      <c r="D2379" s="28"/>
      <c r="E2379" s="8"/>
      <c r="F2379" s="8"/>
      <c r="G2379" s="8"/>
      <c r="H2379" s="28"/>
      <c r="I2379" s="28"/>
    </row>
    <row r="2380" spans="1:9" x14ac:dyDescent="0.35">
      <c r="A2380" s="8"/>
      <c r="B2380" s="8"/>
      <c r="C2380" s="8"/>
      <c r="D2380" s="28"/>
      <c r="E2380" s="8"/>
      <c r="F2380" s="8"/>
      <c r="G2380" s="8"/>
      <c r="H2380" s="28"/>
      <c r="I2380" s="28"/>
    </row>
    <row r="2381" spans="1:9" x14ac:dyDescent="0.35">
      <c r="A2381" s="8"/>
      <c r="B2381" s="8"/>
      <c r="C2381" s="8"/>
      <c r="D2381" s="28"/>
      <c r="E2381" s="8"/>
      <c r="F2381" s="8"/>
      <c r="G2381" s="8"/>
      <c r="H2381" s="28"/>
      <c r="I2381" s="28"/>
    </row>
    <row r="2382" spans="1:9" x14ac:dyDescent="0.35">
      <c r="A2382" s="8"/>
      <c r="B2382" s="8"/>
      <c r="C2382" s="8"/>
      <c r="D2382" s="28"/>
      <c r="E2382" s="8"/>
      <c r="F2382" s="8"/>
      <c r="G2382" s="8"/>
      <c r="H2382" s="28"/>
      <c r="I2382" s="28"/>
    </row>
    <row r="2383" spans="1:9" x14ac:dyDescent="0.35">
      <c r="A2383" s="8"/>
      <c r="B2383" s="8"/>
      <c r="C2383" s="8"/>
      <c r="D2383" s="28"/>
      <c r="E2383" s="8"/>
      <c r="F2383" s="8"/>
      <c r="G2383" s="8"/>
      <c r="H2383" s="28"/>
      <c r="I2383" s="28"/>
    </row>
    <row r="2384" spans="1:9" x14ac:dyDescent="0.35">
      <c r="A2384" s="8"/>
      <c r="B2384" s="8"/>
      <c r="C2384" s="8"/>
      <c r="D2384" s="28"/>
      <c r="E2384" s="8"/>
      <c r="F2384" s="8"/>
      <c r="G2384" s="8"/>
      <c r="H2384" s="28"/>
      <c r="I2384" s="28"/>
    </row>
    <row r="2385" spans="1:9" x14ac:dyDescent="0.35">
      <c r="A2385" s="8"/>
      <c r="B2385" s="8"/>
      <c r="C2385" s="8"/>
      <c r="D2385" s="28"/>
      <c r="E2385" s="8"/>
      <c r="F2385" s="8"/>
      <c r="G2385" s="8"/>
      <c r="H2385" s="28"/>
      <c r="I2385" s="28"/>
    </row>
    <row r="2386" spans="1:9" x14ac:dyDescent="0.35">
      <c r="A2386" s="8"/>
      <c r="B2386" s="8"/>
      <c r="C2386" s="8"/>
      <c r="D2386" s="28"/>
      <c r="E2386" s="8"/>
      <c r="F2386" s="8"/>
      <c r="G2386" s="8"/>
      <c r="H2386" s="28"/>
      <c r="I2386" s="28"/>
    </row>
    <row r="2387" spans="1:9" x14ac:dyDescent="0.35">
      <c r="A2387" s="8"/>
      <c r="B2387" s="8"/>
      <c r="C2387" s="8"/>
      <c r="D2387" s="28"/>
      <c r="E2387" s="8"/>
      <c r="F2387" s="8"/>
      <c r="G2387" s="8"/>
      <c r="H2387" s="28"/>
      <c r="I2387" s="28"/>
    </row>
    <row r="2388" spans="1:9" x14ac:dyDescent="0.35">
      <c r="A2388" s="8"/>
      <c r="B2388" s="8"/>
      <c r="C2388" s="8"/>
      <c r="D2388" s="28"/>
      <c r="E2388" s="8"/>
      <c r="F2388" s="8"/>
      <c r="G2388" s="8"/>
      <c r="H2388" s="28"/>
      <c r="I2388" s="28"/>
    </row>
    <row r="2389" spans="1:9" x14ac:dyDescent="0.35">
      <c r="A2389" s="8"/>
      <c r="B2389" s="8"/>
      <c r="C2389" s="8"/>
      <c r="D2389" s="28"/>
      <c r="E2389" s="8"/>
      <c r="F2389" s="8"/>
      <c r="G2389" s="8"/>
      <c r="H2389" s="28"/>
      <c r="I2389" s="28"/>
    </row>
    <row r="2390" spans="1:9" x14ac:dyDescent="0.35">
      <c r="A2390" s="8"/>
      <c r="B2390" s="8"/>
      <c r="C2390" s="8"/>
      <c r="D2390" s="28"/>
      <c r="E2390" s="8"/>
      <c r="F2390" s="8"/>
      <c r="G2390" s="8"/>
      <c r="H2390" s="28"/>
      <c r="I2390" s="28"/>
    </row>
    <row r="2391" spans="1:9" x14ac:dyDescent="0.35">
      <c r="A2391" s="8"/>
      <c r="B2391" s="8"/>
      <c r="C2391" s="8"/>
      <c r="D2391" s="28"/>
      <c r="E2391" s="8"/>
      <c r="F2391" s="8"/>
      <c r="G2391" s="8"/>
      <c r="H2391" s="28"/>
      <c r="I2391" s="28"/>
    </row>
    <row r="2392" spans="1:9" x14ac:dyDescent="0.35">
      <c r="A2392" s="8"/>
      <c r="B2392" s="8"/>
      <c r="C2392" s="8"/>
      <c r="D2392" s="28"/>
      <c r="E2392" s="8"/>
      <c r="F2392" s="8"/>
      <c r="G2392" s="8"/>
      <c r="H2392" s="28"/>
      <c r="I2392" s="28"/>
    </row>
    <row r="2393" spans="1:9" x14ac:dyDescent="0.35">
      <c r="A2393" s="8"/>
      <c r="B2393" s="8"/>
      <c r="C2393" s="8"/>
      <c r="D2393" s="28"/>
      <c r="E2393" s="8"/>
      <c r="F2393" s="8"/>
      <c r="G2393" s="8"/>
      <c r="H2393" s="28"/>
      <c r="I2393" s="28"/>
    </row>
    <row r="2394" spans="1:9" x14ac:dyDescent="0.35">
      <c r="A2394" s="8"/>
      <c r="B2394" s="8"/>
      <c r="C2394" s="8"/>
      <c r="D2394" s="28"/>
      <c r="E2394" s="8"/>
      <c r="F2394" s="8"/>
      <c r="G2394" s="8"/>
      <c r="H2394" s="28"/>
      <c r="I2394" s="28"/>
    </row>
    <row r="2395" spans="1:9" x14ac:dyDescent="0.35">
      <c r="A2395" s="8"/>
      <c r="B2395" s="8"/>
      <c r="C2395" s="8"/>
      <c r="D2395" s="28"/>
      <c r="E2395" s="8"/>
      <c r="F2395" s="8"/>
      <c r="G2395" s="8"/>
      <c r="H2395" s="28"/>
      <c r="I2395" s="28"/>
    </row>
    <row r="2396" spans="1:9" x14ac:dyDescent="0.35">
      <c r="A2396" s="8"/>
      <c r="B2396" s="8"/>
      <c r="C2396" s="8"/>
      <c r="D2396" s="28"/>
      <c r="E2396" s="8"/>
      <c r="F2396" s="8"/>
      <c r="G2396" s="8"/>
      <c r="H2396" s="28"/>
      <c r="I2396" s="28"/>
    </row>
    <row r="2397" spans="1:9" x14ac:dyDescent="0.35">
      <c r="A2397" s="8"/>
      <c r="B2397" s="8"/>
      <c r="C2397" s="8"/>
      <c r="D2397" s="28"/>
      <c r="E2397" s="8"/>
      <c r="F2397" s="8"/>
      <c r="G2397" s="8"/>
      <c r="H2397" s="28"/>
      <c r="I2397" s="28"/>
    </row>
    <row r="2398" spans="1:9" x14ac:dyDescent="0.35">
      <c r="A2398" s="8"/>
      <c r="B2398" s="8"/>
      <c r="C2398" s="8"/>
      <c r="D2398" s="28"/>
      <c r="E2398" s="8"/>
      <c r="F2398" s="8"/>
      <c r="G2398" s="8"/>
      <c r="H2398" s="28"/>
      <c r="I2398" s="28"/>
    </row>
    <row r="2399" spans="1:9" x14ac:dyDescent="0.35">
      <c r="A2399" s="8"/>
      <c r="B2399" s="8"/>
      <c r="C2399" s="8"/>
      <c r="D2399" s="28"/>
      <c r="E2399" s="8"/>
      <c r="F2399" s="8"/>
      <c r="G2399" s="8"/>
      <c r="H2399" s="28"/>
      <c r="I2399" s="28"/>
    </row>
    <row r="2400" spans="1:9" x14ac:dyDescent="0.35">
      <c r="A2400" s="8"/>
      <c r="B2400" s="8"/>
      <c r="C2400" s="8"/>
      <c r="D2400" s="28"/>
      <c r="E2400" s="8"/>
      <c r="F2400" s="8"/>
      <c r="G2400" s="8"/>
      <c r="H2400" s="28"/>
      <c r="I2400" s="28"/>
    </row>
    <row r="2401" spans="1:9" x14ac:dyDescent="0.35">
      <c r="A2401" s="8"/>
      <c r="B2401" s="8"/>
      <c r="C2401" s="8"/>
      <c r="D2401" s="28"/>
      <c r="E2401" s="8"/>
      <c r="F2401" s="8"/>
      <c r="G2401" s="8"/>
      <c r="H2401" s="28"/>
      <c r="I2401" s="28"/>
    </row>
    <row r="2402" spans="1:9" x14ac:dyDescent="0.35">
      <c r="A2402" s="8"/>
      <c r="B2402" s="8"/>
      <c r="C2402" s="8"/>
      <c r="D2402" s="28"/>
      <c r="E2402" s="8"/>
      <c r="F2402" s="8"/>
      <c r="G2402" s="8"/>
      <c r="H2402" s="28"/>
      <c r="I2402" s="28"/>
    </row>
    <row r="2403" spans="1:9" x14ac:dyDescent="0.35">
      <c r="A2403" s="8"/>
      <c r="B2403" s="8"/>
      <c r="C2403" s="8"/>
      <c r="D2403" s="28"/>
      <c r="E2403" s="8"/>
      <c r="F2403" s="8"/>
      <c r="G2403" s="8"/>
      <c r="H2403" s="28"/>
      <c r="I2403" s="28"/>
    </row>
    <row r="2404" spans="1:9" x14ac:dyDescent="0.35">
      <c r="A2404" s="8"/>
      <c r="B2404" s="8"/>
      <c r="C2404" s="8"/>
      <c r="D2404" s="28"/>
      <c r="E2404" s="8"/>
      <c r="F2404" s="8"/>
      <c r="G2404" s="8"/>
      <c r="H2404" s="28"/>
      <c r="I2404" s="28"/>
    </row>
    <row r="2405" spans="1:9" x14ac:dyDescent="0.35">
      <c r="A2405" s="8"/>
      <c r="B2405" s="8"/>
      <c r="C2405" s="8"/>
      <c r="D2405" s="28"/>
      <c r="E2405" s="8"/>
      <c r="F2405" s="8"/>
      <c r="G2405" s="8"/>
      <c r="H2405" s="28"/>
      <c r="I2405" s="28"/>
    </row>
    <row r="2406" spans="1:9" x14ac:dyDescent="0.35">
      <c r="A2406" s="8"/>
      <c r="B2406" s="8"/>
      <c r="C2406" s="8"/>
      <c r="D2406" s="28"/>
      <c r="E2406" s="8"/>
      <c r="F2406" s="8"/>
      <c r="G2406" s="8"/>
      <c r="H2406" s="28"/>
      <c r="I2406" s="28"/>
    </row>
    <row r="2407" spans="1:9" x14ac:dyDescent="0.35">
      <c r="A2407" s="8"/>
      <c r="B2407" s="8"/>
      <c r="C2407" s="8"/>
      <c r="D2407" s="28"/>
      <c r="E2407" s="8"/>
      <c r="F2407" s="8"/>
      <c r="G2407" s="8"/>
      <c r="H2407" s="28"/>
      <c r="I2407" s="28"/>
    </row>
    <row r="2408" spans="1:9" x14ac:dyDescent="0.35">
      <c r="A2408" s="8"/>
      <c r="B2408" s="8"/>
      <c r="C2408" s="8"/>
      <c r="D2408" s="28"/>
      <c r="E2408" s="8"/>
      <c r="F2408" s="8"/>
      <c r="G2408" s="8"/>
      <c r="H2408" s="28"/>
      <c r="I2408" s="28"/>
    </row>
    <row r="2409" spans="1:9" x14ac:dyDescent="0.35">
      <c r="A2409" s="8"/>
      <c r="B2409" s="8"/>
      <c r="C2409" s="8"/>
      <c r="D2409" s="28"/>
      <c r="E2409" s="8"/>
      <c r="F2409" s="8"/>
      <c r="G2409" s="8"/>
      <c r="H2409" s="28"/>
      <c r="I2409" s="28"/>
    </row>
    <row r="2410" spans="1:9" x14ac:dyDescent="0.35">
      <c r="A2410" s="8"/>
      <c r="B2410" s="8"/>
      <c r="C2410" s="8"/>
      <c r="D2410" s="28"/>
      <c r="E2410" s="8"/>
      <c r="F2410" s="8"/>
      <c r="G2410" s="8"/>
      <c r="H2410" s="28"/>
      <c r="I2410" s="28"/>
    </row>
    <row r="2411" spans="1:9" x14ac:dyDescent="0.35">
      <c r="A2411" s="8"/>
      <c r="B2411" s="8"/>
      <c r="C2411" s="8"/>
      <c r="D2411" s="28"/>
      <c r="E2411" s="8"/>
      <c r="F2411" s="8"/>
      <c r="G2411" s="8"/>
      <c r="H2411" s="28"/>
      <c r="I2411" s="28"/>
    </row>
    <row r="2412" spans="1:9" x14ac:dyDescent="0.35">
      <c r="A2412" s="8"/>
      <c r="B2412" s="8"/>
      <c r="C2412" s="8"/>
      <c r="D2412" s="28"/>
      <c r="E2412" s="8"/>
      <c r="F2412" s="8"/>
      <c r="G2412" s="8"/>
      <c r="H2412" s="28"/>
      <c r="I2412" s="28"/>
    </row>
    <row r="2413" spans="1:9" x14ac:dyDescent="0.35">
      <c r="A2413" s="8"/>
      <c r="B2413" s="8"/>
      <c r="C2413" s="8"/>
      <c r="D2413" s="28"/>
      <c r="E2413" s="8"/>
      <c r="F2413" s="8"/>
      <c r="G2413" s="8"/>
      <c r="H2413" s="28"/>
      <c r="I2413" s="28"/>
    </row>
    <row r="2414" spans="1:9" x14ac:dyDescent="0.35">
      <c r="A2414" s="8"/>
      <c r="B2414" s="8"/>
      <c r="C2414" s="8"/>
      <c r="D2414" s="28"/>
      <c r="E2414" s="8"/>
      <c r="F2414" s="8"/>
      <c r="G2414" s="8"/>
      <c r="H2414" s="28"/>
      <c r="I2414" s="28"/>
    </row>
    <row r="2415" spans="1:9" x14ac:dyDescent="0.35">
      <c r="A2415" s="8"/>
      <c r="B2415" s="8"/>
      <c r="C2415" s="8"/>
      <c r="D2415" s="28"/>
      <c r="E2415" s="8"/>
      <c r="F2415" s="8"/>
      <c r="G2415" s="8"/>
      <c r="H2415" s="28"/>
      <c r="I2415" s="28"/>
    </row>
    <row r="2416" spans="1:9" x14ac:dyDescent="0.35">
      <c r="A2416" s="8"/>
      <c r="B2416" s="8"/>
      <c r="C2416" s="8"/>
      <c r="D2416" s="28"/>
      <c r="E2416" s="8"/>
      <c r="F2416" s="8"/>
      <c r="G2416" s="8"/>
      <c r="H2416" s="28"/>
      <c r="I2416" s="28"/>
    </row>
    <row r="2417" spans="1:9" x14ac:dyDescent="0.35">
      <c r="A2417" s="8"/>
      <c r="B2417" s="8"/>
      <c r="C2417" s="8"/>
      <c r="D2417" s="28"/>
      <c r="E2417" s="8"/>
      <c r="F2417" s="8"/>
      <c r="G2417" s="8"/>
      <c r="H2417" s="28"/>
      <c r="I2417" s="28"/>
    </row>
    <row r="2418" spans="1:9" x14ac:dyDescent="0.35">
      <c r="A2418" s="8"/>
      <c r="B2418" s="8"/>
      <c r="C2418" s="8"/>
      <c r="D2418" s="28"/>
      <c r="E2418" s="8"/>
      <c r="F2418" s="8"/>
      <c r="G2418" s="8"/>
      <c r="H2418" s="28"/>
      <c r="I2418" s="28"/>
    </row>
    <row r="2419" spans="1:9" x14ac:dyDescent="0.35">
      <c r="A2419" s="8"/>
      <c r="B2419" s="8"/>
      <c r="C2419" s="8"/>
      <c r="D2419" s="28"/>
      <c r="E2419" s="8"/>
      <c r="F2419" s="8"/>
      <c r="G2419" s="8"/>
      <c r="H2419" s="28"/>
      <c r="I2419" s="28"/>
    </row>
    <row r="2420" spans="1:9" x14ac:dyDescent="0.35">
      <c r="A2420" s="8"/>
      <c r="B2420" s="8"/>
      <c r="C2420" s="8"/>
      <c r="D2420" s="28"/>
      <c r="E2420" s="8"/>
      <c r="F2420" s="8"/>
      <c r="G2420" s="8"/>
      <c r="H2420" s="28"/>
      <c r="I2420" s="28"/>
    </row>
    <row r="2421" spans="1:9" x14ac:dyDescent="0.35">
      <c r="A2421" s="8"/>
      <c r="B2421" s="8"/>
      <c r="C2421" s="8"/>
      <c r="D2421" s="28"/>
      <c r="E2421" s="8"/>
      <c r="F2421" s="8"/>
      <c r="G2421" s="8"/>
      <c r="H2421" s="28"/>
      <c r="I2421" s="28"/>
    </row>
    <row r="2422" spans="1:9" x14ac:dyDescent="0.35">
      <c r="A2422" s="8"/>
      <c r="B2422" s="8"/>
      <c r="C2422" s="8"/>
      <c r="D2422" s="28"/>
      <c r="E2422" s="8"/>
      <c r="F2422" s="8"/>
      <c r="G2422" s="8"/>
      <c r="H2422" s="28"/>
      <c r="I2422" s="28"/>
    </row>
    <row r="2423" spans="1:9" x14ac:dyDescent="0.35">
      <c r="A2423" s="8"/>
      <c r="B2423" s="8"/>
      <c r="C2423" s="8"/>
      <c r="D2423" s="28"/>
      <c r="E2423" s="8"/>
      <c r="F2423" s="8"/>
      <c r="G2423" s="8"/>
      <c r="H2423" s="28"/>
      <c r="I2423" s="28"/>
    </row>
    <row r="2424" spans="1:9" x14ac:dyDescent="0.35">
      <c r="A2424" s="8"/>
      <c r="B2424" s="8"/>
      <c r="C2424" s="8"/>
      <c r="D2424" s="28"/>
      <c r="E2424" s="8"/>
      <c r="F2424" s="8"/>
      <c r="G2424" s="8"/>
      <c r="H2424" s="28"/>
      <c r="I2424" s="28"/>
    </row>
    <row r="2425" spans="1:9" x14ac:dyDescent="0.35">
      <c r="A2425" s="8"/>
      <c r="B2425" s="8"/>
      <c r="C2425" s="8"/>
      <c r="D2425" s="28"/>
      <c r="E2425" s="8"/>
      <c r="F2425" s="8"/>
      <c r="G2425" s="8"/>
      <c r="H2425" s="28"/>
      <c r="I2425" s="28"/>
    </row>
    <row r="2426" spans="1:9" x14ac:dyDescent="0.35">
      <c r="A2426" s="8"/>
      <c r="B2426" s="8"/>
      <c r="C2426" s="8"/>
      <c r="D2426" s="28"/>
      <c r="E2426" s="8"/>
      <c r="F2426" s="8"/>
      <c r="G2426" s="8"/>
      <c r="H2426" s="28"/>
      <c r="I2426" s="28"/>
    </row>
    <row r="2427" spans="1:9" x14ac:dyDescent="0.35">
      <c r="A2427" s="8"/>
      <c r="B2427" s="8"/>
      <c r="C2427" s="8"/>
      <c r="D2427" s="28"/>
      <c r="E2427" s="8"/>
      <c r="F2427" s="8"/>
      <c r="G2427" s="8"/>
      <c r="H2427" s="28"/>
      <c r="I2427" s="28"/>
    </row>
    <row r="2428" spans="1:9" x14ac:dyDescent="0.35">
      <c r="A2428" s="8"/>
      <c r="B2428" s="8"/>
      <c r="C2428" s="8"/>
      <c r="D2428" s="28"/>
      <c r="E2428" s="8"/>
      <c r="F2428" s="8"/>
      <c r="G2428" s="8"/>
      <c r="H2428" s="28"/>
      <c r="I2428" s="28"/>
    </row>
    <row r="2429" spans="1:9" x14ac:dyDescent="0.35">
      <c r="A2429" s="8"/>
      <c r="B2429" s="8"/>
      <c r="C2429" s="8"/>
      <c r="D2429" s="28"/>
      <c r="E2429" s="8"/>
      <c r="F2429" s="8"/>
      <c r="G2429" s="8"/>
      <c r="H2429" s="28"/>
      <c r="I2429" s="28"/>
    </row>
    <row r="2430" spans="1:9" x14ac:dyDescent="0.35">
      <c r="A2430" s="8"/>
      <c r="B2430" s="8"/>
      <c r="C2430" s="8"/>
      <c r="D2430" s="28"/>
      <c r="E2430" s="8"/>
      <c r="F2430" s="8"/>
      <c r="G2430" s="8"/>
      <c r="H2430" s="28"/>
      <c r="I2430" s="28"/>
    </row>
    <row r="2431" spans="1:9" x14ac:dyDescent="0.35">
      <c r="A2431" s="8"/>
      <c r="B2431" s="8"/>
      <c r="C2431" s="8"/>
      <c r="D2431" s="28"/>
      <c r="E2431" s="8"/>
      <c r="F2431" s="8"/>
      <c r="G2431" s="8"/>
      <c r="H2431" s="28"/>
      <c r="I2431" s="28"/>
    </row>
    <row r="2432" spans="1:9" x14ac:dyDescent="0.35">
      <c r="A2432" s="8"/>
      <c r="B2432" s="8"/>
      <c r="C2432" s="8"/>
      <c r="D2432" s="28"/>
      <c r="E2432" s="8"/>
      <c r="F2432" s="8"/>
      <c r="G2432" s="8"/>
      <c r="H2432" s="28"/>
      <c r="I2432" s="28"/>
    </row>
    <row r="2433" spans="1:9" x14ac:dyDescent="0.35">
      <c r="A2433" s="8"/>
      <c r="B2433" s="8"/>
      <c r="C2433" s="8"/>
      <c r="D2433" s="28"/>
      <c r="E2433" s="8"/>
      <c r="F2433" s="8"/>
      <c r="G2433" s="8"/>
      <c r="H2433" s="28"/>
      <c r="I2433" s="28"/>
    </row>
    <row r="2434" spans="1:9" x14ac:dyDescent="0.35">
      <c r="A2434" s="8"/>
      <c r="B2434" s="8"/>
      <c r="C2434" s="8"/>
      <c r="D2434" s="28"/>
      <c r="E2434" s="8"/>
      <c r="F2434" s="8"/>
      <c r="G2434" s="8"/>
      <c r="H2434" s="28"/>
      <c r="I2434" s="28"/>
    </row>
    <row r="2435" spans="1:9" x14ac:dyDescent="0.35">
      <c r="A2435" s="8"/>
      <c r="B2435" s="8"/>
      <c r="C2435" s="8"/>
      <c r="D2435" s="28"/>
      <c r="E2435" s="8"/>
      <c r="F2435" s="8"/>
      <c r="G2435" s="8"/>
      <c r="H2435" s="28"/>
      <c r="I2435" s="28"/>
    </row>
    <row r="2436" spans="1:9" x14ac:dyDescent="0.35">
      <c r="A2436" s="8"/>
      <c r="B2436" s="8"/>
      <c r="C2436" s="8"/>
      <c r="D2436" s="28"/>
      <c r="E2436" s="8"/>
      <c r="F2436" s="8"/>
      <c r="G2436" s="8"/>
      <c r="H2436" s="28"/>
      <c r="I2436" s="28"/>
    </row>
    <row r="2437" spans="1:9" x14ac:dyDescent="0.35">
      <c r="A2437" s="8"/>
      <c r="B2437" s="8"/>
      <c r="C2437" s="8"/>
      <c r="D2437" s="28"/>
      <c r="E2437" s="8"/>
      <c r="F2437" s="8"/>
      <c r="G2437" s="8"/>
      <c r="H2437" s="28"/>
      <c r="I2437" s="28"/>
    </row>
    <row r="2438" spans="1:9" x14ac:dyDescent="0.35">
      <c r="A2438" s="8"/>
      <c r="B2438" s="8"/>
      <c r="C2438" s="8"/>
      <c r="D2438" s="28"/>
      <c r="E2438" s="8"/>
      <c r="F2438" s="8"/>
      <c r="G2438" s="8"/>
      <c r="H2438" s="28"/>
      <c r="I2438" s="28"/>
    </row>
    <row r="2439" spans="1:9" x14ac:dyDescent="0.35">
      <c r="A2439" s="8"/>
      <c r="B2439" s="8"/>
      <c r="C2439" s="8"/>
      <c r="D2439" s="28"/>
      <c r="E2439" s="8"/>
      <c r="F2439" s="8"/>
      <c r="G2439" s="8"/>
      <c r="H2439" s="28"/>
      <c r="I2439" s="28"/>
    </row>
    <row r="2440" spans="1:9" x14ac:dyDescent="0.35">
      <c r="A2440" s="8"/>
      <c r="B2440" s="8"/>
      <c r="C2440" s="8"/>
      <c r="D2440" s="28"/>
      <c r="E2440" s="8"/>
      <c r="F2440" s="8"/>
      <c r="G2440" s="8"/>
      <c r="H2440" s="28"/>
      <c r="I2440" s="28"/>
    </row>
    <row r="2441" spans="1:9" x14ac:dyDescent="0.35">
      <c r="A2441" s="8"/>
      <c r="B2441" s="8"/>
      <c r="C2441" s="8"/>
      <c r="D2441" s="28"/>
      <c r="E2441" s="8"/>
      <c r="F2441" s="8"/>
      <c r="G2441" s="8"/>
      <c r="H2441" s="28"/>
      <c r="I2441" s="28"/>
    </row>
    <row r="2442" spans="1:9" x14ac:dyDescent="0.35">
      <c r="A2442" s="8"/>
      <c r="B2442" s="8"/>
      <c r="C2442" s="8"/>
      <c r="D2442" s="28"/>
      <c r="E2442" s="8"/>
      <c r="F2442" s="8"/>
      <c r="G2442" s="8"/>
      <c r="H2442" s="28"/>
      <c r="I2442" s="28"/>
    </row>
    <row r="2443" spans="1:9" x14ac:dyDescent="0.35">
      <c r="A2443" s="8"/>
      <c r="B2443" s="8"/>
      <c r="C2443" s="8"/>
      <c r="D2443" s="28"/>
      <c r="E2443" s="8"/>
      <c r="F2443" s="8"/>
      <c r="G2443" s="8"/>
      <c r="H2443" s="28"/>
      <c r="I2443" s="28"/>
    </row>
    <row r="2444" spans="1:9" x14ac:dyDescent="0.35">
      <c r="A2444" s="8"/>
      <c r="B2444" s="8"/>
      <c r="C2444" s="8"/>
      <c r="D2444" s="28"/>
      <c r="E2444" s="8"/>
      <c r="F2444" s="8"/>
      <c r="G2444" s="8"/>
      <c r="H2444" s="28"/>
      <c r="I2444" s="28"/>
    </row>
    <row r="2445" spans="1:9" x14ac:dyDescent="0.35">
      <c r="A2445" s="8"/>
      <c r="B2445" s="8"/>
      <c r="C2445" s="8"/>
      <c r="D2445" s="28"/>
      <c r="E2445" s="8"/>
      <c r="F2445" s="8"/>
      <c r="G2445" s="8"/>
      <c r="H2445" s="28"/>
      <c r="I2445" s="28"/>
    </row>
    <row r="2446" spans="1:9" x14ac:dyDescent="0.35">
      <c r="A2446" s="8"/>
      <c r="B2446" s="8"/>
      <c r="C2446" s="8"/>
      <c r="D2446" s="28"/>
      <c r="E2446" s="8"/>
      <c r="F2446" s="8"/>
      <c r="G2446" s="8"/>
      <c r="H2446" s="28"/>
      <c r="I2446" s="28"/>
    </row>
    <row r="2447" spans="1:9" x14ac:dyDescent="0.35">
      <c r="A2447" s="8"/>
      <c r="B2447" s="8"/>
      <c r="C2447" s="8"/>
      <c r="D2447" s="28"/>
      <c r="E2447" s="8"/>
      <c r="F2447" s="8"/>
      <c r="G2447" s="8"/>
      <c r="H2447" s="28"/>
      <c r="I2447" s="28"/>
    </row>
    <row r="2448" spans="1:9" x14ac:dyDescent="0.35">
      <c r="A2448" s="8"/>
      <c r="B2448" s="8"/>
      <c r="C2448" s="8"/>
      <c r="D2448" s="28"/>
      <c r="E2448" s="8"/>
      <c r="F2448" s="8"/>
      <c r="G2448" s="8"/>
      <c r="H2448" s="28"/>
      <c r="I2448" s="28"/>
    </row>
    <row r="2449" spans="1:9" x14ac:dyDescent="0.35">
      <c r="A2449" s="8"/>
      <c r="B2449" s="8"/>
      <c r="C2449" s="8"/>
      <c r="D2449" s="28"/>
      <c r="E2449" s="8"/>
      <c r="F2449" s="8"/>
      <c r="G2449" s="8"/>
      <c r="H2449" s="28"/>
      <c r="I2449" s="28"/>
    </row>
    <row r="2450" spans="1:9" x14ac:dyDescent="0.35">
      <c r="A2450" s="8"/>
      <c r="B2450" s="8"/>
      <c r="C2450" s="8"/>
      <c r="D2450" s="28"/>
      <c r="E2450" s="8"/>
      <c r="F2450" s="8"/>
      <c r="G2450" s="8"/>
      <c r="H2450" s="28"/>
      <c r="I2450" s="28"/>
    </row>
    <row r="2451" spans="1:9" x14ac:dyDescent="0.35">
      <c r="A2451" s="8"/>
      <c r="B2451" s="8"/>
      <c r="C2451" s="8"/>
      <c r="D2451" s="28"/>
      <c r="E2451" s="8"/>
      <c r="F2451" s="8"/>
      <c r="G2451" s="8"/>
      <c r="H2451" s="28"/>
      <c r="I2451" s="28"/>
    </row>
    <row r="2452" spans="1:9" x14ac:dyDescent="0.35">
      <c r="A2452" s="8"/>
      <c r="B2452" s="8"/>
      <c r="C2452" s="8"/>
      <c r="D2452" s="28"/>
      <c r="E2452" s="8"/>
      <c r="F2452" s="8"/>
      <c r="G2452" s="8"/>
      <c r="H2452" s="28"/>
      <c r="I2452" s="28"/>
    </row>
    <row r="2453" spans="1:9" x14ac:dyDescent="0.35">
      <c r="A2453" s="8"/>
      <c r="B2453" s="8"/>
      <c r="C2453" s="8"/>
      <c r="D2453" s="28"/>
      <c r="E2453" s="8"/>
      <c r="F2453" s="8"/>
      <c r="G2453" s="8"/>
      <c r="H2453" s="28"/>
      <c r="I2453" s="28"/>
    </row>
    <row r="2454" spans="1:9" x14ac:dyDescent="0.35">
      <c r="A2454" s="8"/>
      <c r="B2454" s="8"/>
      <c r="C2454" s="8"/>
      <c r="D2454" s="28"/>
      <c r="E2454" s="8"/>
      <c r="F2454" s="8"/>
      <c r="G2454" s="8"/>
      <c r="H2454" s="28"/>
      <c r="I2454" s="28"/>
    </row>
    <row r="2455" spans="1:9" x14ac:dyDescent="0.35">
      <c r="A2455" s="8"/>
      <c r="B2455" s="8"/>
      <c r="C2455" s="8"/>
      <c r="D2455" s="28"/>
      <c r="E2455" s="8"/>
      <c r="F2455" s="8"/>
      <c r="G2455" s="8"/>
      <c r="H2455" s="28"/>
      <c r="I2455" s="28"/>
    </row>
    <row r="2456" spans="1:9" x14ac:dyDescent="0.35">
      <c r="A2456" s="8"/>
      <c r="B2456" s="8"/>
      <c r="C2456" s="8"/>
      <c r="D2456" s="28"/>
      <c r="E2456" s="8"/>
      <c r="F2456" s="8"/>
      <c r="G2456" s="8"/>
      <c r="H2456" s="28"/>
      <c r="I2456" s="28"/>
    </row>
    <row r="2457" spans="1:9" x14ac:dyDescent="0.35">
      <c r="A2457" s="8"/>
      <c r="B2457" s="8"/>
      <c r="C2457" s="8"/>
      <c r="D2457" s="28"/>
      <c r="E2457" s="8"/>
      <c r="F2457" s="8"/>
      <c r="G2457" s="8"/>
      <c r="H2457" s="28"/>
      <c r="I2457" s="28"/>
    </row>
    <row r="2458" spans="1:9" x14ac:dyDescent="0.35">
      <c r="A2458" s="8"/>
      <c r="B2458" s="8"/>
      <c r="C2458" s="8"/>
      <c r="D2458" s="28"/>
      <c r="E2458" s="8"/>
      <c r="F2458" s="8"/>
      <c r="G2458" s="8"/>
      <c r="H2458" s="28"/>
      <c r="I2458" s="28"/>
    </row>
    <row r="2459" spans="1:9" x14ac:dyDescent="0.35">
      <c r="A2459" s="8"/>
      <c r="B2459" s="8"/>
      <c r="C2459" s="8"/>
      <c r="D2459" s="28"/>
      <c r="E2459" s="8"/>
      <c r="F2459" s="8"/>
      <c r="G2459" s="8"/>
      <c r="H2459" s="28"/>
      <c r="I2459" s="28"/>
    </row>
    <row r="2460" spans="1:9" x14ac:dyDescent="0.35">
      <c r="A2460" s="8"/>
      <c r="B2460" s="8"/>
      <c r="C2460" s="8"/>
      <c r="D2460" s="28"/>
      <c r="E2460" s="8"/>
      <c r="F2460" s="8"/>
      <c r="G2460" s="8"/>
      <c r="H2460" s="28"/>
      <c r="I2460" s="28"/>
    </row>
    <row r="2461" spans="1:9" x14ac:dyDescent="0.35">
      <c r="A2461" s="8"/>
      <c r="B2461" s="8"/>
      <c r="C2461" s="8"/>
      <c r="D2461" s="28"/>
      <c r="E2461" s="8"/>
      <c r="F2461" s="8"/>
      <c r="G2461" s="8"/>
      <c r="H2461" s="28"/>
      <c r="I2461" s="28"/>
    </row>
    <row r="2462" spans="1:9" x14ac:dyDescent="0.35">
      <c r="A2462" s="8"/>
      <c r="B2462" s="8"/>
      <c r="C2462" s="8"/>
      <c r="D2462" s="28"/>
      <c r="E2462" s="8"/>
      <c r="F2462" s="8"/>
      <c r="G2462" s="8"/>
      <c r="H2462" s="28"/>
      <c r="I2462" s="28"/>
    </row>
    <row r="2463" spans="1:9" x14ac:dyDescent="0.35">
      <c r="A2463" s="8"/>
      <c r="B2463" s="8"/>
      <c r="C2463" s="8"/>
      <c r="D2463" s="28"/>
      <c r="E2463" s="8"/>
      <c r="F2463" s="8"/>
      <c r="G2463" s="8"/>
      <c r="H2463" s="28"/>
      <c r="I2463" s="28"/>
    </row>
    <row r="2464" spans="1:9" x14ac:dyDescent="0.35">
      <c r="A2464" s="8"/>
      <c r="B2464" s="8"/>
      <c r="C2464" s="8"/>
      <c r="D2464" s="28"/>
      <c r="E2464" s="8"/>
      <c r="F2464" s="8"/>
      <c r="G2464" s="8"/>
      <c r="H2464" s="28"/>
      <c r="I2464" s="28"/>
    </row>
    <row r="2465" spans="1:9" x14ac:dyDescent="0.35">
      <c r="A2465" s="8"/>
      <c r="B2465" s="8"/>
      <c r="C2465" s="8"/>
      <c r="D2465" s="28"/>
      <c r="E2465" s="8"/>
      <c r="F2465" s="8"/>
      <c r="G2465" s="8"/>
      <c r="H2465" s="28"/>
      <c r="I2465" s="28"/>
    </row>
    <row r="2466" spans="1:9" x14ac:dyDescent="0.35">
      <c r="A2466" s="8"/>
      <c r="B2466" s="8"/>
      <c r="C2466" s="8"/>
      <c r="D2466" s="28"/>
      <c r="E2466" s="8"/>
      <c r="F2466" s="8"/>
      <c r="G2466" s="8"/>
      <c r="H2466" s="28"/>
      <c r="I2466" s="28"/>
    </row>
    <row r="2467" spans="1:9" x14ac:dyDescent="0.35">
      <c r="A2467" s="8"/>
      <c r="B2467" s="8"/>
      <c r="C2467" s="8"/>
      <c r="D2467" s="28"/>
      <c r="E2467" s="8"/>
      <c r="F2467" s="8"/>
      <c r="G2467" s="8"/>
      <c r="H2467" s="28"/>
      <c r="I2467" s="28"/>
    </row>
    <row r="2468" spans="1:9" x14ac:dyDescent="0.35">
      <c r="A2468" s="8"/>
      <c r="B2468" s="8"/>
      <c r="C2468" s="8"/>
      <c r="D2468" s="28"/>
      <c r="E2468" s="8"/>
      <c r="F2468" s="8"/>
      <c r="G2468" s="8"/>
      <c r="H2468" s="28"/>
      <c r="I2468" s="28"/>
    </row>
    <row r="2469" spans="1:9" x14ac:dyDescent="0.35">
      <c r="A2469" s="8"/>
      <c r="B2469" s="8"/>
      <c r="C2469" s="8"/>
      <c r="D2469" s="28"/>
      <c r="E2469" s="8"/>
      <c r="F2469" s="8"/>
      <c r="G2469" s="8"/>
      <c r="H2469" s="28"/>
      <c r="I2469" s="28"/>
    </row>
    <row r="2470" spans="1:9" x14ac:dyDescent="0.35">
      <c r="A2470" s="8"/>
      <c r="B2470" s="8"/>
      <c r="C2470" s="8"/>
      <c r="D2470" s="28"/>
      <c r="E2470" s="8"/>
      <c r="F2470" s="8"/>
      <c r="G2470" s="8"/>
      <c r="H2470" s="28"/>
      <c r="I2470" s="28"/>
    </row>
    <row r="2471" spans="1:9" x14ac:dyDescent="0.35">
      <c r="A2471" s="8"/>
      <c r="B2471" s="8"/>
      <c r="C2471" s="8"/>
      <c r="D2471" s="28"/>
      <c r="E2471" s="8"/>
      <c r="F2471" s="8"/>
      <c r="G2471" s="8"/>
      <c r="H2471" s="28"/>
      <c r="I2471" s="28"/>
    </row>
    <row r="2472" spans="1:9" x14ac:dyDescent="0.35">
      <c r="A2472" s="8"/>
      <c r="B2472" s="8"/>
      <c r="C2472" s="8"/>
      <c r="D2472" s="28"/>
      <c r="E2472" s="8"/>
      <c r="F2472" s="8"/>
      <c r="G2472" s="8"/>
      <c r="H2472" s="28"/>
      <c r="I2472" s="28"/>
    </row>
    <row r="2473" spans="1:9" x14ac:dyDescent="0.35">
      <c r="A2473" s="8"/>
      <c r="B2473" s="8"/>
      <c r="C2473" s="8"/>
      <c r="D2473" s="28"/>
      <c r="E2473" s="8"/>
      <c r="F2473" s="8"/>
      <c r="G2473" s="8"/>
      <c r="H2473" s="28"/>
      <c r="I2473" s="28"/>
    </row>
    <row r="2474" spans="1:9" x14ac:dyDescent="0.35">
      <c r="A2474" s="8"/>
      <c r="B2474" s="8"/>
      <c r="C2474" s="8"/>
      <c r="D2474" s="28"/>
      <c r="E2474" s="8"/>
      <c r="F2474" s="8"/>
      <c r="G2474" s="8"/>
      <c r="H2474" s="28"/>
      <c r="I2474" s="28"/>
    </row>
    <row r="2475" spans="1:9" x14ac:dyDescent="0.35">
      <c r="A2475" s="8"/>
      <c r="B2475" s="8"/>
      <c r="C2475" s="8"/>
      <c r="D2475" s="28"/>
      <c r="E2475" s="8"/>
      <c r="F2475" s="8"/>
      <c r="G2475" s="8"/>
      <c r="H2475" s="28"/>
      <c r="I2475" s="28"/>
    </row>
    <row r="2476" spans="1:9" x14ac:dyDescent="0.35">
      <c r="A2476" s="8"/>
      <c r="B2476" s="8"/>
      <c r="C2476" s="8"/>
      <c r="D2476" s="28"/>
      <c r="E2476" s="8"/>
      <c r="F2476" s="8"/>
      <c r="G2476" s="8"/>
      <c r="H2476" s="28"/>
      <c r="I2476" s="28"/>
    </row>
    <row r="2477" spans="1:9" x14ac:dyDescent="0.35">
      <c r="A2477" s="8"/>
      <c r="B2477" s="8"/>
      <c r="C2477" s="8"/>
      <c r="D2477" s="28"/>
      <c r="E2477" s="8"/>
      <c r="F2477" s="8"/>
      <c r="G2477" s="8"/>
      <c r="H2477" s="28"/>
      <c r="I2477" s="28"/>
    </row>
    <row r="2478" spans="1:9" x14ac:dyDescent="0.35">
      <c r="A2478" s="8"/>
      <c r="B2478" s="8"/>
      <c r="C2478" s="8"/>
      <c r="D2478" s="28"/>
      <c r="E2478" s="8"/>
      <c r="F2478" s="8"/>
      <c r="G2478" s="8"/>
      <c r="H2478" s="28"/>
      <c r="I2478" s="28"/>
    </row>
    <row r="2479" spans="1:9" x14ac:dyDescent="0.35">
      <c r="A2479" s="8"/>
      <c r="B2479" s="8"/>
      <c r="C2479" s="8"/>
      <c r="D2479" s="28"/>
      <c r="E2479" s="8"/>
      <c r="F2479" s="8"/>
      <c r="G2479" s="8"/>
      <c r="H2479" s="28"/>
      <c r="I2479" s="28"/>
    </row>
    <row r="2480" spans="1:9" x14ac:dyDescent="0.35">
      <c r="A2480" s="8"/>
      <c r="B2480" s="8"/>
      <c r="C2480" s="8"/>
      <c r="D2480" s="28"/>
      <c r="E2480" s="8"/>
      <c r="F2480" s="8"/>
      <c r="G2480" s="8"/>
      <c r="H2480" s="28"/>
      <c r="I2480" s="28"/>
    </row>
    <row r="2481" spans="1:9" x14ac:dyDescent="0.35">
      <c r="A2481" s="8"/>
      <c r="B2481" s="8"/>
      <c r="C2481" s="8"/>
      <c r="D2481" s="28"/>
      <c r="E2481" s="8"/>
      <c r="F2481" s="8"/>
      <c r="G2481" s="8"/>
      <c r="H2481" s="28"/>
      <c r="I2481" s="28"/>
    </row>
    <row r="2482" spans="1:9" x14ac:dyDescent="0.35">
      <c r="A2482" s="8"/>
      <c r="B2482" s="8"/>
      <c r="C2482" s="8"/>
      <c r="D2482" s="28"/>
      <c r="E2482" s="8"/>
      <c r="F2482" s="8"/>
      <c r="G2482" s="8"/>
      <c r="H2482" s="28"/>
      <c r="I2482" s="28"/>
    </row>
    <row r="2483" spans="1:9" x14ac:dyDescent="0.35">
      <c r="A2483" s="8"/>
      <c r="B2483" s="8"/>
      <c r="C2483" s="8"/>
      <c r="D2483" s="28"/>
      <c r="E2483" s="8"/>
      <c r="F2483" s="8"/>
      <c r="G2483" s="8"/>
      <c r="H2483" s="28"/>
      <c r="I2483" s="28"/>
    </row>
    <row r="2484" spans="1:9" x14ac:dyDescent="0.35">
      <c r="A2484" s="8"/>
      <c r="B2484" s="8"/>
      <c r="C2484" s="8"/>
      <c r="D2484" s="28"/>
      <c r="E2484" s="8"/>
      <c r="F2484" s="8"/>
      <c r="G2484" s="8"/>
      <c r="H2484" s="28"/>
      <c r="I2484" s="28"/>
    </row>
    <row r="2485" spans="1:9" x14ac:dyDescent="0.35">
      <c r="A2485" s="8"/>
      <c r="B2485" s="8"/>
      <c r="C2485" s="8"/>
      <c r="D2485" s="28"/>
      <c r="E2485" s="8"/>
      <c r="F2485" s="8"/>
      <c r="G2485" s="8"/>
      <c r="H2485" s="28"/>
      <c r="I2485" s="28"/>
    </row>
    <row r="2486" spans="1:9" x14ac:dyDescent="0.35">
      <c r="A2486" s="8"/>
      <c r="B2486" s="8"/>
      <c r="C2486" s="8"/>
      <c r="D2486" s="28"/>
      <c r="E2486" s="8"/>
      <c r="F2486" s="8"/>
      <c r="G2486" s="8"/>
      <c r="H2486" s="28"/>
      <c r="I2486" s="28"/>
    </row>
    <row r="2487" spans="1:9" x14ac:dyDescent="0.35">
      <c r="A2487" s="8"/>
      <c r="B2487" s="8"/>
      <c r="C2487" s="8"/>
      <c r="D2487" s="28"/>
      <c r="E2487" s="8"/>
      <c r="F2487" s="8"/>
      <c r="G2487" s="8"/>
      <c r="H2487" s="28"/>
      <c r="I2487" s="28"/>
    </row>
    <row r="2488" spans="1:9" x14ac:dyDescent="0.35">
      <c r="A2488" s="8"/>
      <c r="B2488" s="8"/>
      <c r="C2488" s="8"/>
      <c r="D2488" s="28"/>
      <c r="E2488" s="8"/>
      <c r="F2488" s="8"/>
      <c r="G2488" s="8"/>
      <c r="H2488" s="28"/>
      <c r="I2488" s="28"/>
    </row>
    <row r="2489" spans="1:9" x14ac:dyDescent="0.35">
      <c r="A2489" s="8"/>
      <c r="B2489" s="8"/>
      <c r="C2489" s="8"/>
      <c r="D2489" s="28"/>
      <c r="E2489" s="8"/>
      <c r="F2489" s="8"/>
      <c r="G2489" s="8"/>
      <c r="H2489" s="28"/>
      <c r="I2489" s="28"/>
    </row>
    <row r="2490" spans="1:9" x14ac:dyDescent="0.35">
      <c r="A2490" s="8"/>
      <c r="B2490" s="8"/>
      <c r="C2490" s="8"/>
      <c r="D2490" s="28"/>
      <c r="E2490" s="8"/>
      <c r="F2490" s="8"/>
      <c r="G2490" s="8"/>
      <c r="H2490" s="28"/>
      <c r="I2490" s="28"/>
    </row>
    <row r="2491" spans="1:9" x14ac:dyDescent="0.35">
      <c r="A2491" s="8"/>
      <c r="B2491" s="8"/>
      <c r="C2491" s="8"/>
      <c r="D2491" s="28"/>
      <c r="E2491" s="8"/>
      <c r="F2491" s="8"/>
      <c r="G2491" s="8"/>
      <c r="H2491" s="28"/>
      <c r="I2491" s="28"/>
    </row>
    <row r="2492" spans="1:9" x14ac:dyDescent="0.35">
      <c r="A2492" s="8"/>
      <c r="B2492" s="8"/>
      <c r="C2492" s="8"/>
      <c r="D2492" s="28"/>
      <c r="E2492" s="8"/>
      <c r="F2492" s="8"/>
      <c r="G2492" s="8"/>
      <c r="H2492" s="28"/>
      <c r="I2492" s="28"/>
    </row>
    <row r="2493" spans="1:9" x14ac:dyDescent="0.35">
      <c r="A2493" s="8"/>
      <c r="B2493" s="8"/>
      <c r="C2493" s="8"/>
      <c r="D2493" s="28"/>
      <c r="E2493" s="8"/>
      <c r="F2493" s="8"/>
      <c r="G2493" s="8"/>
      <c r="H2493" s="28"/>
      <c r="I2493" s="28"/>
    </row>
    <row r="2494" spans="1:9" x14ac:dyDescent="0.35">
      <c r="A2494" s="8"/>
      <c r="B2494" s="8"/>
      <c r="C2494" s="8"/>
      <c r="D2494" s="28"/>
      <c r="E2494" s="8"/>
      <c r="F2494" s="8"/>
      <c r="G2494" s="8"/>
      <c r="H2494" s="28"/>
      <c r="I2494" s="28"/>
    </row>
    <row r="2495" spans="1:9" x14ac:dyDescent="0.35">
      <c r="A2495" s="8"/>
      <c r="B2495" s="8"/>
      <c r="C2495" s="8"/>
      <c r="D2495" s="28"/>
      <c r="E2495" s="8"/>
      <c r="F2495" s="8"/>
      <c r="G2495" s="8"/>
      <c r="H2495" s="28"/>
      <c r="I2495" s="28"/>
    </row>
    <row r="2496" spans="1:9" x14ac:dyDescent="0.35">
      <c r="A2496" s="8"/>
      <c r="B2496" s="8"/>
      <c r="C2496" s="8"/>
      <c r="D2496" s="28"/>
      <c r="E2496" s="8"/>
      <c r="F2496" s="8"/>
      <c r="G2496" s="8"/>
      <c r="H2496" s="28"/>
      <c r="I2496" s="28"/>
    </row>
    <row r="2497" spans="1:9" x14ac:dyDescent="0.35">
      <c r="A2497" s="8"/>
      <c r="B2497" s="8"/>
      <c r="C2497" s="8"/>
      <c r="D2497" s="28"/>
      <c r="E2497" s="8"/>
      <c r="F2497" s="8"/>
      <c r="G2497" s="8"/>
      <c r="H2497" s="28"/>
      <c r="I2497" s="28"/>
    </row>
    <row r="2498" spans="1:9" x14ac:dyDescent="0.35">
      <c r="A2498" s="8"/>
      <c r="B2498" s="8"/>
      <c r="C2498" s="8"/>
      <c r="D2498" s="28"/>
      <c r="E2498" s="8"/>
      <c r="F2498" s="8"/>
      <c r="G2498" s="8"/>
      <c r="H2498" s="28"/>
      <c r="I2498" s="28"/>
    </row>
    <row r="2499" spans="1:9" x14ac:dyDescent="0.35">
      <c r="A2499" s="8"/>
      <c r="B2499" s="8"/>
      <c r="C2499" s="8"/>
      <c r="D2499" s="28"/>
      <c r="E2499" s="8"/>
      <c r="F2499" s="8"/>
      <c r="G2499" s="8"/>
      <c r="H2499" s="28"/>
      <c r="I2499" s="28"/>
    </row>
    <row r="2500" spans="1:9" x14ac:dyDescent="0.35">
      <c r="A2500" s="8"/>
      <c r="B2500" s="8"/>
      <c r="C2500" s="8"/>
      <c r="D2500" s="28"/>
      <c r="E2500" s="8"/>
      <c r="F2500" s="8"/>
      <c r="G2500" s="8"/>
      <c r="H2500" s="28"/>
      <c r="I2500" s="28"/>
    </row>
    <row r="2501" spans="1:9" x14ac:dyDescent="0.35">
      <c r="A2501" s="8"/>
      <c r="B2501" s="8"/>
      <c r="C2501" s="8"/>
      <c r="D2501" s="28"/>
      <c r="E2501" s="8"/>
      <c r="F2501" s="8"/>
      <c r="G2501" s="8"/>
      <c r="H2501" s="28"/>
      <c r="I2501" s="28"/>
    </row>
    <row r="2502" spans="1:9" x14ac:dyDescent="0.35">
      <c r="A2502" s="8"/>
      <c r="B2502" s="8"/>
      <c r="C2502" s="8"/>
      <c r="D2502" s="28"/>
      <c r="E2502" s="8"/>
      <c r="F2502" s="8"/>
      <c r="G2502" s="8"/>
      <c r="H2502" s="28"/>
      <c r="I2502" s="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4A6494-5EA7-42DA-BB67-9796DEF588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Exit Pipeline</vt:lpstr>
      <vt:lpstr>Exit</vt:lpstr>
      <vt:lpstr>Org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SHESHANK SURESH NAIK</dc:creator>
  <cp:keywords/>
  <dc:description/>
  <cp:lastModifiedBy>SHESHANK SURESH NAIK</cp:lastModifiedBy>
  <cp:revision/>
  <dcterms:created xsi:type="dcterms:W3CDTF">2026-06-01T10:00:08Z</dcterms:created>
  <dcterms:modified xsi:type="dcterms:W3CDTF">2026-06-04T11:05:18Z</dcterms:modified>
  <cp:category/>
  <cp:contentStatus/>
</cp:coreProperties>
</file>